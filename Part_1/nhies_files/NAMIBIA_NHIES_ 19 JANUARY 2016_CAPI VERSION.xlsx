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drawings/drawing18.xml" ContentType="application/vnd.openxmlformats-officedocument.drawing+xml"/>
  <Override PartName="/xl/comments18.xml" ContentType="application/vnd.openxmlformats-officedocument.spreadsheetml.comments+xml"/>
  <Override PartName="/xl/drawings/drawing19.xml" ContentType="application/vnd.openxmlformats-officedocument.drawing+xml"/>
  <Override PartName="/xl/comments19.xml" ContentType="application/vnd.openxmlformats-officedocument.spreadsheetml.comments+xml"/>
  <Override PartName="/xl/drawings/drawing20.xml" ContentType="application/vnd.openxmlformats-officedocument.drawing+xml"/>
  <Override PartName="/xl/comments20.xml" ContentType="application/vnd.openxmlformats-officedocument.spreadsheetml.comments+xml"/>
  <Override PartName="/xl/drawings/drawing21.xml" ContentType="application/vnd.openxmlformats-officedocument.drawing+xml"/>
  <Override PartName="/xl/comments21.xml" ContentType="application/vnd.openxmlformats-officedocument.spreadsheetml.comments+xml"/>
  <Override PartName="/xl/drawings/drawing22.xml" ContentType="application/vnd.openxmlformats-officedocument.drawing+xml"/>
  <Override PartName="/xl/comments22.xml" ContentType="application/vnd.openxmlformats-officedocument.spreadsheetml.comments+xml"/>
  <Override PartName="/xl/drawings/drawing23.xml" ContentType="application/vnd.openxmlformats-officedocument.drawing+xml"/>
  <Override PartName="/xl/comments23.xml" ContentType="application/vnd.openxmlformats-officedocument.spreadsheetml.comments+xml"/>
  <Override PartName="/xl/drawings/drawing24.xml" ContentType="application/vnd.openxmlformats-officedocument.drawing+xml"/>
  <Override PartName="/xl/comments24.xml" ContentType="application/vnd.openxmlformats-officedocument.spreadsheetml.comments+xml"/>
  <Override PartName="/xl/drawings/drawing25.xml" ContentType="application/vnd.openxmlformats-officedocument.drawing+xml"/>
  <Override PartName="/xl/comments25.xml" ContentType="application/vnd.openxmlformats-officedocument.spreadsheetml.comments+xml"/>
  <Override PartName="/xl/drawings/drawing26.xml" ContentType="application/vnd.openxmlformats-officedocument.drawing+xml"/>
  <Override PartName="/xl/comments26.xml" ContentType="application/vnd.openxmlformats-officedocument.spreadsheetml.comments+xml"/>
  <Override PartName="/xl/drawings/drawing27.xml" ContentType="application/vnd.openxmlformats-officedocument.drawing+xml"/>
  <Override PartName="/xl/comments27.xml" ContentType="application/vnd.openxmlformats-officedocument.spreadsheetml.comments+xml"/>
  <Override PartName="/xl/drawings/drawing28.xml" ContentType="application/vnd.openxmlformats-officedocument.drawing+xml"/>
  <Override PartName="/xl/comments28.xml" ContentType="application/vnd.openxmlformats-officedocument.spreadsheetml.comments+xml"/>
  <Override PartName="/xl/drawings/drawing29.xml" ContentType="application/vnd.openxmlformats-officedocument.drawing+xml"/>
  <Override PartName="/xl/comments29.xml" ContentType="application/vnd.openxmlformats-officedocument.spreadsheetml.comments+xml"/>
  <Override PartName="/xl/drawings/drawing30.xml" ContentType="application/vnd.openxmlformats-officedocument.drawing+xml"/>
  <Override PartName="/xl/comments30.xml" ContentType="application/vnd.openxmlformats-officedocument.spreadsheetml.comments+xml"/>
  <Override PartName="/xl/drawings/drawing31.xml" ContentType="application/vnd.openxmlformats-officedocument.drawing+xml"/>
  <Override PartName="/xl/comments31.xml" ContentType="application/vnd.openxmlformats-officedocument.spreadsheetml.comments+xml"/>
  <Override PartName="/xl/drawings/drawing32.xml" ContentType="application/vnd.openxmlformats-officedocument.drawing+xml"/>
  <Override PartName="/xl/comments32.xml" ContentType="application/vnd.openxmlformats-officedocument.spreadsheetml.comments+xml"/>
  <Override PartName="/xl/drawings/drawing33.xml" ContentType="application/vnd.openxmlformats-officedocument.drawing+xml"/>
  <Override PartName="/xl/comments3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defaultThemeVersion="124226"/>
  <bookViews>
    <workbookView xWindow="0" yWindow="0" windowWidth="17520" windowHeight="8640" tabRatio="909" firstSheet="2" activeTab="2"/>
  </bookViews>
  <sheets>
    <sheet name="Cover Nam" sheetId="2" r:id="rId1"/>
    <sheet name="ToC" sheetId="3" r:id="rId2"/>
    <sheet name="01 HH Roster" sheetId="5" r:id="rId3"/>
    <sheet name="02A HOUSING " sheetId="8" r:id="rId4"/>
    <sheet name="02B HOUSING COST" sheetId="9" r:id="rId5"/>
    <sheet name="02C Domestic Workers " sheetId="10" r:id="rId6"/>
    <sheet name="2D ACCESS" sheetId="11" r:id="rId7"/>
    <sheet name="2E Food Adequacy" sheetId="12" r:id="rId8"/>
    <sheet name="03 Education" sheetId="14" r:id="rId9"/>
    <sheet name="04 Health" sheetId="18" r:id="rId10"/>
    <sheet name="5 Durables" sheetId="20" r:id="rId11"/>
    <sheet name="LABOUR FORCE 6A-B" sheetId="22" r:id="rId12"/>
    <sheet name="6C" sheetId="23" r:id="rId13"/>
    <sheet name="6D" sheetId="25" r:id="rId14"/>
    <sheet name="6E" sheetId="27" r:id="rId15"/>
    <sheet name="7 agric activities" sheetId="30" r:id="rId16"/>
    <sheet name="07 Agric (2)" sheetId="31" r:id="rId17"/>
    <sheet name=" 8 REMITTANCES" sheetId="33" r:id="rId18"/>
    <sheet name="9a HH inc source" sheetId="35" r:id="rId19"/>
    <sheet name="9b HH debts" sheetId="37" r:id="rId20"/>
    <sheet name="10 indiv INCOME" sheetId="39" r:id="rId21"/>
    <sheet name="11 oth HH  income " sheetId="40" r:id="rId22"/>
    <sheet name="sec 12- 1&amp;12mo expend" sheetId="42" r:id="rId23"/>
    <sheet name="sec 13 - 3 mo clothes furn" sheetId="43" r:id="rId24"/>
    <sheet name="sec 14 - 12 mo- appl and oth" sheetId="44" r:id="rId25"/>
    <sheet name="15 health exp- 12 mo" sheetId="45" r:id="rId26"/>
    <sheet name="sec 16 - 12 mo leisure" sheetId="46" r:id="rId27"/>
    <sheet name="sec 17 -12 moECD&amp;adult  &amp;ITC" sheetId="47" r:id="rId28"/>
    <sheet name="Sec 18 transport- 12 months" sheetId="48" r:id="rId29"/>
    <sheet name="Sec 18- con't. 12 months" sheetId="49" r:id="rId30"/>
    <sheet name="sec 19 -12 mo gifts, finance, " sheetId="50" r:id="rId31"/>
    <sheet name="Sec 20- savings and investments" sheetId="52" r:id="rId32"/>
    <sheet name="Sec 21 ANTHRO" sheetId="54" r:id="rId33"/>
  </sheets>
  <externalReferences>
    <externalReference r:id="rId34"/>
    <externalReference r:id="rId35"/>
    <externalReference r:id="rId36"/>
    <externalReference r:id="rId37"/>
  </externalReferences>
  <definedNames>
    <definedName name="a" localSheetId="26">#REF!</definedName>
    <definedName name="a" localSheetId="27">#REF!</definedName>
    <definedName name="a" localSheetId="29">#REF!</definedName>
    <definedName name="a" localSheetId="30">#REF!</definedName>
    <definedName name="a">#REF!</definedName>
    <definedName name="A1\" localSheetId="20">#REF!</definedName>
    <definedName name="A1\" localSheetId="25">#REF!</definedName>
    <definedName name="A1\" localSheetId="24">#REF!</definedName>
    <definedName name="A1\" localSheetId="26">#REF!</definedName>
    <definedName name="A1\" localSheetId="27">#REF!</definedName>
    <definedName name="A1\" localSheetId="29">#REF!</definedName>
    <definedName name="A1\" localSheetId="28">#REF!</definedName>
    <definedName name="A1\" localSheetId="30">#REF!</definedName>
    <definedName name="A1\">#REF!</definedName>
    <definedName name="AA" localSheetId="20">#REF!</definedName>
    <definedName name="AA" localSheetId="25">#REF!</definedName>
    <definedName name="AA" localSheetId="24">#REF!</definedName>
    <definedName name="AA" localSheetId="26">#REF!</definedName>
    <definedName name="AA" localSheetId="27">#REF!</definedName>
    <definedName name="AA" localSheetId="29">#REF!</definedName>
    <definedName name="AA" localSheetId="28">#REF!</definedName>
    <definedName name="AA" localSheetId="30">#REF!</definedName>
    <definedName name="AA">#REF!</definedName>
    <definedName name="ab" localSheetId="26">#REF!</definedName>
    <definedName name="ab" localSheetId="27">#REF!</definedName>
    <definedName name="ab" localSheetId="30">#REF!</definedName>
    <definedName name="ab">#REF!</definedName>
    <definedName name="ad" localSheetId="26">#REF!</definedName>
    <definedName name="ad" localSheetId="27">#REF!</definedName>
    <definedName name="ad" localSheetId="30">#REF!</definedName>
    <definedName name="ad">#REF!</definedName>
    <definedName name="ava" localSheetId="26">#REF!</definedName>
    <definedName name="ava" localSheetId="30">#REF!</definedName>
    <definedName name="ava">#REF!</definedName>
    <definedName name="ave" localSheetId="30">#REF!</definedName>
    <definedName name="ave">#REF!</definedName>
    <definedName name="b" localSheetId="26">#REF!</definedName>
    <definedName name="b" localSheetId="27">#REF!</definedName>
    <definedName name="b" localSheetId="29">#REF!</definedName>
    <definedName name="b" localSheetId="30">#REF!</definedName>
    <definedName name="b">#REF!</definedName>
    <definedName name="cc" localSheetId="20">#REF!</definedName>
    <definedName name="cc" localSheetId="25">#REF!</definedName>
    <definedName name="cc" localSheetId="24">#REF!</definedName>
    <definedName name="cc" localSheetId="26">#REF!</definedName>
    <definedName name="cc" localSheetId="27">#REF!</definedName>
    <definedName name="cc" localSheetId="29">#REF!</definedName>
    <definedName name="cc" localSheetId="28">#REF!</definedName>
    <definedName name="cc" localSheetId="30">#REF!</definedName>
    <definedName name="cc">#REF!</definedName>
    <definedName name="cd" localSheetId="26">#REF!</definedName>
    <definedName name="cd" localSheetId="27">#REF!</definedName>
    <definedName name="cd" localSheetId="29">#REF!</definedName>
    <definedName name="cd" localSheetId="30">#REF!</definedName>
    <definedName name="cd">#REF!</definedName>
    <definedName name="d" localSheetId="26">#REF!</definedName>
    <definedName name="d" localSheetId="27">#REF!</definedName>
    <definedName name="d" localSheetId="29">#REF!</definedName>
    <definedName name="d" localSheetId="30">#REF!</definedName>
    <definedName name="d">#REF!</definedName>
    <definedName name="de" localSheetId="26">#REF!</definedName>
    <definedName name="de" localSheetId="27">#REF!</definedName>
    <definedName name="de" localSheetId="30">#REF!</definedName>
    <definedName name="de">#REF!</definedName>
    <definedName name="df" localSheetId="26">#REF!</definedName>
    <definedName name="df" localSheetId="27">#REF!</definedName>
    <definedName name="df" localSheetId="30">#REF!</definedName>
    <definedName name="df">#REF!</definedName>
    <definedName name="dg" localSheetId="26">#REF!</definedName>
    <definedName name="dg" localSheetId="27">#REF!</definedName>
    <definedName name="dg" localSheetId="30">#REF!</definedName>
    <definedName name="dg">#REF!</definedName>
    <definedName name="DJ">#REF!</definedName>
    <definedName name="DR">#REF!</definedName>
    <definedName name="e" localSheetId="26">#REF!</definedName>
    <definedName name="e" localSheetId="27">#REF!</definedName>
    <definedName name="e" localSheetId="29">#REF!</definedName>
    <definedName name="e" localSheetId="30">#REF!</definedName>
    <definedName name="e">#REF!</definedName>
    <definedName name="f" localSheetId="26">#REF!</definedName>
    <definedName name="f" localSheetId="27">#REF!</definedName>
    <definedName name="f" localSheetId="29">#REF!</definedName>
    <definedName name="f" localSheetId="30">#REF!</definedName>
    <definedName name="f">#REF!</definedName>
    <definedName name="g" localSheetId="26">#REF!</definedName>
    <definedName name="g" localSheetId="27">#REF!</definedName>
    <definedName name="g" localSheetId="29">#REF!</definedName>
    <definedName name="g" localSheetId="30">#REF!</definedName>
    <definedName name="g">#REF!</definedName>
    <definedName name="h" localSheetId="26">#REF!</definedName>
    <definedName name="h" localSheetId="27">#REF!</definedName>
    <definedName name="h" localSheetId="29">#REF!</definedName>
    <definedName name="h" localSheetId="30">#REF!</definedName>
    <definedName name="h">#REF!</definedName>
    <definedName name="i" localSheetId="26">#REF!</definedName>
    <definedName name="i" localSheetId="27">#REF!</definedName>
    <definedName name="i" localSheetId="29">#REF!</definedName>
    <definedName name="i" localSheetId="30">#REF!</definedName>
    <definedName name="i">#REF!</definedName>
    <definedName name="j" localSheetId="26">#REF!</definedName>
    <definedName name="j" localSheetId="27">#REF!</definedName>
    <definedName name="j" localSheetId="29">#REF!</definedName>
    <definedName name="j" localSheetId="30">#REF!</definedName>
    <definedName name="j">#REF!</definedName>
    <definedName name="k" localSheetId="26">#REF!</definedName>
    <definedName name="k" localSheetId="27">#REF!</definedName>
    <definedName name="k" localSheetId="29">#REF!</definedName>
    <definedName name="k" localSheetId="30">#REF!</definedName>
    <definedName name="k">#REF!</definedName>
    <definedName name="l" localSheetId="26">#REF!</definedName>
    <definedName name="l" localSheetId="27">#REF!</definedName>
    <definedName name="l" localSheetId="29">#REF!</definedName>
    <definedName name="l" localSheetId="30">#REF!</definedName>
    <definedName name="l">#REF!</definedName>
    <definedName name="m" localSheetId="26">#REF!</definedName>
    <definedName name="m" localSheetId="27">#REF!</definedName>
    <definedName name="m" localSheetId="29">#REF!</definedName>
    <definedName name="m" localSheetId="30">#REF!</definedName>
    <definedName name="m">#REF!</definedName>
    <definedName name="o" localSheetId="26">#REF!</definedName>
    <definedName name="o" localSheetId="27">#REF!</definedName>
    <definedName name="o" localSheetId="29">#REF!</definedName>
    <definedName name="o" localSheetId="30">#REF!</definedName>
    <definedName name="o">#REF!</definedName>
    <definedName name="one" localSheetId="20">#REF!</definedName>
    <definedName name="one" localSheetId="26">#REF!</definedName>
    <definedName name="one" localSheetId="27">#REF!</definedName>
    <definedName name="one" localSheetId="29">#REF!</definedName>
    <definedName name="one" localSheetId="28">#REF!</definedName>
    <definedName name="one" localSheetId="30">#REF!</definedName>
    <definedName name="one">#REF!</definedName>
    <definedName name="Perberja_Familjare" localSheetId="20">#REF!</definedName>
    <definedName name="Perberja_Familjare" localSheetId="25">#REF!</definedName>
    <definedName name="Perberja_Familjare" localSheetId="26">#REF!</definedName>
    <definedName name="Perberja_Familjare" localSheetId="27">#REF!</definedName>
    <definedName name="Perberja_Familjare" localSheetId="29">#REF!</definedName>
    <definedName name="Perberja_Familjare" localSheetId="28">#REF!</definedName>
    <definedName name="Perberja_Familjare" localSheetId="30">#REF!</definedName>
    <definedName name="Perberja_Familjare">#REF!</definedName>
    <definedName name="_xlnm.Print_Area" localSheetId="2">'01 HH Roster'!$A$1:$BW$39</definedName>
    <definedName name="_xlnm.Print_Area" localSheetId="3">'02A HOUSING '!$A$1:$O$128</definedName>
    <definedName name="_xlnm.Print_Area" localSheetId="4">'02B HOUSING COST'!$A$1:$P$119</definedName>
    <definedName name="_xlnm.Print_Area" localSheetId="5">'02C Domestic Workers '!$A$1:$P$30</definedName>
    <definedName name="_xlnm.Print_Area" localSheetId="8">'03 Education'!$A$1:$BB$39</definedName>
    <definedName name="_xlnm.Print_Area" localSheetId="9">'04 Health'!$A$1:$BM$40</definedName>
    <definedName name="_xlnm.Print_Area" localSheetId="16">'07 Agric (2)'!$A$1:$AJ$54</definedName>
    <definedName name="_xlnm.Print_Area" localSheetId="20">'10 indiv INCOME'!$A$1:$AJ$39</definedName>
    <definedName name="_xlnm.Print_Area" localSheetId="21">'11 oth HH  income '!$A$1:$Y$45</definedName>
    <definedName name="_xlnm.Print_Area" localSheetId="25">'15 health exp- 12 mo'!$A$1:$E$58</definedName>
    <definedName name="_xlnm.Print_Area" localSheetId="6">'2D ACCESS'!$A$1:$AG$58</definedName>
    <definedName name="_xlnm.Print_Area" localSheetId="7">'2E Food Adequacy'!$A$1:$Y$54</definedName>
    <definedName name="_xlnm.Print_Area" localSheetId="10">'5 Durables'!$A$1:$P$49</definedName>
    <definedName name="_xlnm.Print_Area" localSheetId="12">'6C'!$A$1:$AH$86</definedName>
    <definedName name="_xlnm.Print_Area" localSheetId="13">'6D'!$A$1:$BJ$36</definedName>
    <definedName name="_xlnm.Print_Area" localSheetId="14">'6E'!$A$1:$AU$37</definedName>
    <definedName name="_xlnm.Print_Area" localSheetId="15">'7 agric activities'!$A$1:$V$51</definedName>
    <definedName name="_xlnm.Print_Area" localSheetId="18">'9a HH inc source'!$A$1:$AC$34</definedName>
    <definedName name="_xlnm.Print_Area" localSheetId="19">'9b HH debts'!$A$1:$AF$35</definedName>
    <definedName name="_xlnm.Print_Area" localSheetId="0">'Cover Nam'!$A$1:$BC$43</definedName>
    <definedName name="_xlnm.Print_Area" localSheetId="22">'sec 12- 1&amp;12mo expend'!$A$1:$F$59</definedName>
    <definedName name="_xlnm.Print_Area" localSheetId="23">'sec 13 - 3 mo clothes furn'!$A$1:$H$55</definedName>
    <definedName name="_xlnm.Print_Area" localSheetId="24">'sec 14 - 12 mo- appl and oth'!$A$1:$H$46</definedName>
    <definedName name="_xlnm.Print_Area" localSheetId="26">'sec 16 - 12 mo leisure'!$A$1:$F$46</definedName>
    <definedName name="_xlnm.Print_Area" localSheetId="29">'Sec 18- con''t. 12 months'!$A$1:$F$56</definedName>
    <definedName name="_xlnm.Print_Area" localSheetId="28">'Sec 18 transport- 12 months'!$A$1:$G$51</definedName>
    <definedName name="_xlnm.Print_Area" localSheetId="30">'sec 19 -12 mo gifts, finance, '!$A$1:$E$44</definedName>
    <definedName name="_xlnm.Print_Area" localSheetId="31">'Sec 20- savings and investments'!$A$1:$G$28</definedName>
    <definedName name="_xlnm.Print_Area" localSheetId="32">'Sec 21 ANTHRO'!$A$1:$P$39</definedName>
    <definedName name="_xlnm.Print_Area" localSheetId="1">ToC!$A$1:$F$36</definedName>
    <definedName name="_xlnm.Print_Titles" localSheetId="2">'01 HH Roster'!$A:$B</definedName>
    <definedName name="_xlnm.Print_Titles" localSheetId="8">'03 Education'!$A:$B</definedName>
    <definedName name="_xlnm.Print_Titles" localSheetId="9">'04 Health'!$A:$A</definedName>
    <definedName name="_xlnm.Print_Titles" localSheetId="20">'10 indiv INCOME'!$A:$B</definedName>
    <definedName name="_xlnm.Print_Titles" localSheetId="14">'6E'!$A:$A</definedName>
    <definedName name="_xlnm.Print_Titles" localSheetId="11">'LABOUR FORCE 6A-B'!$A:$A</definedName>
    <definedName name="S" localSheetId="5">#REF!</definedName>
    <definedName name="S" localSheetId="20">#REF!</definedName>
    <definedName name="S" localSheetId="25">#REF!</definedName>
    <definedName name="S" localSheetId="26">#REF!</definedName>
    <definedName name="S" localSheetId="27">#REF!</definedName>
    <definedName name="S" localSheetId="29">#REF!</definedName>
    <definedName name="S" localSheetId="28">#REF!</definedName>
    <definedName name="S" localSheetId="30">#REF!</definedName>
    <definedName name="S">#REF!</definedName>
    <definedName name="SECTION_1__HOUSEHOLD_INFORMATION" localSheetId="5">#REF!</definedName>
    <definedName name="SECTION_1__HOUSEHOLD_INFORMATION" localSheetId="20">#REF!</definedName>
    <definedName name="SECTION_1__HOUSEHOLD_INFORMATION" localSheetId="25">#REF!</definedName>
    <definedName name="SECTION_1__HOUSEHOLD_INFORMATION" localSheetId="24">#REF!</definedName>
    <definedName name="SECTION_1__HOUSEHOLD_INFORMATION" localSheetId="26">#REF!</definedName>
    <definedName name="SECTION_1__HOUSEHOLD_INFORMATION" localSheetId="27">#REF!</definedName>
    <definedName name="SECTION_1__HOUSEHOLD_INFORMATION" localSheetId="29">#REF!</definedName>
    <definedName name="SECTION_1__HOUSEHOLD_INFORMATION" localSheetId="28">#REF!</definedName>
    <definedName name="SECTION_1__HOUSEHOLD_INFORMATION" localSheetId="30">#REF!</definedName>
    <definedName name="SECTION_1__HOUSEHOLD_INFORMATION">#REF!</definedName>
    <definedName name="section33" localSheetId="5">#REF!</definedName>
    <definedName name="section33" localSheetId="20">#REF!</definedName>
    <definedName name="section33" localSheetId="25">#REF!</definedName>
    <definedName name="section33" localSheetId="24">#REF!</definedName>
    <definedName name="section33" localSheetId="26">#REF!</definedName>
    <definedName name="section33" localSheetId="27">#REF!</definedName>
    <definedName name="section33" localSheetId="29">#REF!</definedName>
    <definedName name="section33" localSheetId="28">#REF!</definedName>
    <definedName name="section33" localSheetId="30">#REF!</definedName>
    <definedName name="section33">#REF!</definedName>
    <definedName name="stop" localSheetId="20">#REF!</definedName>
    <definedName name="stop" localSheetId="25">#REF!</definedName>
    <definedName name="stop" localSheetId="26">#REF!</definedName>
    <definedName name="stop" localSheetId="27">#REF!</definedName>
    <definedName name="stop" localSheetId="29">#REF!</definedName>
    <definedName name="stop" localSheetId="28">#REF!</definedName>
    <definedName name="stop" localSheetId="30">#REF!</definedName>
    <definedName name="stop">#REF!</definedName>
    <definedName name="TEST">'[1](1) HOUSEHOLD ROSTER'!$B$1</definedName>
    <definedName name="test22" localSheetId="5">#REF!</definedName>
    <definedName name="test22" localSheetId="20">#REF!</definedName>
    <definedName name="test22" localSheetId="25">#REF!</definedName>
    <definedName name="test22" localSheetId="19">#REF!</definedName>
    <definedName name="test22" localSheetId="24">#REF!</definedName>
    <definedName name="test22" localSheetId="26">#REF!</definedName>
    <definedName name="test22" localSheetId="27">#REF!</definedName>
    <definedName name="test22" localSheetId="29">#REF!</definedName>
    <definedName name="test22" localSheetId="28">#REF!</definedName>
    <definedName name="test22" localSheetId="30">#REF!</definedName>
    <definedName name="test22">#REF!</definedName>
    <definedName name="tillf" localSheetId="5">#REF!</definedName>
    <definedName name="tillf" localSheetId="20">#REF!</definedName>
    <definedName name="tillf" localSheetId="25">#REF!</definedName>
    <definedName name="tillf" localSheetId="19">#REF!</definedName>
    <definedName name="tillf" localSheetId="24">#REF!</definedName>
    <definedName name="tillf" localSheetId="26">#REF!</definedName>
    <definedName name="tillf" localSheetId="27">#REF!</definedName>
    <definedName name="tillf" localSheetId="29">#REF!</definedName>
    <definedName name="tillf" localSheetId="28">#REF!</definedName>
    <definedName name="tillf" localSheetId="30">#REF!</definedName>
    <definedName name="tillf">#REF!</definedName>
    <definedName name="tillf2">'[2](1) HOUSEHOLD ROSTER'!$B$1</definedName>
    <definedName name="VAL" localSheetId="21">'[3](1) HOUSEHOLD ROSTER'!$B$1</definedName>
    <definedName name="VAL" localSheetId="7">'[4](1) HOUSEHOLD ROSTER'!$B$1</definedName>
    <definedName name="VAL">'[3](1) HOUSEHOLD ROSTER'!$B$1</definedName>
    <definedName name="vb" localSheetId="5">#REF!</definedName>
    <definedName name="vb" localSheetId="7">#REF!</definedName>
    <definedName name="vb" localSheetId="30">#REF!</definedName>
    <definedName name="vb">#REF!</definedName>
    <definedName name="vf" localSheetId="30">#REF!</definedName>
    <definedName name="vf">#REF!</definedName>
    <definedName name="WHATTHAT" localSheetId="5">#REF!</definedName>
    <definedName name="WHATTHAT" localSheetId="20">#REF!</definedName>
    <definedName name="WHATTHAT" localSheetId="25">#REF!</definedName>
    <definedName name="WHATTHAT" localSheetId="19">#REF!</definedName>
    <definedName name="WHATTHAT" localSheetId="24">#REF!</definedName>
    <definedName name="WHATTHAT" localSheetId="26">#REF!</definedName>
    <definedName name="WHATTHAT" localSheetId="27">#REF!</definedName>
    <definedName name="WHATTHAT" localSheetId="29">#REF!</definedName>
    <definedName name="WHATTHAT" localSheetId="28">#REF!</definedName>
    <definedName name="WHATTHAT" localSheetId="30">#REF!</definedName>
    <definedName name="WHATTHAT">#REF!</definedName>
    <definedName name="xx">'[1](1) HOUSEHOLD ROSTER'!$B$1</definedName>
    <definedName name="Z_04F0793E_5444_463D_A1D5_E52E08A4C249_.wvu.Cols" localSheetId="2" hidden="1">'01 HH Roster'!#REF!</definedName>
    <definedName name="Z_04F0793E_5444_463D_A1D5_E52E08A4C249_.wvu.Cols" localSheetId="9" hidden="1">'04 Health'!$AQ:$AR,'04 Health'!$BI:$BJ</definedName>
    <definedName name="Z_04F0793E_5444_463D_A1D5_E52E08A4C249_.wvu.PrintArea" localSheetId="3" hidden="1">'02A HOUSING '!$A$1:$O$133</definedName>
    <definedName name="Z_04F0793E_5444_463D_A1D5_E52E08A4C249_.wvu.PrintArea" localSheetId="4" hidden="1">'02B HOUSING COST'!$A$1:$P$124</definedName>
    <definedName name="Z_04F0793E_5444_463D_A1D5_E52E08A4C249_.wvu.PrintArea" localSheetId="5" hidden="1">'02C Domestic Workers '!$A$1:$P$30</definedName>
    <definedName name="Z_04F0793E_5444_463D_A1D5_E52E08A4C249_.wvu.PrintArea" localSheetId="8" hidden="1">'03 Education'!$A$1:$BB$39</definedName>
    <definedName name="Z_04F0793E_5444_463D_A1D5_E52E08A4C249_.wvu.PrintArea" localSheetId="9" hidden="1">'04 Health'!$A$1:$BH$40</definedName>
    <definedName name="Z_04F0793E_5444_463D_A1D5_E52E08A4C249_.wvu.PrintArea" localSheetId="16" hidden="1">'07 Agric (2)'!$A$1:$AJ$54</definedName>
    <definedName name="Z_04F0793E_5444_463D_A1D5_E52E08A4C249_.wvu.PrintArea" localSheetId="20" hidden="1">'10 indiv INCOME'!$A$1:$AJ$39</definedName>
    <definedName name="Z_04F0793E_5444_463D_A1D5_E52E08A4C249_.wvu.PrintArea" localSheetId="21" hidden="1">'11 oth HH  income '!$A$1:$Y$45</definedName>
    <definedName name="Z_04F0793E_5444_463D_A1D5_E52E08A4C249_.wvu.PrintArea" localSheetId="25" hidden="1">'15 health exp- 12 mo'!$A$1:$E$58</definedName>
    <definedName name="Z_04F0793E_5444_463D_A1D5_E52E08A4C249_.wvu.PrintArea" localSheetId="6" hidden="1">'2D ACCESS'!$A$1:$AE$48</definedName>
    <definedName name="Z_04F0793E_5444_463D_A1D5_E52E08A4C249_.wvu.PrintArea" localSheetId="10" hidden="1">'5 Durables'!$A$1:$L$49</definedName>
    <definedName name="Z_04F0793E_5444_463D_A1D5_E52E08A4C249_.wvu.PrintArea" localSheetId="14" hidden="1">'6E'!$A$1:$AU$39</definedName>
    <definedName name="Z_04F0793E_5444_463D_A1D5_E52E08A4C249_.wvu.PrintArea" localSheetId="15" hidden="1">'7 agric activities'!$A$1:$V$47</definedName>
    <definedName name="Z_04F0793E_5444_463D_A1D5_E52E08A4C249_.wvu.PrintArea" localSheetId="18" hidden="1">'9a HH inc source'!$A$1:$AC$34</definedName>
    <definedName name="Z_04F0793E_5444_463D_A1D5_E52E08A4C249_.wvu.PrintArea" localSheetId="0" hidden="1">'Cover Nam'!$A$1:$BC$43</definedName>
    <definedName name="Z_04F0793E_5444_463D_A1D5_E52E08A4C249_.wvu.PrintArea" localSheetId="22" hidden="1">'sec 12- 1&amp;12mo expend'!$A$1:$E$45</definedName>
    <definedName name="Z_04F0793E_5444_463D_A1D5_E52E08A4C249_.wvu.PrintArea" localSheetId="23" hidden="1">'sec 13 - 3 mo clothes furn'!$A$1:$H$55</definedName>
    <definedName name="Z_04F0793E_5444_463D_A1D5_E52E08A4C249_.wvu.PrintArea" localSheetId="24" hidden="1">'sec 14 - 12 mo- appl and oth'!$A$1:$H$46</definedName>
    <definedName name="Z_04F0793E_5444_463D_A1D5_E52E08A4C249_.wvu.PrintArea" localSheetId="26" hidden="1">'sec 16 - 12 mo leisure'!$A$1:$F$58</definedName>
    <definedName name="Z_04F0793E_5444_463D_A1D5_E52E08A4C249_.wvu.PrintArea" localSheetId="27" hidden="1">'sec 17 -12 moECD&amp;adult  &amp;ITC'!$A$1:$E$30</definedName>
    <definedName name="Z_04F0793E_5444_463D_A1D5_E52E08A4C249_.wvu.PrintArea" localSheetId="29" hidden="1">'Sec 18- con''t. 12 months'!$A$1:$G$85</definedName>
    <definedName name="Z_04F0793E_5444_463D_A1D5_E52E08A4C249_.wvu.PrintArea" localSheetId="28" hidden="1">'Sec 18 transport- 12 months'!$A$1:$G$51</definedName>
    <definedName name="Z_04F0793E_5444_463D_A1D5_E52E08A4C249_.wvu.PrintArea" localSheetId="30" hidden="1">'sec 19 -12 mo gifts, finance, '!$A$1:$E$48</definedName>
    <definedName name="Z_04F0793E_5444_463D_A1D5_E52E08A4C249_.wvu.PrintArea" localSheetId="32" hidden="1">'Sec 21 ANTHRO'!$A$1:$P$39</definedName>
    <definedName name="Z_04F0793E_5444_463D_A1D5_E52E08A4C249_.wvu.PrintTitles" localSheetId="2" hidden="1">'01 HH Roster'!$A:$B</definedName>
    <definedName name="Z_04F0793E_5444_463D_A1D5_E52E08A4C249_.wvu.PrintTitles" localSheetId="8" hidden="1">'03 Education'!$A:$B</definedName>
    <definedName name="Z_04F0793E_5444_463D_A1D5_E52E08A4C249_.wvu.PrintTitles" localSheetId="9" hidden="1">'04 Health'!$A:$A</definedName>
    <definedName name="Z_04F0793E_5444_463D_A1D5_E52E08A4C249_.wvu.PrintTitles" localSheetId="20" hidden="1">'10 indiv INCOME'!$A:$B</definedName>
    <definedName name="Z_04F0793E_5444_463D_A1D5_E52E08A4C249_.wvu.PrintTitles" localSheetId="14" hidden="1">'6E'!$A:$A</definedName>
    <definedName name="Z_04F0793E_5444_463D_A1D5_E52E08A4C249_.wvu.PrintTitles" localSheetId="11" hidden="1">'LABOUR FORCE 6A-B'!$A:$A</definedName>
    <definedName name="Z_1FF58891_F32F_4F97_9812_E2D02F4497AA_.wvu.Cols" localSheetId="2" hidden="1">'01 HH Roster'!#REF!</definedName>
    <definedName name="Z_1FF58891_F32F_4F97_9812_E2D02F4497AA_.wvu.Cols" localSheetId="9" hidden="1">'04 Health'!$AQ:$AR,'04 Health'!$BI:$BJ</definedName>
    <definedName name="Z_1FF58891_F32F_4F97_9812_E2D02F4497AA_.wvu.PrintArea" localSheetId="2" hidden="1">'01 HH Roster'!$A$1:$BW$39</definedName>
    <definedName name="Z_1FF58891_F32F_4F97_9812_E2D02F4497AA_.wvu.PrintArea" localSheetId="3" hidden="1">'02A HOUSING '!$A$1:$O$128</definedName>
    <definedName name="Z_1FF58891_F32F_4F97_9812_E2D02F4497AA_.wvu.PrintArea" localSheetId="4" hidden="1">'02B HOUSING COST'!$A$1:$P$119</definedName>
    <definedName name="Z_1FF58891_F32F_4F97_9812_E2D02F4497AA_.wvu.PrintArea" localSheetId="5" hidden="1">'02C Domestic Workers '!$A$1:$P$30</definedName>
    <definedName name="Z_1FF58891_F32F_4F97_9812_E2D02F4497AA_.wvu.PrintArea" localSheetId="8" hidden="1">'03 Education'!$A$1:$BB$39</definedName>
    <definedName name="Z_1FF58891_F32F_4F97_9812_E2D02F4497AA_.wvu.PrintArea" localSheetId="9" hidden="1">'04 Health'!$A$1:$BM$40</definedName>
    <definedName name="Z_1FF58891_F32F_4F97_9812_E2D02F4497AA_.wvu.PrintArea" localSheetId="16" hidden="1">'07 Agric (2)'!$A$1:$AJ$54</definedName>
    <definedName name="Z_1FF58891_F32F_4F97_9812_E2D02F4497AA_.wvu.PrintArea" localSheetId="20" hidden="1">'10 indiv INCOME'!$A$1:$AJ$39</definedName>
    <definedName name="Z_1FF58891_F32F_4F97_9812_E2D02F4497AA_.wvu.PrintArea" localSheetId="21" hidden="1">'11 oth HH  income '!$A$1:$Y$45</definedName>
    <definedName name="Z_1FF58891_F32F_4F97_9812_E2D02F4497AA_.wvu.PrintArea" localSheetId="25" hidden="1">'15 health exp- 12 mo'!$A$1:$E$58</definedName>
    <definedName name="Z_1FF58891_F32F_4F97_9812_E2D02F4497AA_.wvu.PrintArea" localSheetId="6" hidden="1">'2D ACCESS'!$A$1:$AG$58</definedName>
    <definedName name="Z_1FF58891_F32F_4F97_9812_E2D02F4497AA_.wvu.PrintArea" localSheetId="7" hidden="1">'2E Food Adequacy'!$A$1:$Y$54</definedName>
    <definedName name="Z_1FF58891_F32F_4F97_9812_E2D02F4497AA_.wvu.PrintArea" localSheetId="10" hidden="1">'5 Durables'!$A$1:$O$49</definedName>
    <definedName name="Z_1FF58891_F32F_4F97_9812_E2D02F4497AA_.wvu.PrintArea" localSheetId="12" hidden="1">'6C'!$A$1:$AH$86</definedName>
    <definedName name="Z_1FF58891_F32F_4F97_9812_E2D02F4497AA_.wvu.PrintArea" localSheetId="13" hidden="1">'6D'!$A$1:$BJ$36</definedName>
    <definedName name="Z_1FF58891_F32F_4F97_9812_E2D02F4497AA_.wvu.PrintArea" localSheetId="14" hidden="1">'6E'!$A$1:$AU$37</definedName>
    <definedName name="Z_1FF58891_F32F_4F97_9812_E2D02F4497AA_.wvu.PrintArea" localSheetId="15" hidden="1">'7 agric activities'!$A$1:$V$51</definedName>
    <definedName name="Z_1FF58891_F32F_4F97_9812_E2D02F4497AA_.wvu.PrintArea" localSheetId="18" hidden="1">'9a HH inc source'!$A$1:$AC$34</definedName>
    <definedName name="Z_1FF58891_F32F_4F97_9812_E2D02F4497AA_.wvu.PrintArea" localSheetId="19" hidden="1">'9b HH debts'!$A$1:$AF$35</definedName>
    <definedName name="Z_1FF58891_F32F_4F97_9812_E2D02F4497AA_.wvu.PrintArea" localSheetId="0" hidden="1">'Cover Nam'!$A$1:$BC$43</definedName>
    <definedName name="Z_1FF58891_F32F_4F97_9812_E2D02F4497AA_.wvu.PrintArea" localSheetId="22" hidden="1">'sec 12- 1&amp;12mo expend'!$A$1:$F$59</definedName>
    <definedName name="Z_1FF58891_F32F_4F97_9812_E2D02F4497AA_.wvu.PrintArea" localSheetId="23" hidden="1">'sec 13 - 3 mo clothes furn'!$A$1:$H$55</definedName>
    <definedName name="Z_1FF58891_F32F_4F97_9812_E2D02F4497AA_.wvu.PrintArea" localSheetId="24" hidden="1">'sec 14 - 12 mo- appl and oth'!$A$1:$H$46</definedName>
    <definedName name="Z_1FF58891_F32F_4F97_9812_E2D02F4497AA_.wvu.PrintArea" localSheetId="26" hidden="1">'sec 16 - 12 mo leisure'!$A$1:$F$46</definedName>
    <definedName name="Z_1FF58891_F32F_4F97_9812_E2D02F4497AA_.wvu.PrintArea" localSheetId="27" hidden="1">'sec 17 -12 moECD&amp;adult  &amp;ITC'!$A$1:$E$30</definedName>
    <definedName name="Z_1FF58891_F32F_4F97_9812_E2D02F4497AA_.wvu.PrintArea" localSheetId="29" hidden="1">'Sec 18- con''t. 12 months'!$A$1:$F$56</definedName>
    <definedName name="Z_1FF58891_F32F_4F97_9812_E2D02F4497AA_.wvu.PrintArea" localSheetId="28" hidden="1">'Sec 18 transport- 12 months'!$A$1:$G$51</definedName>
    <definedName name="Z_1FF58891_F32F_4F97_9812_E2D02F4497AA_.wvu.PrintArea" localSheetId="30" hidden="1">'sec 19 -12 mo gifts, finance, '!$A$1:$E$44</definedName>
    <definedName name="Z_1FF58891_F32F_4F97_9812_E2D02F4497AA_.wvu.PrintArea" localSheetId="31" hidden="1">'Sec 20- savings and investments'!$A$1:$G$28</definedName>
    <definedName name="Z_1FF58891_F32F_4F97_9812_E2D02F4497AA_.wvu.PrintArea" localSheetId="32" hidden="1">'Sec 21 ANTHRO'!$A$1:$P$39</definedName>
    <definedName name="Z_1FF58891_F32F_4F97_9812_E2D02F4497AA_.wvu.PrintArea" localSheetId="1" hidden="1">ToC!$A$1:$F$36</definedName>
    <definedName name="Z_1FF58891_F32F_4F97_9812_E2D02F4497AA_.wvu.PrintTitles" localSheetId="2" hidden="1">'01 HH Roster'!$A:$B</definedName>
    <definedName name="Z_1FF58891_F32F_4F97_9812_E2D02F4497AA_.wvu.PrintTitles" localSheetId="8" hidden="1">'03 Education'!$A:$B</definedName>
    <definedName name="Z_1FF58891_F32F_4F97_9812_E2D02F4497AA_.wvu.PrintTitles" localSheetId="9" hidden="1">'04 Health'!$A:$A</definedName>
    <definedName name="Z_1FF58891_F32F_4F97_9812_E2D02F4497AA_.wvu.PrintTitles" localSheetId="20" hidden="1">'10 indiv INCOME'!$A:$B</definedName>
    <definedName name="Z_1FF58891_F32F_4F97_9812_E2D02F4497AA_.wvu.PrintTitles" localSheetId="14" hidden="1">'6E'!$A:$A</definedName>
    <definedName name="Z_1FF58891_F32F_4F97_9812_E2D02F4497AA_.wvu.PrintTitles" localSheetId="11" hidden="1">'LABOUR FORCE 6A-B'!$A:$A</definedName>
    <definedName name="Z_2A5E79E4_584C_4F65_A220_87928CEA02AF_.wvu.Cols" localSheetId="2" hidden="1">'01 HH Roster'!#REF!</definedName>
    <definedName name="Z_2A5E79E4_584C_4F65_A220_87928CEA02AF_.wvu.Cols" localSheetId="9" hidden="1">'04 Health'!$AQ:$AR,'04 Health'!$BI:$BJ</definedName>
    <definedName name="Z_2A5E79E4_584C_4F65_A220_87928CEA02AF_.wvu.PrintArea" localSheetId="2" hidden="1">'01 HH Roster'!$A$1:$BW$39</definedName>
    <definedName name="Z_2A5E79E4_584C_4F65_A220_87928CEA02AF_.wvu.PrintArea" localSheetId="3" hidden="1">'02A HOUSING '!$A$1:$O$128</definedName>
    <definedName name="Z_2A5E79E4_584C_4F65_A220_87928CEA02AF_.wvu.PrintArea" localSheetId="4" hidden="1">'02B HOUSING COST'!$A$1:$P$119</definedName>
    <definedName name="Z_2A5E79E4_584C_4F65_A220_87928CEA02AF_.wvu.PrintArea" localSheetId="5" hidden="1">'02C Domestic Workers '!$A$1:$P$30</definedName>
    <definedName name="Z_2A5E79E4_584C_4F65_A220_87928CEA02AF_.wvu.PrintArea" localSheetId="8" hidden="1">'03 Education'!$A$1:$BB$39</definedName>
    <definedName name="Z_2A5E79E4_584C_4F65_A220_87928CEA02AF_.wvu.PrintArea" localSheetId="9" hidden="1">'04 Health'!$A$1:$BM$40</definedName>
    <definedName name="Z_2A5E79E4_584C_4F65_A220_87928CEA02AF_.wvu.PrintArea" localSheetId="16" hidden="1">'07 Agric (2)'!$A$1:$AJ$54</definedName>
    <definedName name="Z_2A5E79E4_584C_4F65_A220_87928CEA02AF_.wvu.PrintArea" localSheetId="20" hidden="1">'10 indiv INCOME'!$A$1:$AJ$39</definedName>
    <definedName name="Z_2A5E79E4_584C_4F65_A220_87928CEA02AF_.wvu.PrintArea" localSheetId="21" hidden="1">'11 oth HH  income '!$A$1:$Y$45</definedName>
    <definedName name="Z_2A5E79E4_584C_4F65_A220_87928CEA02AF_.wvu.PrintArea" localSheetId="25" hidden="1">'15 health exp- 12 mo'!$A$1:$E$58</definedName>
    <definedName name="Z_2A5E79E4_584C_4F65_A220_87928CEA02AF_.wvu.PrintArea" localSheetId="6" hidden="1">'2D ACCESS'!$A$1:$AG$58</definedName>
    <definedName name="Z_2A5E79E4_584C_4F65_A220_87928CEA02AF_.wvu.PrintArea" localSheetId="7" hidden="1">'2E Food Adequacy'!$A$1:$Y$54</definedName>
    <definedName name="Z_2A5E79E4_584C_4F65_A220_87928CEA02AF_.wvu.PrintArea" localSheetId="10" hidden="1">'5 Durables'!$A$1:$O$49</definedName>
    <definedName name="Z_2A5E79E4_584C_4F65_A220_87928CEA02AF_.wvu.PrintArea" localSheetId="12" hidden="1">'6C'!$A$1:$AH$86</definedName>
    <definedName name="Z_2A5E79E4_584C_4F65_A220_87928CEA02AF_.wvu.PrintArea" localSheetId="13" hidden="1">'6D'!$A$1:$BJ$36</definedName>
    <definedName name="Z_2A5E79E4_584C_4F65_A220_87928CEA02AF_.wvu.PrintArea" localSheetId="14" hidden="1">'6E'!$A$1:$AU$37</definedName>
    <definedName name="Z_2A5E79E4_584C_4F65_A220_87928CEA02AF_.wvu.PrintArea" localSheetId="15" hidden="1">'7 agric activities'!$A$1:$V$51</definedName>
    <definedName name="Z_2A5E79E4_584C_4F65_A220_87928CEA02AF_.wvu.PrintArea" localSheetId="18" hidden="1">'9a HH inc source'!$A$1:$AC$34</definedName>
    <definedName name="Z_2A5E79E4_584C_4F65_A220_87928CEA02AF_.wvu.PrintArea" localSheetId="19" hidden="1">'9b HH debts'!$A$1:$AF$35</definedName>
    <definedName name="Z_2A5E79E4_584C_4F65_A220_87928CEA02AF_.wvu.PrintArea" localSheetId="0" hidden="1">'Cover Nam'!$A$1:$BC$43</definedName>
    <definedName name="Z_2A5E79E4_584C_4F65_A220_87928CEA02AF_.wvu.PrintArea" localSheetId="22" hidden="1">'sec 12- 1&amp;12mo expend'!$A$1:$F$59</definedName>
    <definedName name="Z_2A5E79E4_584C_4F65_A220_87928CEA02AF_.wvu.PrintArea" localSheetId="23" hidden="1">'sec 13 - 3 mo clothes furn'!$A$1:$H$55</definedName>
    <definedName name="Z_2A5E79E4_584C_4F65_A220_87928CEA02AF_.wvu.PrintArea" localSheetId="24" hidden="1">'sec 14 - 12 mo- appl and oth'!$A$1:$H$46</definedName>
    <definedName name="Z_2A5E79E4_584C_4F65_A220_87928CEA02AF_.wvu.PrintArea" localSheetId="26" hidden="1">'sec 16 - 12 mo leisure'!$A$1:$F$46</definedName>
    <definedName name="Z_2A5E79E4_584C_4F65_A220_87928CEA02AF_.wvu.PrintArea" localSheetId="27" hidden="1">'sec 17 -12 moECD&amp;adult  &amp;ITC'!$A$1:$E$30</definedName>
    <definedName name="Z_2A5E79E4_584C_4F65_A220_87928CEA02AF_.wvu.PrintArea" localSheetId="29" hidden="1">'Sec 18- con''t. 12 months'!$A$1:$F$56</definedName>
    <definedName name="Z_2A5E79E4_584C_4F65_A220_87928CEA02AF_.wvu.PrintArea" localSheetId="28" hidden="1">'Sec 18 transport- 12 months'!$A$1:$G$51</definedName>
    <definedName name="Z_2A5E79E4_584C_4F65_A220_87928CEA02AF_.wvu.PrintArea" localSheetId="30" hidden="1">'sec 19 -12 mo gifts, finance, '!$A$1:$E$44</definedName>
    <definedName name="Z_2A5E79E4_584C_4F65_A220_87928CEA02AF_.wvu.PrintArea" localSheetId="31" hidden="1">'Sec 20- savings and investments'!$A$1:$G$28</definedName>
    <definedName name="Z_2A5E79E4_584C_4F65_A220_87928CEA02AF_.wvu.PrintArea" localSheetId="32" hidden="1">'Sec 21 ANTHRO'!$A$1:$P$39</definedName>
    <definedName name="Z_2A5E79E4_584C_4F65_A220_87928CEA02AF_.wvu.PrintArea" localSheetId="1" hidden="1">ToC!$A$1:$F$36</definedName>
    <definedName name="Z_2A5E79E4_584C_4F65_A220_87928CEA02AF_.wvu.PrintTitles" localSheetId="2" hidden="1">'01 HH Roster'!$A:$B</definedName>
    <definedName name="Z_2A5E79E4_584C_4F65_A220_87928CEA02AF_.wvu.PrintTitles" localSheetId="8" hidden="1">'03 Education'!$A:$B</definedName>
    <definedName name="Z_2A5E79E4_584C_4F65_A220_87928CEA02AF_.wvu.PrintTitles" localSheetId="9" hidden="1">'04 Health'!$A:$A</definedName>
    <definedName name="Z_2A5E79E4_584C_4F65_A220_87928CEA02AF_.wvu.PrintTitles" localSheetId="20" hidden="1">'10 indiv INCOME'!$A:$B</definedName>
    <definedName name="Z_2A5E79E4_584C_4F65_A220_87928CEA02AF_.wvu.PrintTitles" localSheetId="14" hidden="1">'6E'!$A:$A</definedName>
    <definedName name="Z_2A5E79E4_584C_4F65_A220_87928CEA02AF_.wvu.PrintTitles" localSheetId="11" hidden="1">'LABOUR FORCE 6A-B'!$A:$A</definedName>
    <definedName name="Z_2A5E79E4_584C_4F65_A220_87928CEA02AF_.wvu.Rows" localSheetId="4" hidden="1">'02B HOUSING COST'!$56:$56</definedName>
    <definedName name="Z_2A5E79E4_584C_4F65_A220_87928CEA02AF_.wvu.Rows" localSheetId="31" hidden="1">'Sec 20- savings and investments'!$20:$20</definedName>
    <definedName name="Z_2A6091F0_BAF4_46A2_BC20_0DE610E67601_.wvu.Cols" localSheetId="2" hidden="1">'01 HH Roster'!#REF!</definedName>
    <definedName name="Z_2A6091F0_BAF4_46A2_BC20_0DE610E67601_.wvu.Cols" localSheetId="9" hidden="1">'04 Health'!$AQ:$AR,'04 Health'!$BI:$BJ</definedName>
    <definedName name="Z_2A6091F0_BAF4_46A2_BC20_0DE610E67601_.wvu.PrintArea" localSheetId="2" hidden="1">'01 HH Roster'!$A$1:$BW$39</definedName>
    <definedName name="Z_2A6091F0_BAF4_46A2_BC20_0DE610E67601_.wvu.PrintArea" localSheetId="3" hidden="1">'02A HOUSING '!$A$1:$O$128</definedName>
    <definedName name="Z_2A6091F0_BAF4_46A2_BC20_0DE610E67601_.wvu.PrintArea" localSheetId="4" hidden="1">'02B HOUSING COST'!$A$1:$P$119</definedName>
    <definedName name="Z_2A6091F0_BAF4_46A2_BC20_0DE610E67601_.wvu.PrintArea" localSheetId="5" hidden="1">'02C Domestic Workers '!$A$1:$P$30</definedName>
    <definedName name="Z_2A6091F0_BAF4_46A2_BC20_0DE610E67601_.wvu.PrintArea" localSheetId="8" hidden="1">'03 Education'!$A$1:$BB$39</definedName>
    <definedName name="Z_2A6091F0_BAF4_46A2_BC20_0DE610E67601_.wvu.PrintArea" localSheetId="9" hidden="1">'04 Health'!$A$1:$BM$40</definedName>
    <definedName name="Z_2A6091F0_BAF4_46A2_BC20_0DE610E67601_.wvu.PrintArea" localSheetId="16" hidden="1">'07 Agric (2)'!$A$1:$AJ$54</definedName>
    <definedName name="Z_2A6091F0_BAF4_46A2_BC20_0DE610E67601_.wvu.PrintArea" localSheetId="20" hidden="1">'10 indiv INCOME'!$A$1:$AJ$39</definedName>
    <definedName name="Z_2A6091F0_BAF4_46A2_BC20_0DE610E67601_.wvu.PrintArea" localSheetId="21" hidden="1">'11 oth HH  income '!$A$1:$Y$45</definedName>
    <definedName name="Z_2A6091F0_BAF4_46A2_BC20_0DE610E67601_.wvu.PrintArea" localSheetId="25" hidden="1">'15 health exp- 12 mo'!$A$1:$E$58</definedName>
    <definedName name="Z_2A6091F0_BAF4_46A2_BC20_0DE610E67601_.wvu.PrintArea" localSheetId="6" hidden="1">'2D ACCESS'!$A$1:$AG$58</definedName>
    <definedName name="Z_2A6091F0_BAF4_46A2_BC20_0DE610E67601_.wvu.PrintArea" localSheetId="7" hidden="1">'2E Food Adequacy'!$A$1:$Y$54</definedName>
    <definedName name="Z_2A6091F0_BAF4_46A2_BC20_0DE610E67601_.wvu.PrintArea" localSheetId="10" hidden="1">'5 Durables'!$A$1:$O$49</definedName>
    <definedName name="Z_2A6091F0_BAF4_46A2_BC20_0DE610E67601_.wvu.PrintArea" localSheetId="12" hidden="1">'6C'!$A$1:$AH$86</definedName>
    <definedName name="Z_2A6091F0_BAF4_46A2_BC20_0DE610E67601_.wvu.PrintArea" localSheetId="13" hidden="1">'6D'!$A$1:$BJ$36</definedName>
    <definedName name="Z_2A6091F0_BAF4_46A2_BC20_0DE610E67601_.wvu.PrintArea" localSheetId="14" hidden="1">'6E'!$A$1:$AU$37</definedName>
    <definedName name="Z_2A6091F0_BAF4_46A2_BC20_0DE610E67601_.wvu.PrintArea" localSheetId="15" hidden="1">'7 agric activities'!$A$1:$V$51</definedName>
    <definedName name="Z_2A6091F0_BAF4_46A2_BC20_0DE610E67601_.wvu.PrintArea" localSheetId="18" hidden="1">'9a HH inc source'!$A$1:$AC$34</definedName>
    <definedName name="Z_2A6091F0_BAF4_46A2_BC20_0DE610E67601_.wvu.PrintArea" localSheetId="19" hidden="1">'9b HH debts'!$A$1:$AF$35</definedName>
    <definedName name="Z_2A6091F0_BAF4_46A2_BC20_0DE610E67601_.wvu.PrintArea" localSheetId="0" hidden="1">'Cover Nam'!$A$1:$BC$43</definedName>
    <definedName name="Z_2A6091F0_BAF4_46A2_BC20_0DE610E67601_.wvu.PrintArea" localSheetId="22" hidden="1">'sec 12- 1&amp;12mo expend'!$A$1:$F$59</definedName>
    <definedName name="Z_2A6091F0_BAF4_46A2_BC20_0DE610E67601_.wvu.PrintArea" localSheetId="23" hidden="1">'sec 13 - 3 mo clothes furn'!$A$1:$H$55</definedName>
    <definedName name="Z_2A6091F0_BAF4_46A2_BC20_0DE610E67601_.wvu.PrintArea" localSheetId="24" hidden="1">'sec 14 - 12 mo- appl and oth'!$A$1:$H$46</definedName>
    <definedName name="Z_2A6091F0_BAF4_46A2_BC20_0DE610E67601_.wvu.PrintArea" localSheetId="26" hidden="1">'sec 16 - 12 mo leisure'!$A$1:$F$46</definedName>
    <definedName name="Z_2A6091F0_BAF4_46A2_BC20_0DE610E67601_.wvu.PrintArea" localSheetId="27" hidden="1">'sec 17 -12 moECD&amp;adult  &amp;ITC'!$A$1:$E$30</definedName>
    <definedName name="Z_2A6091F0_BAF4_46A2_BC20_0DE610E67601_.wvu.PrintArea" localSheetId="29" hidden="1">'Sec 18- con''t. 12 months'!$A$1:$F$56</definedName>
    <definedName name="Z_2A6091F0_BAF4_46A2_BC20_0DE610E67601_.wvu.PrintArea" localSheetId="28" hidden="1">'Sec 18 transport- 12 months'!$A$1:$G$51</definedName>
    <definedName name="Z_2A6091F0_BAF4_46A2_BC20_0DE610E67601_.wvu.PrintArea" localSheetId="30" hidden="1">'sec 19 -12 mo gifts, finance, '!$A$1:$E$44</definedName>
    <definedName name="Z_2A6091F0_BAF4_46A2_BC20_0DE610E67601_.wvu.PrintArea" localSheetId="31" hidden="1">'Sec 20- savings and investments'!$A$1:$G$28</definedName>
    <definedName name="Z_2A6091F0_BAF4_46A2_BC20_0DE610E67601_.wvu.PrintArea" localSheetId="32" hidden="1">'Sec 21 ANTHRO'!$A$1:$P$39</definedName>
    <definedName name="Z_2A6091F0_BAF4_46A2_BC20_0DE610E67601_.wvu.PrintArea" localSheetId="1" hidden="1">ToC!$A$1:$F$36</definedName>
    <definedName name="Z_2A6091F0_BAF4_46A2_BC20_0DE610E67601_.wvu.PrintTitles" localSheetId="2" hidden="1">'01 HH Roster'!$A:$B</definedName>
    <definedName name="Z_2A6091F0_BAF4_46A2_BC20_0DE610E67601_.wvu.PrintTitles" localSheetId="8" hidden="1">'03 Education'!$A:$B</definedName>
    <definedName name="Z_2A6091F0_BAF4_46A2_BC20_0DE610E67601_.wvu.PrintTitles" localSheetId="9" hidden="1">'04 Health'!$A:$A</definedName>
    <definedName name="Z_2A6091F0_BAF4_46A2_BC20_0DE610E67601_.wvu.PrintTitles" localSheetId="20" hidden="1">'10 indiv INCOME'!$A:$B</definedName>
    <definedName name="Z_2A6091F0_BAF4_46A2_BC20_0DE610E67601_.wvu.PrintTitles" localSheetId="14" hidden="1">'6E'!$A:$A</definedName>
    <definedName name="Z_2A6091F0_BAF4_46A2_BC20_0DE610E67601_.wvu.PrintTitles" localSheetId="11" hidden="1">'LABOUR FORCE 6A-B'!$A:$A</definedName>
    <definedName name="Z_5111FDC7_EEAC_46C3_8033_47A3563F0C00_.wvu.Cols" localSheetId="2" hidden="1">'01 HH Roster'!#REF!</definedName>
    <definedName name="Z_5111FDC7_EEAC_46C3_8033_47A3563F0C00_.wvu.Cols" localSheetId="9" hidden="1">'04 Health'!$AQ:$AR,'04 Health'!$BI:$BJ</definedName>
    <definedName name="Z_5111FDC7_EEAC_46C3_8033_47A3563F0C00_.wvu.PrintArea" localSheetId="2" hidden="1">'01 HH Roster'!$A$1:$BW$39</definedName>
    <definedName name="Z_5111FDC7_EEAC_46C3_8033_47A3563F0C00_.wvu.PrintArea" localSheetId="3" hidden="1">'02A HOUSING '!$A$1:$O$128</definedName>
    <definedName name="Z_5111FDC7_EEAC_46C3_8033_47A3563F0C00_.wvu.PrintArea" localSheetId="4" hidden="1">'02B HOUSING COST'!$A$1:$P$119</definedName>
    <definedName name="Z_5111FDC7_EEAC_46C3_8033_47A3563F0C00_.wvu.PrintArea" localSheetId="5" hidden="1">'02C Domestic Workers '!$A$1:$P$30</definedName>
    <definedName name="Z_5111FDC7_EEAC_46C3_8033_47A3563F0C00_.wvu.PrintArea" localSheetId="8" hidden="1">'03 Education'!$A$1:$BB$39</definedName>
    <definedName name="Z_5111FDC7_EEAC_46C3_8033_47A3563F0C00_.wvu.PrintArea" localSheetId="9" hidden="1">'04 Health'!$A$1:$BM$40</definedName>
    <definedName name="Z_5111FDC7_EEAC_46C3_8033_47A3563F0C00_.wvu.PrintArea" localSheetId="16" hidden="1">'07 Agric (2)'!$A$1:$AJ$54</definedName>
    <definedName name="Z_5111FDC7_EEAC_46C3_8033_47A3563F0C00_.wvu.PrintArea" localSheetId="20" hidden="1">'10 indiv INCOME'!$A$1:$AJ$39</definedName>
    <definedName name="Z_5111FDC7_EEAC_46C3_8033_47A3563F0C00_.wvu.PrintArea" localSheetId="21" hidden="1">'11 oth HH  income '!$A$1:$Y$45</definedName>
    <definedName name="Z_5111FDC7_EEAC_46C3_8033_47A3563F0C00_.wvu.PrintArea" localSheetId="25" hidden="1">'15 health exp- 12 mo'!$A$1:$E$58</definedName>
    <definedName name="Z_5111FDC7_EEAC_46C3_8033_47A3563F0C00_.wvu.PrintArea" localSheetId="6" hidden="1">'2D ACCESS'!$A$1:$AG$58</definedName>
    <definedName name="Z_5111FDC7_EEAC_46C3_8033_47A3563F0C00_.wvu.PrintArea" localSheetId="7" hidden="1">'2E Food Adequacy'!$A$1:$Y$54</definedName>
    <definedName name="Z_5111FDC7_EEAC_46C3_8033_47A3563F0C00_.wvu.PrintArea" localSheetId="10" hidden="1">'5 Durables'!$A$1:$O$49</definedName>
    <definedName name="Z_5111FDC7_EEAC_46C3_8033_47A3563F0C00_.wvu.PrintArea" localSheetId="12" hidden="1">'6C'!$A$1:$AH$86</definedName>
    <definedName name="Z_5111FDC7_EEAC_46C3_8033_47A3563F0C00_.wvu.PrintArea" localSheetId="13" hidden="1">'6D'!$A$1:$BJ$36</definedName>
    <definedName name="Z_5111FDC7_EEAC_46C3_8033_47A3563F0C00_.wvu.PrintArea" localSheetId="14" hidden="1">'6E'!$A$1:$AU$37</definedName>
    <definedName name="Z_5111FDC7_EEAC_46C3_8033_47A3563F0C00_.wvu.PrintArea" localSheetId="15" hidden="1">'7 agric activities'!$A$1:$V$51</definedName>
    <definedName name="Z_5111FDC7_EEAC_46C3_8033_47A3563F0C00_.wvu.PrintArea" localSheetId="18" hidden="1">'9a HH inc source'!$A$1:$AC$34</definedName>
    <definedName name="Z_5111FDC7_EEAC_46C3_8033_47A3563F0C00_.wvu.PrintArea" localSheetId="19" hidden="1">'9b HH debts'!$A$1:$AF$35</definedName>
    <definedName name="Z_5111FDC7_EEAC_46C3_8033_47A3563F0C00_.wvu.PrintArea" localSheetId="0" hidden="1">'Cover Nam'!$A$1:$BC$43</definedName>
    <definedName name="Z_5111FDC7_EEAC_46C3_8033_47A3563F0C00_.wvu.PrintArea" localSheetId="22" hidden="1">'sec 12- 1&amp;12mo expend'!$A$1:$F$59</definedName>
    <definedName name="Z_5111FDC7_EEAC_46C3_8033_47A3563F0C00_.wvu.PrintArea" localSheetId="23" hidden="1">'sec 13 - 3 mo clothes furn'!$A$1:$H$55</definedName>
    <definedName name="Z_5111FDC7_EEAC_46C3_8033_47A3563F0C00_.wvu.PrintArea" localSheetId="24" hidden="1">'sec 14 - 12 mo- appl and oth'!$A$1:$H$46</definedName>
    <definedName name="Z_5111FDC7_EEAC_46C3_8033_47A3563F0C00_.wvu.PrintArea" localSheetId="26" hidden="1">'sec 16 - 12 mo leisure'!$A$1:$F$46</definedName>
    <definedName name="Z_5111FDC7_EEAC_46C3_8033_47A3563F0C00_.wvu.PrintArea" localSheetId="27" hidden="1">'sec 17 -12 moECD&amp;adult  &amp;ITC'!$A$1:$E$30</definedName>
    <definedName name="Z_5111FDC7_EEAC_46C3_8033_47A3563F0C00_.wvu.PrintArea" localSheetId="29" hidden="1">'Sec 18- con''t. 12 months'!$A$1:$F$56</definedName>
    <definedName name="Z_5111FDC7_EEAC_46C3_8033_47A3563F0C00_.wvu.PrintArea" localSheetId="28" hidden="1">'Sec 18 transport- 12 months'!$A$1:$G$51</definedName>
    <definedName name="Z_5111FDC7_EEAC_46C3_8033_47A3563F0C00_.wvu.PrintArea" localSheetId="30" hidden="1">'sec 19 -12 mo gifts, finance, '!$A$1:$E$44</definedName>
    <definedName name="Z_5111FDC7_EEAC_46C3_8033_47A3563F0C00_.wvu.PrintArea" localSheetId="31" hidden="1">'Sec 20- savings and investments'!$A$1:$G$28</definedName>
    <definedName name="Z_5111FDC7_EEAC_46C3_8033_47A3563F0C00_.wvu.PrintArea" localSheetId="32" hidden="1">'Sec 21 ANTHRO'!$A$1:$P$39</definedName>
    <definedName name="Z_5111FDC7_EEAC_46C3_8033_47A3563F0C00_.wvu.PrintArea" localSheetId="1" hidden="1">ToC!$A$1:$F$36</definedName>
    <definedName name="Z_5111FDC7_EEAC_46C3_8033_47A3563F0C00_.wvu.PrintTitles" localSheetId="2" hidden="1">'01 HH Roster'!$A:$B</definedName>
    <definedName name="Z_5111FDC7_EEAC_46C3_8033_47A3563F0C00_.wvu.PrintTitles" localSheetId="8" hidden="1">'03 Education'!$A:$B</definedName>
    <definedName name="Z_5111FDC7_EEAC_46C3_8033_47A3563F0C00_.wvu.PrintTitles" localSheetId="9" hidden="1">'04 Health'!$A:$A</definedName>
    <definedName name="Z_5111FDC7_EEAC_46C3_8033_47A3563F0C00_.wvu.PrintTitles" localSheetId="20" hidden="1">'10 indiv INCOME'!$A:$B</definedName>
    <definedName name="Z_5111FDC7_EEAC_46C3_8033_47A3563F0C00_.wvu.PrintTitles" localSheetId="14" hidden="1">'6E'!$A:$A</definedName>
    <definedName name="Z_5111FDC7_EEAC_46C3_8033_47A3563F0C00_.wvu.PrintTitles" localSheetId="11" hidden="1">'LABOUR FORCE 6A-B'!$A:$A</definedName>
    <definedName name="Z_5111FDC7_EEAC_46C3_8033_47A3563F0C00_.wvu.Rows" localSheetId="4" hidden="1">'02B HOUSING COST'!$56:$56</definedName>
    <definedName name="Z_5111FDC7_EEAC_46C3_8033_47A3563F0C00_.wvu.Rows" localSheetId="31" hidden="1">'Sec 20- savings and investments'!$20:$20</definedName>
    <definedName name="Z_66872EF1_41BD_4D4B_B603_B8B0D03DAD22_.wvu.Cols" localSheetId="2" hidden="1">'01 HH Roster'!#REF!</definedName>
    <definedName name="Z_66872EF1_41BD_4D4B_B603_B8B0D03DAD22_.wvu.Cols" localSheetId="9" hidden="1">'04 Health'!$AQ:$AR,'04 Health'!$BI:$BJ</definedName>
    <definedName name="Z_66872EF1_41BD_4D4B_B603_B8B0D03DAD22_.wvu.PrintArea" localSheetId="2" hidden="1">'01 HH Roster'!$A$1:$BW$39</definedName>
    <definedName name="Z_66872EF1_41BD_4D4B_B603_B8B0D03DAD22_.wvu.PrintArea" localSheetId="3" hidden="1">'02A HOUSING '!$A$1:$O$128</definedName>
    <definedName name="Z_66872EF1_41BD_4D4B_B603_B8B0D03DAD22_.wvu.PrintArea" localSheetId="4" hidden="1">'02B HOUSING COST'!$A$1:$P$119</definedName>
    <definedName name="Z_66872EF1_41BD_4D4B_B603_B8B0D03DAD22_.wvu.PrintArea" localSheetId="5" hidden="1">'02C Domestic Workers '!$A$1:$P$30</definedName>
    <definedName name="Z_66872EF1_41BD_4D4B_B603_B8B0D03DAD22_.wvu.PrintArea" localSheetId="8" hidden="1">'03 Education'!$A$1:$BB$39</definedName>
    <definedName name="Z_66872EF1_41BD_4D4B_B603_B8B0D03DAD22_.wvu.PrintArea" localSheetId="9" hidden="1">'04 Health'!$A$1:$BM$40</definedName>
    <definedName name="Z_66872EF1_41BD_4D4B_B603_B8B0D03DAD22_.wvu.PrintArea" localSheetId="16" hidden="1">'07 Agric (2)'!$A$1:$AJ$54</definedName>
    <definedName name="Z_66872EF1_41BD_4D4B_B603_B8B0D03DAD22_.wvu.PrintArea" localSheetId="20" hidden="1">'10 indiv INCOME'!$A$1:$AJ$39</definedName>
    <definedName name="Z_66872EF1_41BD_4D4B_B603_B8B0D03DAD22_.wvu.PrintArea" localSheetId="21" hidden="1">'11 oth HH  income '!$A$1:$Y$45</definedName>
    <definedName name="Z_66872EF1_41BD_4D4B_B603_B8B0D03DAD22_.wvu.PrintArea" localSheetId="25" hidden="1">'15 health exp- 12 mo'!$A$1:$E$58</definedName>
    <definedName name="Z_66872EF1_41BD_4D4B_B603_B8B0D03DAD22_.wvu.PrintArea" localSheetId="6" hidden="1">'2D ACCESS'!$A$1:$AG$58</definedName>
    <definedName name="Z_66872EF1_41BD_4D4B_B603_B8B0D03DAD22_.wvu.PrintArea" localSheetId="7" hidden="1">'2E Food Adequacy'!$A$1:$Y$54</definedName>
    <definedName name="Z_66872EF1_41BD_4D4B_B603_B8B0D03DAD22_.wvu.PrintArea" localSheetId="10" hidden="1">'5 Durables'!$A$1:$O$49</definedName>
    <definedName name="Z_66872EF1_41BD_4D4B_B603_B8B0D03DAD22_.wvu.PrintArea" localSheetId="12" hidden="1">'6C'!$A$1:$AH$86</definedName>
    <definedName name="Z_66872EF1_41BD_4D4B_B603_B8B0D03DAD22_.wvu.PrintArea" localSheetId="13" hidden="1">'6D'!$A$1:$BJ$36</definedName>
    <definedName name="Z_66872EF1_41BD_4D4B_B603_B8B0D03DAD22_.wvu.PrintArea" localSheetId="14" hidden="1">'6E'!$A$1:$AU$37</definedName>
    <definedName name="Z_66872EF1_41BD_4D4B_B603_B8B0D03DAD22_.wvu.PrintArea" localSheetId="15" hidden="1">'7 agric activities'!$A$1:$V$51</definedName>
    <definedName name="Z_66872EF1_41BD_4D4B_B603_B8B0D03DAD22_.wvu.PrintArea" localSheetId="18" hidden="1">'9a HH inc source'!$A$1:$AC$34</definedName>
    <definedName name="Z_66872EF1_41BD_4D4B_B603_B8B0D03DAD22_.wvu.PrintArea" localSheetId="19" hidden="1">'9b HH debts'!$A$1:$AF$35</definedName>
    <definedName name="Z_66872EF1_41BD_4D4B_B603_B8B0D03DAD22_.wvu.PrintArea" localSheetId="0" hidden="1">'Cover Nam'!$A$1:$BC$43</definedName>
    <definedName name="Z_66872EF1_41BD_4D4B_B603_B8B0D03DAD22_.wvu.PrintArea" localSheetId="22" hidden="1">'sec 12- 1&amp;12mo expend'!$A$1:$F$59</definedName>
    <definedName name="Z_66872EF1_41BD_4D4B_B603_B8B0D03DAD22_.wvu.PrintArea" localSheetId="23" hidden="1">'sec 13 - 3 mo clothes furn'!$A$1:$H$55</definedName>
    <definedName name="Z_66872EF1_41BD_4D4B_B603_B8B0D03DAD22_.wvu.PrintArea" localSheetId="24" hidden="1">'sec 14 - 12 mo- appl and oth'!$A$1:$H$46</definedName>
    <definedName name="Z_66872EF1_41BD_4D4B_B603_B8B0D03DAD22_.wvu.PrintArea" localSheetId="26" hidden="1">'sec 16 - 12 mo leisure'!$A$1:$F$46</definedName>
    <definedName name="Z_66872EF1_41BD_4D4B_B603_B8B0D03DAD22_.wvu.PrintArea" localSheetId="27" hidden="1">'sec 17 -12 moECD&amp;adult  &amp;ITC'!$A$1:$E$30</definedName>
    <definedName name="Z_66872EF1_41BD_4D4B_B603_B8B0D03DAD22_.wvu.PrintArea" localSheetId="29" hidden="1">'Sec 18- con''t. 12 months'!$A$1:$F$56</definedName>
    <definedName name="Z_66872EF1_41BD_4D4B_B603_B8B0D03DAD22_.wvu.PrintArea" localSheetId="28" hidden="1">'Sec 18 transport- 12 months'!$A$1:$G$51</definedName>
    <definedName name="Z_66872EF1_41BD_4D4B_B603_B8B0D03DAD22_.wvu.PrintArea" localSheetId="30" hidden="1">'sec 19 -12 mo gifts, finance, '!$A$1:$E$44</definedName>
    <definedName name="Z_66872EF1_41BD_4D4B_B603_B8B0D03DAD22_.wvu.PrintArea" localSheetId="31" hidden="1">'Sec 20- savings and investments'!$A$1:$G$28</definedName>
    <definedName name="Z_66872EF1_41BD_4D4B_B603_B8B0D03DAD22_.wvu.PrintArea" localSheetId="32" hidden="1">'Sec 21 ANTHRO'!$A$1:$P$39</definedName>
    <definedName name="Z_66872EF1_41BD_4D4B_B603_B8B0D03DAD22_.wvu.PrintArea" localSheetId="1" hidden="1">ToC!$A$1:$F$36</definedName>
    <definedName name="Z_66872EF1_41BD_4D4B_B603_B8B0D03DAD22_.wvu.PrintTitles" localSheetId="2" hidden="1">'01 HH Roster'!$A:$B</definedName>
    <definedName name="Z_66872EF1_41BD_4D4B_B603_B8B0D03DAD22_.wvu.PrintTitles" localSheetId="8" hidden="1">'03 Education'!$A:$B</definedName>
    <definedName name="Z_66872EF1_41BD_4D4B_B603_B8B0D03DAD22_.wvu.PrintTitles" localSheetId="9" hidden="1">'04 Health'!$A:$A</definedName>
    <definedName name="Z_66872EF1_41BD_4D4B_B603_B8B0D03DAD22_.wvu.PrintTitles" localSheetId="20" hidden="1">'10 indiv INCOME'!$A:$B</definedName>
    <definedName name="Z_66872EF1_41BD_4D4B_B603_B8B0D03DAD22_.wvu.PrintTitles" localSheetId="14" hidden="1">'6E'!$A:$A</definedName>
    <definedName name="Z_66872EF1_41BD_4D4B_B603_B8B0D03DAD22_.wvu.PrintTitles" localSheetId="11" hidden="1">'LABOUR FORCE 6A-B'!$A:$A</definedName>
    <definedName name="Z_66872EF1_41BD_4D4B_B603_B8B0D03DAD22_.wvu.Rows" localSheetId="4" hidden="1">'02B HOUSING COST'!$56:$56</definedName>
    <definedName name="Z_66872EF1_41BD_4D4B_B603_B8B0D03DAD22_.wvu.Rows" localSheetId="31" hidden="1">'Sec 20- savings and investments'!$20:$20</definedName>
    <definedName name="Z_925F74B5_C2F5_4E55_AFE4_045C56169B44_.wvu.Cols" localSheetId="2" hidden="1">'01 HH Roster'!#REF!</definedName>
    <definedName name="Z_925F74B5_C2F5_4E55_AFE4_045C56169B44_.wvu.Cols" localSheetId="9" hidden="1">'04 Health'!$AQ:$AR,'04 Health'!$BI:$BJ</definedName>
    <definedName name="Z_925F74B5_C2F5_4E55_AFE4_045C56169B44_.wvu.PrintArea" localSheetId="3" hidden="1">'02A HOUSING '!$A$1:$O$133</definedName>
    <definedName name="Z_925F74B5_C2F5_4E55_AFE4_045C56169B44_.wvu.PrintArea" localSheetId="4" hidden="1">'02B HOUSING COST'!$A$1:$P$124</definedName>
    <definedName name="Z_925F74B5_C2F5_4E55_AFE4_045C56169B44_.wvu.PrintArea" localSheetId="5" hidden="1">'02C Domestic Workers '!$A$1:$P$30</definedName>
    <definedName name="Z_925F74B5_C2F5_4E55_AFE4_045C56169B44_.wvu.PrintArea" localSheetId="8" hidden="1">'03 Education'!$A$1:$BB$39</definedName>
    <definedName name="Z_925F74B5_C2F5_4E55_AFE4_045C56169B44_.wvu.PrintArea" localSheetId="9" hidden="1">'04 Health'!$A$1:$BH$40</definedName>
    <definedName name="Z_925F74B5_C2F5_4E55_AFE4_045C56169B44_.wvu.PrintArea" localSheetId="16" hidden="1">'07 Agric (2)'!$A$1:$AJ$54</definedName>
    <definedName name="Z_925F74B5_C2F5_4E55_AFE4_045C56169B44_.wvu.PrintArea" localSheetId="20" hidden="1">'10 indiv INCOME'!$A$1:$AJ$39</definedName>
    <definedName name="Z_925F74B5_C2F5_4E55_AFE4_045C56169B44_.wvu.PrintArea" localSheetId="21" hidden="1">'11 oth HH  income '!$A$1:$Y$45</definedName>
    <definedName name="Z_925F74B5_C2F5_4E55_AFE4_045C56169B44_.wvu.PrintArea" localSheetId="25" hidden="1">'15 health exp- 12 mo'!$A$1:$E$58</definedName>
    <definedName name="Z_925F74B5_C2F5_4E55_AFE4_045C56169B44_.wvu.PrintArea" localSheetId="6" hidden="1">'2D ACCESS'!$A$1:$AD$48</definedName>
    <definedName name="Z_925F74B5_C2F5_4E55_AFE4_045C56169B44_.wvu.PrintArea" localSheetId="10" hidden="1">'5 Durables'!$A$1:$O$49</definedName>
    <definedName name="Z_925F74B5_C2F5_4E55_AFE4_045C56169B44_.wvu.PrintArea" localSheetId="14" hidden="1">'6E'!$A$1:$AU$39</definedName>
    <definedName name="Z_925F74B5_C2F5_4E55_AFE4_045C56169B44_.wvu.PrintArea" localSheetId="15" hidden="1">'7 agric activities'!$A$1:$V$47</definedName>
    <definedName name="Z_925F74B5_C2F5_4E55_AFE4_045C56169B44_.wvu.PrintArea" localSheetId="18" hidden="1">'9a HH inc source'!$A$1:$AC$34</definedName>
    <definedName name="Z_925F74B5_C2F5_4E55_AFE4_045C56169B44_.wvu.PrintArea" localSheetId="0" hidden="1">'Cover Nam'!$A$1:$BC$43</definedName>
    <definedName name="Z_925F74B5_C2F5_4E55_AFE4_045C56169B44_.wvu.PrintArea" localSheetId="22" hidden="1">'sec 12- 1&amp;12mo expend'!$A$1:$E$45</definedName>
    <definedName name="Z_925F74B5_C2F5_4E55_AFE4_045C56169B44_.wvu.PrintArea" localSheetId="23" hidden="1">'sec 13 - 3 mo clothes furn'!$A$1:$H$55</definedName>
    <definedName name="Z_925F74B5_C2F5_4E55_AFE4_045C56169B44_.wvu.PrintArea" localSheetId="24" hidden="1">'sec 14 - 12 mo- appl and oth'!$A$1:$H$46</definedName>
    <definedName name="Z_925F74B5_C2F5_4E55_AFE4_045C56169B44_.wvu.PrintArea" localSheetId="26" hidden="1">'sec 16 - 12 mo leisure'!$A$1:$F$58</definedName>
    <definedName name="Z_925F74B5_C2F5_4E55_AFE4_045C56169B44_.wvu.PrintArea" localSheetId="27" hidden="1">'sec 17 -12 moECD&amp;adult  &amp;ITC'!$A$1:$E$30</definedName>
    <definedName name="Z_925F74B5_C2F5_4E55_AFE4_045C56169B44_.wvu.PrintArea" localSheetId="29" hidden="1">'Sec 18- con''t. 12 months'!$A$1:$G$85</definedName>
    <definedName name="Z_925F74B5_C2F5_4E55_AFE4_045C56169B44_.wvu.PrintArea" localSheetId="28" hidden="1">'Sec 18 transport- 12 months'!$A$1:$G$51</definedName>
    <definedName name="Z_925F74B5_C2F5_4E55_AFE4_045C56169B44_.wvu.PrintArea" localSheetId="30" hidden="1">'sec 19 -12 mo gifts, finance, '!$A$1:$E$48</definedName>
    <definedName name="Z_925F74B5_C2F5_4E55_AFE4_045C56169B44_.wvu.PrintArea" localSheetId="32" hidden="1">'Sec 21 ANTHRO'!$A$1:$P$39</definedName>
    <definedName name="Z_925F74B5_C2F5_4E55_AFE4_045C56169B44_.wvu.PrintTitles" localSheetId="2" hidden="1">'01 HH Roster'!$A:$B</definedName>
    <definedName name="Z_925F74B5_C2F5_4E55_AFE4_045C56169B44_.wvu.PrintTitles" localSheetId="8" hidden="1">'03 Education'!$A:$B</definedName>
    <definedName name="Z_925F74B5_C2F5_4E55_AFE4_045C56169B44_.wvu.PrintTitles" localSheetId="9" hidden="1">'04 Health'!$A:$A</definedName>
    <definedName name="Z_925F74B5_C2F5_4E55_AFE4_045C56169B44_.wvu.PrintTitles" localSheetId="20" hidden="1">'10 indiv INCOME'!$A:$B</definedName>
    <definedName name="Z_925F74B5_C2F5_4E55_AFE4_045C56169B44_.wvu.PrintTitles" localSheetId="14" hidden="1">'6E'!$A:$A</definedName>
    <definedName name="Z_925F74B5_C2F5_4E55_AFE4_045C56169B44_.wvu.PrintTitles" localSheetId="11" hidden="1">'LABOUR FORCE 6A-B'!$A:$A</definedName>
    <definedName name="Z_ACE56013_11B3_4BF4_BD0B_BF59142DAC13_.wvu.Cols" localSheetId="2" hidden="1">'01 HH Roster'!#REF!</definedName>
    <definedName name="Z_ACE56013_11B3_4BF4_BD0B_BF59142DAC13_.wvu.Cols" localSheetId="9" hidden="1">'04 Health'!$AQ:$AR,'04 Health'!$BI:$BJ</definedName>
    <definedName name="Z_ACE56013_11B3_4BF4_BD0B_BF59142DAC13_.wvu.PrintArea" localSheetId="2" hidden="1">'01 HH Roster'!$A$1:$BW$39</definedName>
    <definedName name="Z_ACE56013_11B3_4BF4_BD0B_BF59142DAC13_.wvu.PrintArea" localSheetId="3" hidden="1">'02A HOUSING '!$A$1:$O$128</definedName>
    <definedName name="Z_ACE56013_11B3_4BF4_BD0B_BF59142DAC13_.wvu.PrintArea" localSheetId="4" hidden="1">'02B HOUSING COST'!$A$1:$P$119</definedName>
    <definedName name="Z_ACE56013_11B3_4BF4_BD0B_BF59142DAC13_.wvu.PrintArea" localSheetId="5" hidden="1">'02C Domestic Workers '!$A$1:$P$30</definedName>
    <definedName name="Z_ACE56013_11B3_4BF4_BD0B_BF59142DAC13_.wvu.PrintArea" localSheetId="8" hidden="1">'03 Education'!$A$1:$BB$39</definedName>
    <definedName name="Z_ACE56013_11B3_4BF4_BD0B_BF59142DAC13_.wvu.PrintArea" localSheetId="9" hidden="1">'04 Health'!$A$1:$BM$40</definedName>
    <definedName name="Z_ACE56013_11B3_4BF4_BD0B_BF59142DAC13_.wvu.PrintArea" localSheetId="16" hidden="1">'07 Agric (2)'!$A$1:$AJ$54</definedName>
    <definedName name="Z_ACE56013_11B3_4BF4_BD0B_BF59142DAC13_.wvu.PrintArea" localSheetId="20" hidden="1">'10 indiv INCOME'!$A$1:$AJ$39</definedName>
    <definedName name="Z_ACE56013_11B3_4BF4_BD0B_BF59142DAC13_.wvu.PrintArea" localSheetId="21" hidden="1">'11 oth HH  income '!$A$1:$Y$45</definedName>
    <definedName name="Z_ACE56013_11B3_4BF4_BD0B_BF59142DAC13_.wvu.PrintArea" localSheetId="25" hidden="1">'15 health exp- 12 mo'!$A$1:$E$58</definedName>
    <definedName name="Z_ACE56013_11B3_4BF4_BD0B_BF59142DAC13_.wvu.PrintArea" localSheetId="6" hidden="1">'2D ACCESS'!$A$1:$AG$58</definedName>
    <definedName name="Z_ACE56013_11B3_4BF4_BD0B_BF59142DAC13_.wvu.PrintArea" localSheetId="7" hidden="1">'2E Food Adequacy'!$A$1:$Y$54</definedName>
    <definedName name="Z_ACE56013_11B3_4BF4_BD0B_BF59142DAC13_.wvu.PrintArea" localSheetId="10" hidden="1">'5 Durables'!$A$1:$O$49</definedName>
    <definedName name="Z_ACE56013_11B3_4BF4_BD0B_BF59142DAC13_.wvu.PrintArea" localSheetId="12" hidden="1">'6C'!$A$1:$AH$86</definedName>
    <definedName name="Z_ACE56013_11B3_4BF4_BD0B_BF59142DAC13_.wvu.PrintArea" localSheetId="13" hidden="1">'6D'!$A$1:$BJ$36</definedName>
    <definedName name="Z_ACE56013_11B3_4BF4_BD0B_BF59142DAC13_.wvu.PrintArea" localSheetId="14" hidden="1">'6E'!$A$1:$AU$37</definedName>
    <definedName name="Z_ACE56013_11B3_4BF4_BD0B_BF59142DAC13_.wvu.PrintArea" localSheetId="15" hidden="1">'7 agric activities'!$A$1:$V$51</definedName>
    <definedName name="Z_ACE56013_11B3_4BF4_BD0B_BF59142DAC13_.wvu.PrintArea" localSheetId="18" hidden="1">'9a HH inc source'!$A$1:$AC$34</definedName>
    <definedName name="Z_ACE56013_11B3_4BF4_BD0B_BF59142DAC13_.wvu.PrintArea" localSheetId="19" hidden="1">'9b HH debts'!$A$1:$AF$35</definedName>
    <definedName name="Z_ACE56013_11B3_4BF4_BD0B_BF59142DAC13_.wvu.PrintArea" localSheetId="0" hidden="1">'Cover Nam'!$A$1:$BC$43</definedName>
    <definedName name="Z_ACE56013_11B3_4BF4_BD0B_BF59142DAC13_.wvu.PrintArea" localSheetId="22" hidden="1">'sec 12- 1&amp;12mo expend'!$A$1:$F$59</definedName>
    <definedName name="Z_ACE56013_11B3_4BF4_BD0B_BF59142DAC13_.wvu.PrintArea" localSheetId="23" hidden="1">'sec 13 - 3 mo clothes furn'!$A$1:$H$55</definedName>
    <definedName name="Z_ACE56013_11B3_4BF4_BD0B_BF59142DAC13_.wvu.PrintArea" localSheetId="24" hidden="1">'sec 14 - 12 mo- appl and oth'!$A$1:$H$46</definedName>
    <definedName name="Z_ACE56013_11B3_4BF4_BD0B_BF59142DAC13_.wvu.PrintArea" localSheetId="26" hidden="1">'sec 16 - 12 mo leisure'!$A$1:$F$46</definedName>
    <definedName name="Z_ACE56013_11B3_4BF4_BD0B_BF59142DAC13_.wvu.PrintArea" localSheetId="27" hidden="1">'sec 17 -12 moECD&amp;adult  &amp;ITC'!$A$1:$E$30</definedName>
    <definedName name="Z_ACE56013_11B3_4BF4_BD0B_BF59142DAC13_.wvu.PrintArea" localSheetId="29" hidden="1">'Sec 18- con''t. 12 months'!$A$1:$F$56</definedName>
    <definedName name="Z_ACE56013_11B3_4BF4_BD0B_BF59142DAC13_.wvu.PrintArea" localSheetId="28" hidden="1">'Sec 18 transport- 12 months'!$A$1:$G$51</definedName>
    <definedName name="Z_ACE56013_11B3_4BF4_BD0B_BF59142DAC13_.wvu.PrintArea" localSheetId="30" hidden="1">'sec 19 -12 mo gifts, finance, '!$A$1:$E$44</definedName>
    <definedName name="Z_ACE56013_11B3_4BF4_BD0B_BF59142DAC13_.wvu.PrintArea" localSheetId="31" hidden="1">'Sec 20- savings and investments'!$A$1:$G$28</definedName>
    <definedName name="Z_ACE56013_11B3_4BF4_BD0B_BF59142DAC13_.wvu.PrintArea" localSheetId="32" hidden="1">'Sec 21 ANTHRO'!$A$1:$P$39</definedName>
    <definedName name="Z_ACE56013_11B3_4BF4_BD0B_BF59142DAC13_.wvu.PrintArea" localSheetId="1" hidden="1">ToC!$A$1:$F$36</definedName>
    <definedName name="Z_ACE56013_11B3_4BF4_BD0B_BF59142DAC13_.wvu.PrintTitles" localSheetId="2" hidden="1">'01 HH Roster'!$A:$B</definedName>
    <definedName name="Z_ACE56013_11B3_4BF4_BD0B_BF59142DAC13_.wvu.PrintTitles" localSheetId="8" hidden="1">'03 Education'!$A:$B</definedName>
    <definedName name="Z_ACE56013_11B3_4BF4_BD0B_BF59142DAC13_.wvu.PrintTitles" localSheetId="9" hidden="1">'04 Health'!$A:$A</definedName>
    <definedName name="Z_ACE56013_11B3_4BF4_BD0B_BF59142DAC13_.wvu.PrintTitles" localSheetId="20" hidden="1">'10 indiv INCOME'!$A:$B</definedName>
    <definedName name="Z_ACE56013_11B3_4BF4_BD0B_BF59142DAC13_.wvu.PrintTitles" localSheetId="14" hidden="1">'6E'!$A:$A</definedName>
    <definedName name="Z_ACE56013_11B3_4BF4_BD0B_BF59142DAC13_.wvu.PrintTitles" localSheetId="11" hidden="1">'LABOUR FORCE 6A-B'!$A:$A</definedName>
    <definedName name="Z_ACE56013_11B3_4BF4_BD0B_BF59142DAC13_.wvu.Rows" localSheetId="4" hidden="1">'02B HOUSING COST'!$56:$56</definedName>
    <definedName name="Z_ACE56013_11B3_4BF4_BD0B_BF59142DAC13_.wvu.Rows" localSheetId="23" hidden="1">'sec 13 - 3 mo clothes furn'!$2:$2</definedName>
    <definedName name="Z_ACE56013_11B3_4BF4_BD0B_BF59142DAC13_.wvu.Rows" localSheetId="31" hidden="1">'Sec 20- savings and investments'!$20:$20</definedName>
    <definedName name="Z_BDF1A126_BD1D_4A5E_80B8_98941684E462_.wvu.Cols" localSheetId="2" hidden="1">'01 HH Roster'!#REF!</definedName>
    <definedName name="Z_BDF1A126_BD1D_4A5E_80B8_98941684E462_.wvu.Cols" localSheetId="9" hidden="1">'04 Health'!$AQ:$AR,'04 Health'!$BI:$BJ</definedName>
    <definedName name="Z_BDF1A126_BD1D_4A5E_80B8_98941684E462_.wvu.PrintArea" localSheetId="2" hidden="1">'01 HH Roster'!$A$1:$BW$39</definedName>
    <definedName name="Z_BDF1A126_BD1D_4A5E_80B8_98941684E462_.wvu.PrintArea" localSheetId="3" hidden="1">'02A HOUSING '!$A$1:$O$128</definedName>
    <definedName name="Z_BDF1A126_BD1D_4A5E_80B8_98941684E462_.wvu.PrintArea" localSheetId="4" hidden="1">'02B HOUSING COST'!$A$1:$P$119</definedName>
    <definedName name="Z_BDF1A126_BD1D_4A5E_80B8_98941684E462_.wvu.PrintArea" localSheetId="5" hidden="1">'02C Domestic Workers '!$A$1:$P$30</definedName>
    <definedName name="Z_BDF1A126_BD1D_4A5E_80B8_98941684E462_.wvu.PrintArea" localSheetId="8" hidden="1">'03 Education'!$A$1:$BB$39</definedName>
    <definedName name="Z_BDF1A126_BD1D_4A5E_80B8_98941684E462_.wvu.PrintArea" localSheetId="9" hidden="1">'04 Health'!$A$1:$BM$40</definedName>
    <definedName name="Z_BDF1A126_BD1D_4A5E_80B8_98941684E462_.wvu.PrintArea" localSheetId="16" hidden="1">'07 Agric (2)'!$A$1:$AJ$54</definedName>
    <definedName name="Z_BDF1A126_BD1D_4A5E_80B8_98941684E462_.wvu.PrintArea" localSheetId="20" hidden="1">'10 indiv INCOME'!$A$1:$AJ$39</definedName>
    <definedName name="Z_BDF1A126_BD1D_4A5E_80B8_98941684E462_.wvu.PrintArea" localSheetId="21" hidden="1">'11 oth HH  income '!$A$1:$Y$45</definedName>
    <definedName name="Z_BDF1A126_BD1D_4A5E_80B8_98941684E462_.wvu.PrintArea" localSheetId="25" hidden="1">'15 health exp- 12 mo'!$A$1:$E$58</definedName>
    <definedName name="Z_BDF1A126_BD1D_4A5E_80B8_98941684E462_.wvu.PrintArea" localSheetId="6" hidden="1">'2D ACCESS'!$A$1:$AG$58</definedName>
    <definedName name="Z_BDF1A126_BD1D_4A5E_80B8_98941684E462_.wvu.PrintArea" localSheetId="7" hidden="1">'2E Food Adequacy'!$A$1:$Y$54</definedName>
    <definedName name="Z_BDF1A126_BD1D_4A5E_80B8_98941684E462_.wvu.PrintArea" localSheetId="10" hidden="1">'5 Durables'!$A$1:$O$49</definedName>
    <definedName name="Z_BDF1A126_BD1D_4A5E_80B8_98941684E462_.wvu.PrintArea" localSheetId="12" hidden="1">'6C'!$A$1:$AH$86</definedName>
    <definedName name="Z_BDF1A126_BD1D_4A5E_80B8_98941684E462_.wvu.PrintArea" localSheetId="13" hidden="1">'6D'!$A$1:$BJ$36</definedName>
    <definedName name="Z_BDF1A126_BD1D_4A5E_80B8_98941684E462_.wvu.PrintArea" localSheetId="14" hidden="1">'6E'!$A$1:$AU$37</definedName>
    <definedName name="Z_BDF1A126_BD1D_4A5E_80B8_98941684E462_.wvu.PrintArea" localSheetId="15" hidden="1">'7 agric activities'!$A$1:$V$51</definedName>
    <definedName name="Z_BDF1A126_BD1D_4A5E_80B8_98941684E462_.wvu.PrintArea" localSheetId="18" hidden="1">'9a HH inc source'!$A$1:$AC$34</definedName>
    <definedName name="Z_BDF1A126_BD1D_4A5E_80B8_98941684E462_.wvu.PrintArea" localSheetId="19" hidden="1">'9b HH debts'!$A$1:$AF$35</definedName>
    <definedName name="Z_BDF1A126_BD1D_4A5E_80B8_98941684E462_.wvu.PrintArea" localSheetId="0" hidden="1">'Cover Nam'!$A$1:$BC$43</definedName>
    <definedName name="Z_BDF1A126_BD1D_4A5E_80B8_98941684E462_.wvu.PrintArea" localSheetId="22" hidden="1">'sec 12- 1&amp;12mo expend'!$A$1:$F$59</definedName>
    <definedName name="Z_BDF1A126_BD1D_4A5E_80B8_98941684E462_.wvu.PrintArea" localSheetId="23" hidden="1">'sec 13 - 3 mo clothes furn'!$A$1:$H$55</definedName>
    <definedName name="Z_BDF1A126_BD1D_4A5E_80B8_98941684E462_.wvu.PrintArea" localSheetId="24" hidden="1">'sec 14 - 12 mo- appl and oth'!$A$1:$H$46</definedName>
    <definedName name="Z_BDF1A126_BD1D_4A5E_80B8_98941684E462_.wvu.PrintArea" localSheetId="26" hidden="1">'sec 16 - 12 mo leisure'!$A$1:$F$46</definedName>
    <definedName name="Z_BDF1A126_BD1D_4A5E_80B8_98941684E462_.wvu.PrintArea" localSheetId="27" hidden="1">'sec 17 -12 moECD&amp;adult  &amp;ITC'!$A$1:$E$30</definedName>
    <definedName name="Z_BDF1A126_BD1D_4A5E_80B8_98941684E462_.wvu.PrintArea" localSheetId="29" hidden="1">'Sec 18- con''t. 12 months'!$A$1:$F$56</definedName>
    <definedName name="Z_BDF1A126_BD1D_4A5E_80B8_98941684E462_.wvu.PrintArea" localSheetId="28" hidden="1">'Sec 18 transport- 12 months'!$A$1:$G$51</definedName>
    <definedName name="Z_BDF1A126_BD1D_4A5E_80B8_98941684E462_.wvu.PrintArea" localSheetId="30" hidden="1">'sec 19 -12 mo gifts, finance, '!$A$1:$E$44</definedName>
    <definedName name="Z_BDF1A126_BD1D_4A5E_80B8_98941684E462_.wvu.PrintArea" localSheetId="31" hidden="1">'Sec 20- savings and investments'!$A$1:$G$28</definedName>
    <definedName name="Z_BDF1A126_BD1D_4A5E_80B8_98941684E462_.wvu.PrintArea" localSheetId="32" hidden="1">'Sec 21 ANTHRO'!$A$1:$P$39</definedName>
    <definedName name="Z_BDF1A126_BD1D_4A5E_80B8_98941684E462_.wvu.PrintArea" localSheetId="1" hidden="1">ToC!$A$1:$F$36</definedName>
    <definedName name="Z_BDF1A126_BD1D_4A5E_80B8_98941684E462_.wvu.PrintTitles" localSheetId="2" hidden="1">'01 HH Roster'!$A:$B</definedName>
    <definedName name="Z_BDF1A126_BD1D_4A5E_80B8_98941684E462_.wvu.PrintTitles" localSheetId="8" hidden="1">'03 Education'!$A:$B</definedName>
    <definedName name="Z_BDF1A126_BD1D_4A5E_80B8_98941684E462_.wvu.PrintTitles" localSheetId="9" hidden="1">'04 Health'!$A:$A</definedName>
    <definedName name="Z_BDF1A126_BD1D_4A5E_80B8_98941684E462_.wvu.PrintTitles" localSheetId="20" hidden="1">'10 indiv INCOME'!$A:$B</definedName>
    <definedName name="Z_BDF1A126_BD1D_4A5E_80B8_98941684E462_.wvu.PrintTitles" localSheetId="14" hidden="1">'6E'!$A:$A</definedName>
    <definedName name="Z_BDF1A126_BD1D_4A5E_80B8_98941684E462_.wvu.PrintTitles" localSheetId="11" hidden="1">'LABOUR FORCE 6A-B'!$A:$A</definedName>
    <definedName name="سعيد" localSheetId="5">#REF!</definedName>
    <definedName name="سعيد" localSheetId="20">#REF!</definedName>
    <definedName name="سعيد" localSheetId="21">#REF!</definedName>
    <definedName name="سعيد" localSheetId="25">#REF!</definedName>
    <definedName name="سعيد" localSheetId="19">#REF!</definedName>
    <definedName name="سعيد" localSheetId="26">#REF!</definedName>
    <definedName name="سعيد" localSheetId="27">#REF!</definedName>
    <definedName name="سعيد" localSheetId="29">#REF!</definedName>
    <definedName name="سعيد" localSheetId="28">#REF!</definedName>
    <definedName name="سعيد" localSheetId="30">#REF!</definedName>
    <definedName name="سعيد">#REF!</definedName>
    <definedName name="سو" localSheetId="5">#REF!</definedName>
    <definedName name="سو" localSheetId="20">#REF!</definedName>
    <definedName name="سو" localSheetId="21">#REF!</definedName>
    <definedName name="سو" localSheetId="25">#REF!</definedName>
    <definedName name="سو" localSheetId="19">#REF!</definedName>
    <definedName name="سو" localSheetId="26">#REF!</definedName>
    <definedName name="سو" localSheetId="27">#REF!</definedName>
    <definedName name="سو" localSheetId="29">#REF!</definedName>
    <definedName name="سو" localSheetId="28">#REF!</definedName>
    <definedName name="سو" localSheetId="30">#REF!</definedName>
    <definedName name="سو">#REF!</definedName>
    <definedName name="قثاشلا" localSheetId="5">#REF!</definedName>
    <definedName name="قثاشلا" localSheetId="20">#REF!</definedName>
    <definedName name="قثاشلا" localSheetId="25">#REF!</definedName>
    <definedName name="قثاشلا" localSheetId="19">#REF!</definedName>
    <definedName name="قثاشلا" localSheetId="24">#REF!</definedName>
    <definedName name="قثاشلا" localSheetId="26">#REF!</definedName>
    <definedName name="قثاشلا" localSheetId="27">#REF!</definedName>
    <definedName name="قثاشلا" localSheetId="29">#REF!</definedName>
    <definedName name="قثاشلا" localSheetId="28">#REF!</definedName>
    <definedName name="قثاشلا" localSheetId="30">#REF!</definedName>
    <definedName name="قثاشلا">#REF!</definedName>
  </definedNames>
  <calcPr calcId="145621"/>
  <customWorkbookViews>
    <customWorkbookView name="DP - Personal View" guid="{BDF1A126-BD1D-4A5E-80B8-98941684E462}" mergeInterval="0" personalView="1" maximized="1" windowWidth="1362" windowHeight="523" tabRatio="909" activeSheetId="18" showComments="commIndAndComment"/>
    <customWorkbookView name="valerie - Personal View" guid="{04F0793E-5444-463D-A1D5-E52E08A4C249}" mergeInterval="0" personalView="1" maximized="1" xWindow="1" yWindow="1" windowWidth="1276" windowHeight="730" tabRatio="889" activeSheetId="23" showComments="commIndAndComment"/>
    <customWorkbookView name="Wolfgang Roos - Personal View" guid="{925F74B5-C2F5-4E55-AFE4-045C56169B44}" mergeInterval="0" personalView="1" maximized="1" windowWidth="1596" windowHeight="675" tabRatio="889" activeSheetId="38" showComments="commIndAndComment"/>
    <customWorkbookView name="Frieda - Personal View" guid="{1FF58891-F32F-4F97-9812-E2D02F4497AA}" mergeInterval="0" personalView="1" maximized="1" windowWidth="1362" windowHeight="483" tabRatio="909" activeSheetId="53" showComments="commIndAndComment"/>
    <customWorkbookView name="Roos - Personal View" guid="{2A6091F0-BAF4-46A2-BC20-0DE610E67601}" mergeInterval="0" personalView="1" maximized="1" windowWidth="1596" windowHeight="655" tabRatio="909" activeSheetId="20" showComments="commIndAndComment"/>
    <customWorkbookView name="Sapalov Quita - Personal View" guid="{5111FDC7-EEAC-46C3-8033-47A3563F0C00}" mergeInterval="0" personalView="1" maximized="1" windowWidth="1676" windowHeight="759" tabRatio="909" activeSheetId="20"/>
    <customWorkbookView name="User215 - Personal View" guid="{2A5E79E4-584C-4F65-A220-87928CEA02AF}" mergeInterval="0" personalView="1" maximized="1" windowWidth="1362" windowHeight="611" tabRatio="909" activeSheetId="20"/>
    <customWorkbookView name="Mr. Sapalov Quita - Personal View" guid="{66872EF1-41BD-4D4B-B603-B8B0D03DAD22}" mergeInterval="0" personalView="1" maximized="1" windowWidth="1362" windowHeight="543" tabRatio="909" activeSheetId="1"/>
    <customWorkbookView name="Fransina Amutenya - Personal View" guid="{ACE56013-11B3-4BF4-BD0B-BF59142DAC13}" mergeInterval="0" personalView="1" maximized="1" xWindow="-8" yWindow="-8" windowWidth="1382" windowHeight="744" tabRatio="909" activeSheetId="47" showFormulaBar="0"/>
  </customWorkbookViews>
</workbook>
</file>

<file path=xl/calcChain.xml><?xml version="1.0" encoding="utf-8"?>
<calcChain xmlns="http://schemas.openxmlformats.org/spreadsheetml/2006/main">
  <c r="E4" i="54" l="1"/>
  <c r="H4" i="54" s="1"/>
  <c r="K4" i="54" s="1"/>
  <c r="M4" i="54" s="1"/>
  <c r="O4" i="54" s="1"/>
  <c r="S47" i="23" l="1"/>
  <c r="V47" i="23" s="1"/>
  <c r="W47" i="23" s="1"/>
  <c r="X47" i="23" s="1"/>
  <c r="I3" i="14" l="1"/>
  <c r="K3" i="14" s="1"/>
  <c r="L3" i="14" s="1"/>
  <c r="Q3" i="14" s="1"/>
  <c r="S3" i="14" s="1"/>
  <c r="U3" i="14" s="1"/>
  <c r="W3" i="14" s="1"/>
  <c r="X3" i="14" s="1"/>
  <c r="Z3" i="14" s="1"/>
  <c r="AB3" i="14" s="1"/>
  <c r="AD3" i="14" s="1"/>
  <c r="AE3" i="14" s="1"/>
  <c r="AG3" i="14" s="1"/>
  <c r="AH3" i="14" s="1"/>
  <c r="AL3" i="14" s="1"/>
  <c r="AN3" i="14" s="1"/>
  <c r="H9" i="10"/>
  <c r="J9" i="10" s="1"/>
  <c r="K9" i="10" s="1"/>
  <c r="L9" i="10" s="1"/>
  <c r="M9" i="10" s="1"/>
  <c r="N9" i="10" s="1"/>
  <c r="AI33" i="25" l="1"/>
  <c r="AI27" i="25"/>
  <c r="AF34" i="25"/>
  <c r="U27" i="22"/>
  <c r="V27" i="22"/>
  <c r="W27" i="22"/>
  <c r="X27" i="22"/>
  <c r="X26" i="22"/>
  <c r="W26" i="22"/>
  <c r="V26" i="22"/>
  <c r="U26" i="22"/>
  <c r="M39" i="22"/>
  <c r="AW37" i="18"/>
  <c r="AP37" i="14"/>
  <c r="Z30" i="14"/>
  <c r="Z29" i="14"/>
  <c r="X28" i="14"/>
  <c r="X29" i="14"/>
  <c r="X30" i="14"/>
  <c r="X27" i="14"/>
  <c r="Q27" i="14"/>
  <c r="Q26" i="14"/>
  <c r="AZ39" i="11"/>
  <c r="AZ39" i="5"/>
  <c r="S118" i="9"/>
  <c r="S4" i="23"/>
  <c r="V4" i="23" s="1"/>
  <c r="W4" i="23" s="1"/>
  <c r="X4" i="23" s="1"/>
  <c r="S3" i="33"/>
  <c r="Y3" i="33" s="1"/>
  <c r="AE3" i="33" s="1"/>
  <c r="AK3" i="33" s="1"/>
  <c r="AQ3" i="33" s="1"/>
  <c r="G23" i="27"/>
  <c r="J23" i="27" s="1"/>
  <c r="M23" i="27" s="1"/>
  <c r="P23" i="27" s="1"/>
  <c r="S23" i="27" s="1"/>
  <c r="V23" i="27" s="1"/>
  <c r="Y23" i="27" s="1"/>
  <c r="AB23" i="27" s="1"/>
  <c r="AE23" i="27" s="1"/>
  <c r="AG23" i="27" s="1"/>
  <c r="AI23" i="27" s="1"/>
  <c r="AK23" i="27" s="1"/>
  <c r="AP23" i="27" s="1"/>
  <c r="AS23" i="27" s="1"/>
  <c r="R5" i="27"/>
  <c r="AC5" i="27" s="1"/>
  <c r="AF5" i="27" s="1"/>
  <c r="D4" i="25"/>
  <c r="G4" i="25" s="1"/>
  <c r="J4" i="25" s="1"/>
  <c r="P4" i="25" s="1"/>
  <c r="T4" i="25" s="1"/>
  <c r="V4" i="25" s="1"/>
  <c r="AB4" i="25" s="1"/>
  <c r="AD4" i="25" s="1"/>
  <c r="C4" i="22"/>
  <c r="E4" i="22" s="1"/>
  <c r="G4" i="22" s="1"/>
  <c r="I4" i="22" s="1"/>
  <c r="A35" i="9"/>
  <c r="A41" i="9" s="1"/>
  <c r="I9" i="9"/>
  <c r="I16" i="9" s="1"/>
  <c r="I44" i="9" s="1"/>
  <c r="I50" i="9" s="1"/>
  <c r="I54" i="9" s="1"/>
  <c r="A66" i="9" s="1"/>
  <c r="A70" i="9" s="1"/>
  <c r="A74" i="9" s="1"/>
  <c r="A99" i="9" s="1"/>
  <c r="I66" i="9" s="1"/>
  <c r="I92" i="9" s="1"/>
  <c r="I99" i="9" s="1"/>
  <c r="I108" i="9" s="1"/>
  <c r="I113" i="9" s="1"/>
  <c r="A90" i="8"/>
  <c r="A102" i="8" s="1"/>
  <c r="A106" i="8" s="1"/>
  <c r="A111" i="8" s="1"/>
  <c r="I79" i="8" s="1"/>
  <c r="I96" i="8" s="1"/>
  <c r="I101" i="8" s="1"/>
  <c r="I109" i="8" s="1"/>
  <c r="I115" i="8" s="1"/>
  <c r="A3" i="8"/>
  <c r="A16" i="8" s="1"/>
  <c r="A31" i="8" s="1"/>
  <c r="A45" i="8" s="1"/>
  <c r="A53" i="8" s="1"/>
  <c r="A61" i="8" s="1"/>
  <c r="I3" i="8" s="1"/>
  <c r="I24" i="8" s="1"/>
  <c r="I37" i="8" s="1"/>
  <c r="I53" i="8" s="1"/>
  <c r="AG4" i="25" l="1"/>
  <c r="AI4" i="25" s="1"/>
  <c r="AL4" i="25" s="1"/>
  <c r="AO4" i="25" s="1"/>
  <c r="AR4" i="25" s="1"/>
  <c r="AU4" i="25" s="1"/>
  <c r="AW4" i="25" s="1"/>
  <c r="AY4" i="25" s="1"/>
  <c r="BC4" i="25" s="1"/>
  <c r="BE4" i="25" s="1"/>
  <c r="AJ5" i="27"/>
  <c r="AM5" i="27" s="1"/>
  <c r="AP5" i="27" s="1"/>
  <c r="AS5" i="27" s="1"/>
  <c r="M4" i="22"/>
  <c r="P4" i="22" s="1"/>
  <c r="R4" i="22" s="1"/>
  <c r="H21" i="22" s="1"/>
  <c r="K4" i="22"/>
  <c r="F21" i="22" l="1"/>
  <c r="D21" i="22"/>
  <c r="U4" i="22"/>
  <c r="Y4" i="22" s="1"/>
  <c r="AB4" i="22" s="1"/>
  <c r="AE4" i="22" s="1"/>
  <c r="AG4" i="22" s="1"/>
  <c r="AI4" i="22" s="1"/>
  <c r="AP4" i="22" s="1"/>
  <c r="AF18" i="22" l="1"/>
  <c r="AR4" i="22"/>
  <c r="AU4" i="22" s="1"/>
  <c r="AQ19" i="22" l="1"/>
  <c r="P3" i="5" l="1"/>
  <c r="R3" i="5" s="1"/>
  <c r="T3" i="5" s="1"/>
  <c r="W3" i="5" s="1"/>
  <c r="Y3" i="5" s="1"/>
  <c r="AB3" i="5" s="1"/>
  <c r="AE3" i="5" s="1"/>
  <c r="AH3" i="5" s="1"/>
  <c r="AK3" i="5" l="1"/>
  <c r="AN3" i="5" s="1"/>
  <c r="AQ3" i="5" s="1"/>
  <c r="AT3" i="5" s="1"/>
  <c r="AW3" i="5" s="1"/>
  <c r="AZ3" i="5" s="1"/>
  <c r="BB3" i="5" s="1"/>
  <c r="BE3" i="5" s="1"/>
  <c r="BG3" i="5" s="1"/>
  <c r="BI3" i="5" s="1"/>
  <c r="BK3" i="5" s="1"/>
  <c r="BM3" i="5" s="1"/>
  <c r="BO3" i="5" s="1"/>
  <c r="BR3" i="5" s="1"/>
  <c r="BT3" i="5" s="1"/>
  <c r="F3" i="46"/>
  <c r="T4" i="40" l="1"/>
  <c r="E3" i="39"/>
  <c r="L3" i="39" s="1"/>
  <c r="T3" i="39" s="1"/>
  <c r="V3" i="39" s="1"/>
  <c r="W3" i="39" s="1"/>
  <c r="Y3" i="39" s="1"/>
  <c r="Z3" i="39" s="1"/>
  <c r="AB3" i="39" s="1"/>
  <c r="AH3" i="39" s="1"/>
  <c r="AJ3" i="39" s="1"/>
  <c r="D12" i="30"/>
  <c r="H12" i="30" s="1"/>
  <c r="L12" i="30" s="1"/>
  <c r="O12" i="30" s="1"/>
  <c r="S12" i="30" s="1"/>
  <c r="I8" i="31"/>
  <c r="M8" i="31" s="1"/>
  <c r="Q8" i="31" s="1"/>
  <c r="U8" i="31" s="1"/>
  <c r="Y8" i="31" s="1"/>
  <c r="AC8" i="31" s="1"/>
</calcChain>
</file>

<file path=xl/comments1.xml><?xml version="1.0" encoding="utf-8"?>
<comments xmlns="http://schemas.openxmlformats.org/spreadsheetml/2006/main">
  <authors>
    <author>DP</author>
  </authors>
  <commentList>
    <comment ref="R16" authorId="0">
      <text>
        <r>
          <rPr>
            <b/>
            <sz val="9"/>
            <color indexed="81"/>
            <rFont val="Tahoma"/>
            <family val="2"/>
          </rPr>
          <t>DP:</t>
        </r>
        <r>
          <rPr>
            <sz val="9"/>
            <color indexed="81"/>
            <rFont val="Tahoma"/>
            <family val="2"/>
          </rPr>
          <t xml:space="preserve">
PSU Code with 3 digits was agreed</t>
        </r>
      </text>
    </comment>
  </commentList>
</comments>
</file>

<file path=xl/comments2.xml><?xml version="1.0" encoding="utf-8"?>
<comments xmlns="http://schemas.openxmlformats.org/spreadsheetml/2006/main">
  <authors>
    <author>DP</author>
  </authors>
  <commentList>
    <comment ref="B32" authorId="0">
      <text>
        <r>
          <rPr>
            <b/>
            <sz val="9"/>
            <color indexed="81"/>
            <rFont val="Tahoma"/>
            <family val="2"/>
          </rPr>
          <t>DP:</t>
        </r>
        <r>
          <rPr>
            <sz val="9"/>
            <color indexed="81"/>
            <rFont val="Tahoma"/>
            <family val="2"/>
          </rPr>
          <t xml:space="preserve">
ICT (not ICT)</t>
        </r>
      </text>
    </comment>
  </commentList>
</comments>
</file>

<file path=xl/comments3.xml><?xml version="1.0" encoding="utf-8"?>
<comments xmlns="http://schemas.openxmlformats.org/spreadsheetml/2006/main">
  <authors>
    <author>DP</author>
    <author>Roos</author>
    <author>Sapalov Quita</author>
  </authors>
  <commentList>
    <comment ref="AE2" authorId="0">
      <text>
        <r>
          <rPr>
            <b/>
            <sz val="9"/>
            <color indexed="81"/>
            <rFont val="Tahoma"/>
            <family val="2"/>
          </rPr>
          <t>DP:</t>
        </r>
        <r>
          <rPr>
            <sz val="9"/>
            <color indexed="81"/>
            <rFont val="Tahoma"/>
            <family val="2"/>
          </rPr>
          <t xml:space="preserve">
Add qroup title: "Mother" 01.09-.12/ "Father" 01.12-.14
see your example in Education</t>
        </r>
        <r>
          <rPr>
            <b/>
            <sz val="9"/>
            <color indexed="81"/>
            <rFont val="Tahoma"/>
            <family val="2"/>
          </rPr>
          <t>Sapalov Quita:NO</t>
        </r>
        <r>
          <rPr>
            <sz val="9"/>
            <color indexed="81"/>
            <rFont val="Tahoma"/>
            <family val="2"/>
          </rPr>
          <t xml:space="preserve">
</t>
        </r>
      </text>
    </comment>
    <comment ref="A3" authorId="0">
      <text>
        <r>
          <rPr>
            <b/>
            <sz val="9"/>
            <color indexed="81"/>
            <rFont val="Tahoma"/>
            <family val="2"/>
          </rPr>
          <t>DP:</t>
        </r>
        <r>
          <rPr>
            <sz val="9"/>
            <color indexed="81"/>
            <rFont val="Tahoma"/>
            <family val="2"/>
          </rPr>
          <t xml:space="preserve">
We checked last PopCensus, there where cases with more than 100, even for traditional dwelling. So 3 digits needed.
SM to review MAX, please
</t>
        </r>
        <r>
          <rPr>
            <b/>
            <sz val="9"/>
            <color indexed="81"/>
            <rFont val="Tahoma"/>
            <family val="2"/>
          </rPr>
          <t>Sapalov Quita:There is no such a thing; that should be an error; it is ok as it is now</t>
        </r>
        <r>
          <rPr>
            <sz val="9"/>
            <color indexed="81"/>
            <rFont val="Tahoma"/>
            <family val="2"/>
          </rPr>
          <t xml:space="preserve">
</t>
        </r>
      </text>
    </comment>
    <comment ref="AE3" authorId="1">
      <text>
        <r>
          <rPr>
            <b/>
            <sz val="9"/>
            <color indexed="81"/>
            <rFont val="Tahoma"/>
            <family val="2"/>
          </rPr>
          <t>Roos:</t>
        </r>
        <r>
          <rPr>
            <sz val="9"/>
            <color indexed="81"/>
            <rFont val="Tahoma"/>
            <family val="2"/>
          </rPr>
          <t xml:space="preserve">
In CAPI 1.09 to 1.11 put together in one question, same for 1.12 to 1.14
Was agreed by SM</t>
        </r>
        <r>
          <rPr>
            <b/>
            <sz val="9"/>
            <color indexed="81"/>
            <rFont val="Tahoma"/>
            <family val="2"/>
          </rPr>
          <t>Sapalov Quita: No</t>
        </r>
        <r>
          <rPr>
            <sz val="9"/>
            <color indexed="81"/>
            <rFont val="Tahoma"/>
            <family val="2"/>
          </rPr>
          <t xml:space="preserve">
</t>
        </r>
      </text>
    </comment>
    <comment ref="BK3" authorId="0">
      <text>
        <r>
          <rPr>
            <b/>
            <sz val="9"/>
            <color indexed="81"/>
            <rFont val="Tahoma"/>
            <family val="2"/>
          </rPr>
          <t>DP:</t>
        </r>
        <r>
          <rPr>
            <sz val="9"/>
            <color indexed="81"/>
            <rFont val="Tahoma"/>
            <family val="2"/>
          </rPr>
          <t xml:space="preserve">
Was agreed that multiple-selection (like with parent(s), with chcil(ren), with … - at least in CAPI</t>
        </r>
        <r>
          <rPr>
            <b/>
            <sz val="9"/>
            <color indexed="81"/>
            <rFont val="Tahoma"/>
            <family val="2"/>
          </rPr>
          <t>DP:
SM now re-decided 20/11 to keep it as single select.
Sapalov Quita:
Only one answer is needed</t>
        </r>
      </text>
    </comment>
    <comment ref="BO3" authorId="0">
      <text>
        <r>
          <rPr>
            <b/>
            <sz val="9"/>
            <color indexed="81"/>
            <rFont val="Tahoma"/>
            <family val="2"/>
          </rPr>
          <t>DP:</t>
        </r>
        <r>
          <rPr>
            <sz val="9"/>
            <color indexed="81"/>
            <rFont val="Tahoma"/>
            <family val="2"/>
          </rPr>
          <t xml:space="preserve">
DP would suggest: one month or more  ...
SM agreed that whole block should better asked earlier (as now in CAPI. </t>
        </r>
        <r>
          <rPr>
            <b/>
            <sz val="9"/>
            <color indexed="81"/>
            <rFont val="Tahoma"/>
            <family val="2"/>
          </rPr>
          <t>Sapalov Quita: The filter is in Q 1.25 for absence from home; Q 1.23 stays as is</t>
        </r>
        <r>
          <rPr>
            <sz val="9"/>
            <color indexed="81"/>
            <rFont val="Tahoma"/>
            <family val="2"/>
          </rPr>
          <t xml:space="preserve">
</t>
        </r>
      </text>
    </comment>
    <comment ref="P9" authorId="0">
      <text>
        <r>
          <rPr>
            <b/>
            <sz val="9"/>
            <color indexed="81"/>
            <rFont val="Tahoma"/>
            <family val="2"/>
          </rPr>
          <t>DP:</t>
        </r>
        <r>
          <rPr>
            <sz val="9"/>
            <color indexed="81"/>
            <rFont val="Tahoma"/>
            <family val="2"/>
          </rPr>
          <t xml:space="preserve">
DP:
MIN age of Head?? (about 2% child-headed HHs in Namibia)
We check last Pop Census, there were few cases with age of HH head: 5, 6, 7 years evenDP:
SM to review MIN, please.
</t>
        </r>
        <r>
          <rPr>
            <b/>
            <sz val="9"/>
            <color indexed="81"/>
            <rFont val="Tahoma"/>
            <family val="2"/>
          </rPr>
          <t xml:space="preserve">Sapalov Quita: No need for that </t>
        </r>
        <r>
          <rPr>
            <sz val="9"/>
            <color indexed="81"/>
            <rFont val="Tahoma"/>
            <family val="2"/>
          </rPr>
          <t xml:space="preserve">
</t>
        </r>
      </text>
    </comment>
    <comment ref="BI15" authorId="0">
      <text>
        <r>
          <rPr>
            <b/>
            <sz val="9"/>
            <color indexed="81"/>
            <rFont val="Tahoma"/>
            <family val="2"/>
          </rPr>
          <t>DP:</t>
        </r>
        <r>
          <rPr>
            <sz val="9"/>
            <color indexed="81"/>
            <rFont val="Tahoma"/>
            <family val="2"/>
          </rPr>
          <t xml:space="preserve">
was early agreed by SM/DP</t>
        </r>
        <r>
          <rPr>
            <b/>
            <sz val="9"/>
            <color indexed="81"/>
            <rFont val="Tahoma"/>
            <family val="2"/>
          </rPr>
          <t>Sapalov Quita: OK</t>
        </r>
        <r>
          <rPr>
            <sz val="9"/>
            <color indexed="81"/>
            <rFont val="Tahoma"/>
            <family val="2"/>
          </rPr>
          <t xml:space="preserve">
</t>
        </r>
      </text>
    </comment>
    <comment ref="P18" authorId="0">
      <text>
        <r>
          <rPr>
            <b/>
            <sz val="9"/>
            <color indexed="81"/>
            <rFont val="Tahoma"/>
            <family val="2"/>
          </rPr>
          <t>DP:</t>
        </r>
        <r>
          <rPr>
            <sz val="9"/>
            <color indexed="81"/>
            <rFont val="Tahoma"/>
            <family val="2"/>
          </rPr>
          <t xml:space="preserve">
add .. (Specify ___) also for Other Mon-Relative.
In NHIES 2009 Other Raelatives covered 19%, and Other Non-R 4%
</t>
        </r>
        <r>
          <rPr>
            <b/>
            <sz val="9"/>
            <color indexed="81"/>
            <rFont val="Tahoma"/>
            <family val="2"/>
          </rPr>
          <t>Sapalov Quita:No need for this</t>
        </r>
        <r>
          <rPr>
            <sz val="9"/>
            <color indexed="81"/>
            <rFont val="Tahoma"/>
            <family val="2"/>
          </rPr>
          <t xml:space="preserve">
</t>
        </r>
      </text>
    </comment>
    <comment ref="BM20" authorId="2">
      <text>
        <r>
          <rPr>
            <b/>
            <sz val="9"/>
            <color indexed="81"/>
            <rFont val="Tahoma"/>
            <family val="2"/>
          </rPr>
          <t>Sapalov Quita:</t>
        </r>
        <r>
          <rPr>
            <sz val="9"/>
            <color indexed="81"/>
            <rFont val="Tahoma"/>
            <family val="2"/>
          </rPr>
          <t xml:space="preserve">
Addition in red
</t>
        </r>
      </text>
    </comment>
    <comment ref="BG21" authorId="0">
      <text>
        <r>
          <rPr>
            <b/>
            <sz val="9"/>
            <color indexed="81"/>
            <rFont val="Tahoma"/>
            <family val="2"/>
          </rPr>
          <t xml:space="preserve">DP: </t>
        </r>
        <r>
          <rPr>
            <sz val="9"/>
            <color indexed="81"/>
            <rFont val="Tahoma"/>
            <family val="2"/>
          </rPr>
          <t>European</t>
        </r>
        <r>
          <rPr>
            <b/>
            <sz val="9"/>
            <color indexed="81"/>
            <rFont val="Tahoma"/>
            <family val="2"/>
          </rPr>
          <t xml:space="preserve"> countries</t>
        </r>
      </text>
    </comment>
    <comment ref="BE23" authorId="0">
      <text>
        <r>
          <rPr>
            <b/>
            <sz val="9"/>
            <color indexed="81"/>
            <rFont val="Tahoma"/>
            <family val="2"/>
          </rPr>
          <t>DP:</t>
        </r>
        <r>
          <rPr>
            <sz val="9"/>
            <color indexed="81"/>
            <rFont val="Tahoma"/>
            <family val="2"/>
          </rPr>
          <t xml:space="preserve">
Please, aAdapt order, first Year</t>
        </r>
        <r>
          <rPr>
            <b/>
            <sz val="9"/>
            <color indexed="81"/>
            <rFont val="Tahoma"/>
            <family val="2"/>
          </rPr>
          <t>Sapalov Quita:</t>
        </r>
        <r>
          <rPr>
            <sz val="9"/>
            <color indexed="81"/>
            <rFont val="Tahoma"/>
            <family val="2"/>
          </rPr>
          <t xml:space="preserve">
NO, is OK</t>
        </r>
      </text>
    </comment>
    <comment ref="W24" authorId="1">
      <text>
        <r>
          <rPr>
            <b/>
            <sz val="9"/>
            <color indexed="81"/>
            <rFont val="Tahoma"/>
            <family val="2"/>
          </rPr>
          <t>Roos:</t>
        </r>
        <r>
          <rPr>
            <sz val="9"/>
            <color indexed="81"/>
            <rFont val="Tahoma"/>
            <family val="2"/>
          </rPr>
          <t xml:space="preserve">
ok, should always be like this, first Year, than month in Q (see later)</t>
        </r>
        <r>
          <rPr>
            <b/>
            <sz val="9"/>
            <color indexed="81"/>
            <rFont val="Tahoma"/>
            <family val="2"/>
          </rPr>
          <t xml:space="preserve">Sapalov Quita: Not all is the same as this </t>
        </r>
        <r>
          <rPr>
            <sz val="9"/>
            <color indexed="81"/>
            <rFont val="Tahoma"/>
            <family val="2"/>
          </rPr>
          <t xml:space="preserve">
</t>
        </r>
      </text>
    </comment>
  </commentList>
</comments>
</file>

<file path=xl/comments4.xml><?xml version="1.0" encoding="utf-8"?>
<comments xmlns="http://schemas.openxmlformats.org/spreadsheetml/2006/main">
  <authors>
    <author>DP</author>
    <author>Roos</author>
  </authors>
  <commentList>
    <comment ref="M55" authorId="0">
      <text>
        <r>
          <rPr>
            <b/>
            <sz val="9"/>
            <color indexed="81"/>
            <rFont val="Tahoma"/>
            <family val="2"/>
          </rPr>
          <t>DP:</t>
        </r>
        <r>
          <rPr>
            <sz val="9"/>
            <color indexed="81"/>
            <rFont val="Tahoma"/>
            <family val="2"/>
          </rPr>
          <t xml:space="preserve">
Would be helpful to visibly separate the 2 skip options 2.12 &lt;&gt; 2.14</t>
        </r>
        <r>
          <rPr>
            <b/>
            <sz val="9"/>
            <color indexed="81"/>
            <rFont val="Tahoma"/>
            <family val="2"/>
          </rPr>
          <t>Sapalov Quita:</t>
        </r>
        <r>
          <rPr>
            <sz val="9"/>
            <color indexed="81"/>
            <rFont val="Tahoma"/>
            <family val="2"/>
          </rPr>
          <t xml:space="preserve">
Is OK  as is now, else skip will not work
</t>
        </r>
      </text>
    </comment>
    <comment ref="G62" authorId="0">
      <text>
        <r>
          <rPr>
            <b/>
            <sz val="9"/>
            <color indexed="81"/>
            <rFont val="Tahoma"/>
            <family val="2"/>
          </rPr>
          <t>DP:</t>
        </r>
        <r>
          <rPr>
            <sz val="9"/>
            <color indexed="81"/>
            <rFont val="Tahoma"/>
            <family val="2"/>
          </rPr>
          <t xml:space="preserve">
We checked last PopCensus, there where cases with up to 90.</t>
        </r>
        <r>
          <rPr>
            <b/>
            <sz val="9"/>
            <color indexed="81"/>
            <rFont val="Tahoma"/>
            <family val="2"/>
          </rPr>
          <t>Sapalov Quita: We agreed 50 only</t>
        </r>
        <r>
          <rPr>
            <sz val="9"/>
            <color indexed="81"/>
            <rFont val="Tahoma"/>
            <family val="2"/>
          </rPr>
          <t xml:space="preserve">
</t>
        </r>
      </text>
    </comment>
    <comment ref="C74" authorId="0">
      <text>
        <r>
          <rPr>
            <b/>
            <sz val="9"/>
            <color indexed="81"/>
            <rFont val="Tahoma"/>
            <family val="2"/>
          </rPr>
          <t>DP:</t>
        </r>
        <r>
          <rPr>
            <sz val="9"/>
            <color indexed="81"/>
            <rFont val="Tahoma"/>
            <family val="2"/>
          </rPr>
          <t xml:space="preserve">
… text not fully visible &gt;&gt; Layout
</t>
        </r>
      </text>
    </comment>
    <comment ref="J92" authorId="0">
      <text>
        <r>
          <rPr>
            <b/>
            <sz val="9"/>
            <color indexed="81"/>
            <rFont val="Tahoma"/>
            <family val="2"/>
          </rPr>
          <t>DP:</t>
        </r>
        <r>
          <rPr>
            <sz val="9"/>
            <color indexed="81"/>
            <rFont val="Tahoma"/>
            <family val="2"/>
          </rPr>
          <t xml:space="preserve">
DP:
Did we understand well? Different to SM discussion before, Ujt (local name for soething used instead of bucket) not to add
</t>
        </r>
        <r>
          <rPr>
            <b/>
            <sz val="9"/>
            <color indexed="81"/>
            <rFont val="Tahoma"/>
            <family val="2"/>
          </rPr>
          <t>Sapalov Quita:</t>
        </r>
        <r>
          <rPr>
            <sz val="9"/>
            <color indexed="81"/>
            <rFont val="Tahoma"/>
            <family val="2"/>
          </rPr>
          <t xml:space="preserve">
This is OK it is called </t>
        </r>
        <r>
          <rPr>
            <b/>
            <sz val="9"/>
            <color indexed="81"/>
            <rFont val="Tahoma"/>
            <family val="2"/>
          </rPr>
          <t>bucket</t>
        </r>
      </text>
    </comment>
    <comment ref="J115" authorId="1">
      <text>
        <r>
          <rPr>
            <b/>
            <sz val="9"/>
            <color indexed="81"/>
            <rFont val="Tahoma"/>
            <family val="2"/>
          </rPr>
          <t>Roos:</t>
        </r>
        <r>
          <rPr>
            <sz val="9"/>
            <color indexed="81"/>
            <rFont val="Tahoma"/>
            <family val="2"/>
          </rPr>
          <t xml:space="preserve">
Interviewer hint: If twins/triple take the first alphabetically.
</t>
        </r>
        <r>
          <rPr>
            <b/>
            <sz val="9"/>
            <color indexed="81"/>
            <rFont val="Tahoma"/>
            <family val="2"/>
          </rPr>
          <t>Sapalov Quita:Why? Ask all how stool is disposed off</t>
        </r>
        <r>
          <rPr>
            <sz val="9"/>
            <color indexed="81"/>
            <rFont val="Tahoma"/>
            <family val="2"/>
          </rPr>
          <t xml:space="preserve">
Interviewer instructions given
</t>
        </r>
        <r>
          <rPr>
            <sz val="9"/>
            <color indexed="81"/>
            <rFont val="Tahoma"/>
            <family val="2"/>
          </rPr>
          <t xml:space="preserve">
</t>
        </r>
      </text>
    </comment>
  </commentList>
</comments>
</file>

<file path=xl/comments5.xml><?xml version="1.0" encoding="utf-8"?>
<comments xmlns="http://schemas.openxmlformats.org/spreadsheetml/2006/main">
  <authors>
    <author>DP</author>
    <author>Sapalov Quita</author>
  </authors>
  <commentList>
    <comment ref="K28" authorId="0">
      <text>
        <r>
          <rPr>
            <b/>
            <sz val="9"/>
            <color indexed="81"/>
            <rFont val="Tahoma"/>
            <family val="2"/>
          </rPr>
          <t>DP:</t>
        </r>
        <r>
          <rPr>
            <sz val="9"/>
            <color indexed="81"/>
            <rFont val="Tahoma"/>
            <family val="2"/>
          </rPr>
          <t xml:space="preserve">
Did we understand well, different to the discussion before, SM decided NO rules here, like Capital + Interest = Instalment? Or for Levy?</t>
        </r>
        <r>
          <rPr>
            <b/>
            <sz val="9"/>
            <color indexed="81"/>
            <rFont val="Tahoma"/>
            <family val="2"/>
          </rPr>
          <t>Sapalov Quita:</t>
        </r>
        <r>
          <rPr>
            <sz val="9"/>
            <color indexed="81"/>
            <rFont val="Tahoma"/>
            <family val="2"/>
          </rPr>
          <t xml:space="preserve">
Capital+interest=instalment in a) only when components are known, else it will be left out. Training will cover this</t>
        </r>
      </text>
    </comment>
    <comment ref="C32" authorId="0">
      <text>
        <r>
          <rPr>
            <b/>
            <sz val="9"/>
            <color indexed="81"/>
            <rFont val="Tahoma"/>
            <family val="2"/>
          </rPr>
          <t>DP:</t>
        </r>
        <r>
          <rPr>
            <sz val="9"/>
            <color indexed="81"/>
            <rFont val="Tahoma"/>
            <family val="2"/>
          </rPr>
          <t xml:space="preserve">
SM decided that Totals can NOT be entered/corrected, so fields should be grey?</t>
        </r>
        <r>
          <rPr>
            <b/>
            <sz val="9"/>
            <color indexed="81"/>
            <rFont val="Tahoma"/>
            <family val="2"/>
          </rPr>
          <t>DP:</t>
        </r>
        <r>
          <rPr>
            <sz val="9"/>
            <color indexed="81"/>
            <rFont val="Tahoma"/>
            <family val="2"/>
          </rPr>
          <t xml:space="preserve">
It was also decided early that they are NOT shown in most places, as for expenditure
</t>
        </r>
        <r>
          <rPr>
            <b/>
            <sz val="9"/>
            <color indexed="81"/>
            <rFont val="Tahoma"/>
            <family val="2"/>
          </rPr>
          <t>Sapalov Quita:</t>
        </r>
        <r>
          <rPr>
            <sz val="9"/>
            <color indexed="81"/>
            <rFont val="Tahoma"/>
            <family val="2"/>
          </rPr>
          <t xml:space="preserve">
DP suggested it will be CAPI calculated and we agreed, but in paper it is needed, let it be there</t>
        </r>
      </text>
    </comment>
    <comment ref="K40" authorId="1">
      <text>
        <r>
          <rPr>
            <b/>
            <sz val="9"/>
            <color indexed="81"/>
            <rFont val="Tahoma"/>
            <family val="2"/>
          </rPr>
          <t>Sapalov Quita:</t>
        </r>
        <r>
          <rPr>
            <sz val="9"/>
            <color indexed="81"/>
            <rFont val="Tahoma"/>
            <family val="2"/>
          </rPr>
          <t xml:space="preserve">
For checking purpose, CAPI should calculate this</t>
        </r>
      </text>
    </comment>
    <comment ref="O47" authorId="1">
      <text>
        <r>
          <rPr>
            <b/>
            <sz val="9"/>
            <color indexed="81"/>
            <rFont val="Tahoma"/>
            <family val="2"/>
          </rPr>
          <t>Sapalov Quita:</t>
        </r>
        <r>
          <rPr>
            <sz val="9"/>
            <color indexed="81"/>
            <rFont val="Tahoma"/>
            <family val="2"/>
          </rPr>
          <t xml:space="preserve">
Either 1 or 2,  not both at once</t>
        </r>
      </text>
    </comment>
    <comment ref="C55" authorId="1">
      <text>
        <r>
          <rPr>
            <b/>
            <sz val="9"/>
            <color indexed="81"/>
            <rFont val="Tahoma"/>
            <family val="2"/>
          </rPr>
          <t>Sapalov Quita:</t>
        </r>
        <r>
          <rPr>
            <sz val="9"/>
            <color indexed="81"/>
            <rFont val="Tahoma"/>
            <family val="2"/>
          </rPr>
          <t xml:space="preserve">
f) Boarding fees deleted from the list
</t>
        </r>
      </text>
    </comment>
    <comment ref="K69" authorId="0">
      <text>
        <r>
          <rPr>
            <b/>
            <sz val="9"/>
            <color indexed="81"/>
            <rFont val="Tahoma"/>
            <family val="2"/>
          </rPr>
          <t>DP:</t>
        </r>
        <r>
          <rPr>
            <sz val="9"/>
            <color indexed="81"/>
            <rFont val="Tahoma"/>
            <family val="2"/>
          </rPr>
          <t xml:space="preserve">
… text not fully visible &gt;&gt; Layout
</t>
        </r>
      </text>
    </comment>
    <comment ref="O90" authorId="0">
      <text>
        <r>
          <rPr>
            <b/>
            <sz val="9"/>
            <color indexed="81"/>
            <rFont val="Tahoma"/>
            <family val="2"/>
          </rPr>
          <t>DP:</t>
        </r>
        <r>
          <rPr>
            <sz val="9"/>
            <color indexed="81"/>
            <rFont val="Tahoma"/>
            <family val="2"/>
          </rPr>
          <t xml:space="preserve">
No entry field &gt; grey? </t>
        </r>
        <r>
          <rPr>
            <b/>
            <sz val="9"/>
            <color indexed="81"/>
            <rFont val="Tahoma"/>
            <family val="2"/>
          </rPr>
          <t>Sapalov Quita:</t>
        </r>
        <r>
          <rPr>
            <sz val="9"/>
            <color indexed="81"/>
            <rFont val="Tahoma"/>
            <family val="2"/>
          </rPr>
          <t xml:space="preserve">
Yes, for paper</t>
        </r>
      </text>
    </comment>
  </commentList>
</comments>
</file>

<file path=xl/comments6.xml><?xml version="1.0" encoding="utf-8"?>
<comments xmlns="http://schemas.openxmlformats.org/spreadsheetml/2006/main">
  <authors>
    <author>DP</author>
  </authors>
  <commentList>
    <comment ref="J29" authorId="0">
      <text>
        <r>
          <rPr>
            <b/>
            <sz val="9"/>
            <color indexed="81"/>
            <rFont val="Tahoma"/>
            <family val="2"/>
          </rPr>
          <t>DP:</t>
        </r>
        <r>
          <rPr>
            <sz val="9"/>
            <color indexed="81"/>
            <rFont val="Tahoma"/>
            <family val="2"/>
          </rPr>
          <t xml:space="preserve">
Both Totals are NO entry fields &gt;&gt; grey?
</t>
        </r>
        <r>
          <rPr>
            <b/>
            <sz val="9"/>
            <color indexed="81"/>
            <rFont val="Tahoma"/>
            <family val="2"/>
          </rPr>
          <t>Sapalov Quita:</t>
        </r>
        <r>
          <rPr>
            <sz val="9"/>
            <color indexed="81"/>
            <rFont val="Tahoma"/>
            <family val="2"/>
          </rPr>
          <t xml:space="preserve">
No, leave it as is</t>
        </r>
        <r>
          <rPr>
            <b/>
            <sz val="9"/>
            <color indexed="81"/>
            <rFont val="Tahoma"/>
            <family val="2"/>
          </rPr>
          <t>Sapalov Quita:</t>
        </r>
        <r>
          <rPr>
            <sz val="9"/>
            <color indexed="81"/>
            <rFont val="Tahoma"/>
            <family val="2"/>
          </rPr>
          <t xml:space="preserve">
Leave as they are
</t>
        </r>
      </text>
    </comment>
  </commentList>
</comments>
</file>

<file path=xl/comments7.xml><?xml version="1.0" encoding="utf-8"?>
<comments xmlns="http://schemas.openxmlformats.org/spreadsheetml/2006/main">
  <authors>
    <author>DP</author>
    <author>Roos</author>
  </authors>
  <commentList>
    <comment ref="D9" authorId="0">
      <text>
        <r>
          <rPr>
            <b/>
            <sz val="9"/>
            <color indexed="81"/>
            <rFont val="Tahoma"/>
            <family val="2"/>
          </rPr>
          <t>DP:</t>
        </r>
        <r>
          <rPr>
            <sz val="9"/>
            <color indexed="81"/>
            <rFont val="Tahoma"/>
            <family val="2"/>
          </rPr>
          <t xml:space="preserve">
Add Vocational Training Center?
Maybe separate Market and Shop (as market is also relevant for selling own products)
In NHIES 2009 you had also: Magistrate and Pension pay point.
</t>
        </r>
      </text>
    </comment>
    <comment ref="N32" authorId="1">
      <text>
        <r>
          <rPr>
            <b/>
            <sz val="9"/>
            <color indexed="81"/>
            <rFont val="Tahoma"/>
            <family val="2"/>
          </rPr>
          <t>Roos:</t>
        </r>
        <r>
          <rPr>
            <sz val="9"/>
            <color indexed="81"/>
            <rFont val="Tahoma"/>
            <family val="2"/>
          </rPr>
          <t xml:space="preserve">
SM wanted to add missing rage, 31 days to less than 2 month</t>
        </r>
        <r>
          <rPr>
            <b/>
            <sz val="9"/>
            <color indexed="81"/>
            <rFont val="Tahoma"/>
            <family val="2"/>
          </rPr>
          <t>DP:</t>
        </r>
        <r>
          <rPr>
            <sz val="9"/>
            <color indexed="81"/>
            <rFont val="Tahoma"/>
            <family val="2"/>
          </rPr>
          <t xml:space="preserve">
Imagine, today is 15 Nov. So code 1 is back until 16 October. But 10 October e.g. is not yet "2 months ago" (= September).
</t>
        </r>
        <r>
          <rPr>
            <b/>
            <sz val="9"/>
            <color indexed="81"/>
            <rFont val="Tahoma"/>
            <family val="2"/>
          </rPr>
          <t>Sapalov Quita: It is still within a month; we not designing science to the MOON, leave as is</t>
        </r>
        <r>
          <rPr>
            <sz val="9"/>
            <color indexed="81"/>
            <rFont val="Tahoma"/>
            <family val="2"/>
          </rPr>
          <t xml:space="preserve">
</t>
        </r>
      </text>
    </comment>
  </commentList>
</comments>
</file>

<file path=xl/comments8.xml><?xml version="1.0" encoding="utf-8"?>
<comments xmlns="http://schemas.openxmlformats.org/spreadsheetml/2006/main">
  <authors>
    <author>DP</author>
  </authors>
  <commentList>
    <comment ref="X18" authorId="0">
      <text>
        <r>
          <rPr>
            <b/>
            <sz val="9"/>
            <color indexed="81"/>
            <rFont val="Tahoma"/>
            <family val="2"/>
          </rPr>
          <t>DP:</t>
        </r>
        <r>
          <rPr>
            <sz val="9"/>
            <color indexed="81"/>
            <rFont val="Tahoma"/>
            <family val="2"/>
          </rPr>
          <t xml:space="preserve">
As now 10 items, numbers should get leading zeros
</t>
        </r>
      </text>
    </comment>
    <comment ref="C30" authorId="0">
      <text>
        <r>
          <rPr>
            <b/>
            <sz val="9"/>
            <color indexed="81"/>
            <rFont val="Tahoma"/>
            <family val="2"/>
          </rPr>
          <t>DP:</t>
        </r>
        <r>
          <rPr>
            <sz val="9"/>
            <color indexed="81"/>
            <rFont val="Tahoma"/>
            <family val="2"/>
          </rPr>
          <t xml:space="preserve">
DP:
Add … game ...? (related to hunting, in 2.60 &amp; section 7)
</t>
        </r>
        <r>
          <rPr>
            <b/>
            <sz val="9"/>
            <color indexed="81"/>
            <rFont val="Tahoma"/>
            <family val="2"/>
          </rPr>
          <t>Sapalov Quita:</t>
        </r>
        <r>
          <rPr>
            <sz val="9"/>
            <color indexed="81"/>
            <rFont val="Tahoma"/>
            <family val="2"/>
          </rPr>
          <t xml:space="preserve">
ETC means" more" I think
</t>
        </r>
      </text>
    </comment>
  </commentList>
</comments>
</file>

<file path=xl/comments9.xml><?xml version="1.0" encoding="utf-8"?>
<comments xmlns="http://schemas.openxmlformats.org/spreadsheetml/2006/main">
  <authors>
    <author>DP</author>
    <author>Sapalov Quita</author>
  </authors>
  <commentList>
    <comment ref="X4" authorId="0">
      <text>
        <r>
          <rPr>
            <b/>
            <sz val="9"/>
            <color indexed="81"/>
            <rFont val="Tahoma"/>
            <family val="2"/>
          </rPr>
          <t>DP:</t>
        </r>
        <r>
          <rPr>
            <sz val="9"/>
            <color indexed="81"/>
            <rFont val="Tahoma"/>
            <family val="2"/>
          </rPr>
          <t xml:space="preserve">
Different to SM discussion before, there will be NO change (like 2015/2016 ..)?
Also NO change in CAPI during this whole NHIES. 
</t>
        </r>
      </text>
    </comment>
    <comment ref="I9" authorId="0">
      <text>
        <r>
          <rPr>
            <b/>
            <sz val="9"/>
            <color indexed="81"/>
            <rFont val="Tahoma"/>
            <family val="2"/>
          </rPr>
          <t>DP:</t>
        </r>
        <r>
          <rPr>
            <sz val="9"/>
            <color indexed="81"/>
            <rFont val="Tahoma"/>
            <family val="2"/>
          </rPr>
          <t xml:space="preserve">
NO Code explanation on page above, only numbers
</t>
        </r>
        <r>
          <rPr>
            <b/>
            <sz val="9"/>
            <color indexed="81"/>
            <rFont val="Tahoma"/>
            <family val="2"/>
          </rPr>
          <t>Sapalov Quita:</t>
        </r>
        <r>
          <rPr>
            <sz val="9"/>
            <color indexed="81"/>
            <rFont val="Tahoma"/>
            <family val="2"/>
          </rPr>
          <t xml:space="preserve">
NEXT Page
</t>
        </r>
      </text>
    </comment>
    <comment ref="L15" authorId="0">
      <text>
        <r>
          <rPr>
            <b/>
            <sz val="9"/>
            <color indexed="81"/>
            <rFont val="Tahoma"/>
            <family val="2"/>
          </rPr>
          <t>DP:</t>
        </r>
        <r>
          <rPr>
            <sz val="9"/>
            <color indexed="81"/>
            <rFont val="Tahoma"/>
            <family val="2"/>
          </rPr>
          <t xml:space="preserve">
Add / Partnership (as in other places)</t>
        </r>
        <r>
          <rPr>
            <b/>
            <sz val="9"/>
            <color indexed="81"/>
            <rFont val="Tahoma"/>
            <family val="2"/>
          </rPr>
          <t>Sapalov Quita: OK</t>
        </r>
        <r>
          <rPr>
            <sz val="9"/>
            <color indexed="81"/>
            <rFont val="Tahoma"/>
            <family val="2"/>
          </rPr>
          <t xml:space="preserve">
</t>
        </r>
      </text>
    </comment>
    <comment ref="AA16" authorId="1">
      <text>
        <r>
          <rPr>
            <b/>
            <sz val="9"/>
            <color indexed="81"/>
            <rFont val="Tahoma"/>
            <family val="2"/>
          </rPr>
          <t>Sapalov Quita:</t>
        </r>
        <r>
          <rPr>
            <sz val="9"/>
            <color indexed="81"/>
            <rFont val="Tahoma"/>
            <family val="2"/>
          </rPr>
          <t xml:space="preserve">
Combined minibus &amp; bus
</t>
        </r>
      </text>
    </comment>
    <comment ref="Z17" authorId="1">
      <text>
        <r>
          <rPr>
            <b/>
            <sz val="9"/>
            <color indexed="81"/>
            <rFont val="Tahoma"/>
            <family val="2"/>
          </rPr>
          <t>Sapalov Quita:</t>
        </r>
        <r>
          <rPr>
            <sz val="9"/>
            <color indexed="81"/>
            <rFont val="Tahoma"/>
            <family val="2"/>
          </rPr>
          <t xml:space="preserve">
Added more items
</t>
        </r>
      </text>
    </comment>
  </commentList>
</comments>
</file>

<file path=xl/comments10.xml><?xml version="1.0" encoding="utf-8"?>
<comments xmlns="http://schemas.openxmlformats.org/spreadsheetml/2006/main">
  <authors>
    <author>DP</author>
    <author>Sapalov Quita</author>
  </authors>
  <commentList>
    <comment ref="B1" authorId="0">
      <text>
        <r>
          <rPr>
            <b/>
            <sz val="9"/>
            <color indexed="81"/>
            <rFont val="Tahoma"/>
            <family val="2"/>
          </rPr>
          <t>DP:</t>
        </r>
        <r>
          <rPr>
            <sz val="9"/>
            <color indexed="81"/>
            <rFont val="Tahoma"/>
            <family val="2"/>
          </rPr>
          <t xml:space="preserve">
you/[NAME] in this whole section? 
</t>
        </r>
      </text>
    </comment>
    <comment ref="C4" authorId="1">
      <text>
        <r>
          <rPr>
            <b/>
            <sz val="9"/>
            <color indexed="81"/>
            <rFont val="Tahoma"/>
            <family val="2"/>
          </rPr>
          <t>Sapalov Quita:</t>
        </r>
        <r>
          <rPr>
            <sz val="9"/>
            <color indexed="81"/>
            <rFont val="Tahoma"/>
            <family val="2"/>
          </rPr>
          <t xml:space="preserve">
Mini of 4 years added
</t>
        </r>
      </text>
    </comment>
    <comment ref="E4" authorId="1">
      <text>
        <r>
          <rPr>
            <b/>
            <sz val="9"/>
            <color indexed="81"/>
            <rFont val="Tahoma"/>
            <family val="2"/>
          </rPr>
          <t>Sapalov Quita:</t>
        </r>
        <r>
          <rPr>
            <sz val="9"/>
            <color indexed="81"/>
            <rFont val="Tahoma"/>
            <family val="2"/>
          </rPr>
          <t xml:space="preserve">
Min of 4 years added
</t>
        </r>
      </text>
    </comment>
    <comment ref="G4" authorId="1">
      <text>
        <r>
          <rPr>
            <b/>
            <sz val="9"/>
            <color indexed="81"/>
            <rFont val="Tahoma"/>
            <family val="2"/>
          </rPr>
          <t>Sapalov Quita:</t>
        </r>
        <r>
          <rPr>
            <sz val="9"/>
            <color indexed="81"/>
            <rFont val="Tahoma"/>
            <family val="2"/>
          </rPr>
          <t xml:space="preserve">
Min of 2 years added
</t>
        </r>
      </text>
    </comment>
    <comment ref="K4" authorId="1">
      <text>
        <r>
          <rPr>
            <b/>
            <sz val="9"/>
            <color indexed="81"/>
            <rFont val="Tahoma"/>
            <family val="2"/>
          </rPr>
          <t>Sapalov Quita:</t>
        </r>
        <r>
          <rPr>
            <sz val="9"/>
            <color indexed="81"/>
            <rFont val="Tahoma"/>
            <family val="2"/>
          </rPr>
          <t xml:space="preserve">
Min of 4 years added
</t>
        </r>
      </text>
    </comment>
    <comment ref="BF4" authorId="0">
      <text>
        <r>
          <rPr>
            <b/>
            <sz val="9"/>
            <color indexed="81"/>
            <rFont val="Tahoma"/>
            <family val="2"/>
          </rPr>
          <t>DP:</t>
        </r>
        <r>
          <rPr>
            <sz val="9"/>
            <color indexed="81"/>
            <rFont val="Tahoma"/>
            <family val="2"/>
          </rPr>
          <t xml:space="preserve">
During CAPI test SM decided to change text to: … drink traditional alcohol drinks … and retail alcohol drinks
so to add alcohol (or alcoholic?)
</t>
        </r>
        <r>
          <rPr>
            <b/>
            <sz val="9"/>
            <color indexed="81"/>
            <rFont val="Tahoma"/>
            <family val="2"/>
          </rPr>
          <t>Sapalov Quita: Added "alcoholic"; we need to see how it is prhased now</t>
        </r>
        <r>
          <rPr>
            <sz val="9"/>
            <color indexed="81"/>
            <rFont val="Tahoma"/>
            <family val="2"/>
          </rPr>
          <t xml:space="preserve">
</t>
        </r>
      </text>
    </comment>
    <comment ref="AS12" authorId="0">
      <text>
        <r>
          <rPr>
            <b/>
            <sz val="9"/>
            <color indexed="81"/>
            <rFont val="Tahoma"/>
            <family val="2"/>
          </rPr>
          <t>DP:</t>
        </r>
        <r>
          <rPr>
            <sz val="9"/>
            <color indexed="81"/>
            <rFont val="Tahoma"/>
            <family val="2"/>
          </rPr>
          <t xml:space="preserve">
Minibus? (see 03.12) &gt; ../Minibus or extra item before Bus</t>
        </r>
        <r>
          <rPr>
            <b/>
            <sz val="9"/>
            <color indexed="81"/>
            <rFont val="Tahoma"/>
            <family val="2"/>
          </rPr>
          <t>Sapalov Quita:</t>
        </r>
        <r>
          <rPr>
            <sz val="9"/>
            <color indexed="81"/>
            <rFont val="Tahoma"/>
            <family val="2"/>
          </rPr>
          <t xml:space="preserve">
Combined minibus/bus
</t>
        </r>
      </text>
    </comment>
    <comment ref="O13" authorId="0">
      <text>
        <r>
          <rPr>
            <b/>
            <sz val="9"/>
            <color indexed="81"/>
            <rFont val="Tahoma"/>
            <family val="2"/>
          </rPr>
          <t>DP:</t>
        </r>
        <r>
          <rPr>
            <sz val="9"/>
            <color indexed="81"/>
            <rFont val="Tahoma"/>
            <family val="2"/>
          </rPr>
          <t xml:space="preserve">
SM wanted to filter on age in CAPI, and so also add Interviewer hint here?
</t>
        </r>
        <r>
          <rPr>
            <b/>
            <sz val="9"/>
            <color indexed="81"/>
            <rFont val="Tahoma"/>
            <family val="2"/>
          </rPr>
          <t>Sapalov Quita:</t>
        </r>
        <r>
          <rPr>
            <sz val="9"/>
            <color indexed="81"/>
            <rFont val="Tahoma"/>
            <family val="2"/>
          </rPr>
          <t xml:space="preserve">
Leave as is
</t>
        </r>
      </text>
    </comment>
    <comment ref="O16" authorId="0">
      <text>
        <r>
          <rPr>
            <b/>
            <sz val="9"/>
            <color indexed="81"/>
            <rFont val="Tahoma"/>
            <family val="2"/>
          </rPr>
          <t>DP:</t>
        </r>
        <r>
          <rPr>
            <sz val="9"/>
            <color indexed="81"/>
            <rFont val="Tahoma"/>
            <family val="2"/>
          </rPr>
          <t xml:space="preserve">
During CAPI test, SM decided to add War (before Violence)</t>
        </r>
        <r>
          <rPr>
            <b/>
            <sz val="9"/>
            <color indexed="81"/>
            <rFont val="Tahoma"/>
            <family val="2"/>
          </rPr>
          <t>Sapalov Quita:</t>
        </r>
        <r>
          <rPr>
            <sz val="9"/>
            <color indexed="81"/>
            <rFont val="Tahoma"/>
            <family val="2"/>
          </rPr>
          <t xml:space="preserve">
OK
</t>
        </r>
      </text>
    </comment>
    <comment ref="R17" authorId="0">
      <text>
        <r>
          <rPr>
            <b/>
            <sz val="9"/>
            <color indexed="81"/>
            <rFont val="Tahoma"/>
            <family val="2"/>
          </rPr>
          <t>DP:</t>
        </r>
        <r>
          <rPr>
            <sz val="9"/>
            <color indexed="81"/>
            <rFont val="Tahoma"/>
            <family val="2"/>
          </rPr>
          <t xml:space="preserve">
NO change - see SM discussion if this is chronic?
</t>
        </r>
        <r>
          <rPr>
            <b/>
            <sz val="9"/>
            <color indexed="81"/>
            <rFont val="Tahoma"/>
            <family val="2"/>
          </rPr>
          <t>DP:</t>
        </r>
        <r>
          <rPr>
            <sz val="9"/>
            <color indexed="81"/>
            <rFont val="Tahoma"/>
            <family val="2"/>
          </rPr>
          <t xml:space="preserve">
Maybe Gastrointestinal disease?
</t>
        </r>
        <r>
          <rPr>
            <b/>
            <sz val="9"/>
            <color indexed="81"/>
            <rFont val="Tahoma"/>
            <family val="2"/>
          </rPr>
          <t>Sapalov Quita:</t>
        </r>
        <r>
          <rPr>
            <sz val="9"/>
            <color indexed="81"/>
            <rFont val="Tahoma"/>
            <family val="2"/>
          </rPr>
          <t xml:space="preserve">
Dr Foster from MHSS has seen these qs, leave as they are
</t>
        </r>
      </text>
    </comment>
    <comment ref="AU17" authorId="0">
      <text>
        <r>
          <rPr>
            <b/>
            <sz val="9"/>
            <color indexed="81"/>
            <rFont val="Tahoma"/>
            <family val="2"/>
          </rPr>
          <t>DP:</t>
        </r>
        <r>
          <rPr>
            <sz val="9"/>
            <color indexed="81"/>
            <rFont val="Tahoma"/>
            <family val="2"/>
          </rPr>
          <t xml:space="preserve">
Why text size different?
</t>
        </r>
      </text>
    </comment>
    <comment ref="R18" authorId="0">
      <text>
        <r>
          <rPr>
            <b/>
            <sz val="9"/>
            <color indexed="81"/>
            <rFont val="Tahoma"/>
            <family val="2"/>
          </rPr>
          <t>DP:</t>
        </r>
        <r>
          <rPr>
            <sz val="9"/>
            <color indexed="81"/>
            <rFont val="Tahoma"/>
            <family val="2"/>
          </rPr>
          <t xml:space="preserve">
add / Liver … ?? 
(like Hepatitis)
</t>
        </r>
        <r>
          <rPr>
            <b/>
            <sz val="9"/>
            <color indexed="81"/>
            <rFont val="Tahoma"/>
            <family val="2"/>
          </rPr>
          <t>Sapalov Quita:</t>
        </r>
        <r>
          <rPr>
            <sz val="9"/>
            <color indexed="81"/>
            <rFont val="Tahoma"/>
            <family val="2"/>
          </rPr>
          <t xml:space="preserve">
Dr Foster from MHSS has seen these qs please leave as they are
</t>
        </r>
      </text>
    </comment>
    <comment ref="AJ21" authorId="1">
      <text>
        <r>
          <rPr>
            <b/>
            <sz val="9"/>
            <color indexed="81"/>
            <rFont val="Tahoma"/>
            <family val="2"/>
          </rPr>
          <t>Sapalov Quita:</t>
        </r>
        <r>
          <rPr>
            <sz val="9"/>
            <color indexed="81"/>
            <rFont val="Tahoma"/>
            <family val="2"/>
          </rPr>
          <t xml:space="preserve">
Changed, Outside Namibia is deleted
</t>
        </r>
      </text>
    </comment>
    <comment ref="AS21" authorId="0">
      <text>
        <r>
          <rPr>
            <b/>
            <sz val="9"/>
            <color indexed="81"/>
            <rFont val="Tahoma"/>
            <family val="2"/>
          </rPr>
          <t>DP:</t>
        </r>
        <r>
          <rPr>
            <sz val="9"/>
            <color indexed="81"/>
            <rFont val="Tahoma"/>
            <family val="2"/>
          </rPr>
          <t xml:space="preserve">
skips are bold, (as SM general rule)
</t>
        </r>
      </text>
    </comment>
    <comment ref="R22" authorId="0">
      <text>
        <r>
          <rPr>
            <b/>
            <sz val="9"/>
            <color indexed="81"/>
            <rFont val="Tahoma"/>
            <family val="2"/>
          </rPr>
          <t>DP:</t>
        </r>
        <r>
          <rPr>
            <sz val="9"/>
            <color indexed="81"/>
            <rFont val="Tahoma"/>
            <family val="2"/>
          </rPr>
          <t xml:space="preserve">
SM discussed (CAPI test) to exchange order of 12 &amp; 13. But we also prefer NOT to change.
</t>
        </r>
        <r>
          <rPr>
            <b/>
            <sz val="9"/>
            <color indexed="81"/>
            <rFont val="Tahoma"/>
            <family val="2"/>
          </rPr>
          <t>Sapalov Quita: Leave it</t>
        </r>
        <r>
          <rPr>
            <sz val="9"/>
            <color indexed="81"/>
            <rFont val="Tahoma"/>
            <family val="2"/>
          </rPr>
          <t xml:space="preserve">
</t>
        </r>
      </text>
    </comment>
    <comment ref="AV24" authorId="0">
      <text>
        <r>
          <rPr>
            <b/>
            <sz val="9"/>
            <color indexed="81"/>
            <rFont val="Tahoma"/>
            <family val="2"/>
          </rPr>
          <t>DP:</t>
        </r>
        <r>
          <rPr>
            <sz val="9"/>
            <color indexed="81"/>
            <rFont val="Tahoma"/>
            <family val="2"/>
          </rPr>
          <t xml:space="preserve">
… S (minutes) not visible &gt;&gt; Layout
</t>
        </r>
      </text>
    </comment>
  </commentList>
</comments>
</file>

<file path=xl/comments11.xml><?xml version="1.0" encoding="utf-8"?>
<comments xmlns="http://schemas.openxmlformats.org/spreadsheetml/2006/main">
  <authors>
    <author>DP</author>
  </authors>
  <commentList>
    <comment ref="F3" authorId="0">
      <text>
        <r>
          <rPr>
            <b/>
            <sz val="9"/>
            <color indexed="81"/>
            <rFont val="Tahoma"/>
            <family val="2"/>
          </rPr>
          <t>DP:</t>
        </r>
        <r>
          <rPr>
            <sz val="9"/>
            <color indexed="81"/>
            <rFont val="Tahoma"/>
            <family val="2"/>
          </rPr>
          <t xml:space="preserve">
SM wanted to change text … would you ask?</t>
        </r>
        <r>
          <rPr>
            <b/>
            <sz val="9"/>
            <color indexed="81"/>
            <rFont val="Tahoma"/>
            <family val="2"/>
          </rPr>
          <t>DP:</t>
        </r>
        <r>
          <rPr>
            <sz val="9"/>
            <color indexed="81"/>
            <rFont val="Tahoma"/>
            <family val="2"/>
          </rPr>
          <t xml:space="preserve">
Now re-decision 20/11 to keep it with .. receive?
</t>
        </r>
        <r>
          <rPr>
            <b/>
            <sz val="9"/>
            <color indexed="81"/>
            <rFont val="Tahoma"/>
            <family val="2"/>
          </rPr>
          <t>Sapalov Quita: Yes</t>
        </r>
        <r>
          <rPr>
            <sz val="9"/>
            <color indexed="81"/>
            <rFont val="Tahoma"/>
            <family val="2"/>
          </rPr>
          <t xml:space="preserve">
</t>
        </r>
      </text>
    </comment>
    <comment ref="K3" authorId="0">
      <text>
        <r>
          <rPr>
            <b/>
            <sz val="9"/>
            <color indexed="81"/>
            <rFont val="Tahoma"/>
            <family val="2"/>
          </rPr>
          <t>DP:</t>
        </r>
        <r>
          <rPr>
            <sz val="9"/>
            <color indexed="81"/>
            <rFont val="Tahoma"/>
            <family val="2"/>
          </rPr>
          <t xml:space="preserve">
SM wanted to change text to: Althoug your household does not own [ITEM] do you have access to it?</t>
        </r>
        <r>
          <rPr>
            <b/>
            <sz val="9"/>
            <color indexed="81"/>
            <rFont val="Tahoma"/>
            <family val="2"/>
          </rPr>
          <t>Sapalov Quita:</t>
        </r>
        <r>
          <rPr>
            <sz val="9"/>
            <color indexed="81"/>
            <rFont val="Tahoma"/>
            <family val="2"/>
          </rPr>
          <t xml:space="preserve">
Is the same, leave as is
</t>
        </r>
      </text>
    </comment>
    <comment ref="B8" authorId="0">
      <text>
        <r>
          <rPr>
            <b/>
            <sz val="9"/>
            <color indexed="81"/>
            <rFont val="Tahoma"/>
            <family val="2"/>
          </rPr>
          <t>DP:</t>
        </r>
        <r>
          <rPr>
            <sz val="9"/>
            <color indexed="81"/>
            <rFont val="Tahoma"/>
            <family val="2"/>
          </rPr>
          <t xml:space="preserve">
SM/DP agreed to directly use 5.02 in CAPI:
If 0 in 5.02 go to 5.04, else continue with 5.03 and skip 5.04
</t>
        </r>
        <r>
          <rPr>
            <b/>
            <sz val="9"/>
            <color indexed="81"/>
            <rFont val="Tahoma"/>
            <family val="2"/>
          </rPr>
          <t>Sapalov Quita:</t>
        </r>
        <r>
          <rPr>
            <sz val="9"/>
            <color indexed="81"/>
            <rFont val="Tahoma"/>
            <family val="2"/>
          </rPr>
          <t xml:space="preserve">
See instruction inCAps
</t>
        </r>
      </text>
    </comment>
    <comment ref="B32" authorId="0">
      <text>
        <r>
          <rPr>
            <b/>
            <sz val="9"/>
            <color indexed="81"/>
            <rFont val="Tahoma"/>
            <family val="2"/>
          </rPr>
          <t>DP:</t>
        </r>
        <r>
          <rPr>
            <sz val="9"/>
            <color indexed="81"/>
            <rFont val="Tahoma"/>
            <family val="2"/>
          </rPr>
          <t xml:space="preserve">
name is "iPad", witten like this, (see wikipedia).
</t>
        </r>
        <r>
          <rPr>
            <b/>
            <sz val="9"/>
            <color indexed="81"/>
            <rFont val="Tahoma"/>
            <family val="2"/>
          </rPr>
          <t>Sapalov Quita:</t>
        </r>
        <r>
          <rPr>
            <sz val="9"/>
            <color indexed="81"/>
            <rFont val="Tahoma"/>
            <family val="2"/>
          </rPr>
          <t xml:space="preserve">
No problem
</t>
        </r>
      </text>
    </comment>
    <comment ref="D49" authorId="0">
      <text>
        <r>
          <rPr>
            <b/>
            <sz val="9"/>
            <color indexed="81"/>
            <rFont val="Tahoma"/>
            <family val="2"/>
          </rPr>
          <t>DP:</t>
        </r>
        <r>
          <rPr>
            <sz val="9"/>
            <color indexed="81"/>
            <rFont val="Tahoma"/>
            <family val="2"/>
          </rPr>
          <t xml:space="preserve">
Sum does not make ense for this column &gt;&gt; grey
</t>
        </r>
        <r>
          <rPr>
            <b/>
            <sz val="9"/>
            <color indexed="81"/>
            <rFont val="Tahoma"/>
            <family val="2"/>
          </rPr>
          <t>Sapalov Quita:</t>
        </r>
        <r>
          <rPr>
            <sz val="9"/>
            <color indexed="81"/>
            <rFont val="Tahoma"/>
            <family val="2"/>
          </rPr>
          <t xml:space="preserve">
Why not, leave as is
</t>
        </r>
      </text>
    </comment>
  </commentList>
</comments>
</file>

<file path=xl/comments12.xml><?xml version="1.0" encoding="utf-8"?>
<comments xmlns="http://schemas.openxmlformats.org/spreadsheetml/2006/main">
  <authors>
    <author>DP</author>
  </authors>
  <commentList>
    <comment ref="B1" authorId="0">
      <text>
        <r>
          <rPr>
            <b/>
            <sz val="9"/>
            <color indexed="81"/>
            <rFont val="Tahoma"/>
            <family val="2"/>
          </rPr>
          <t>DP:</t>
        </r>
        <r>
          <rPr>
            <sz val="9"/>
            <color indexed="81"/>
            <rFont val="Tahoma"/>
            <family val="2"/>
          </rPr>
          <t xml:space="preserve">
YOU in whole section??
</t>
        </r>
        <r>
          <rPr>
            <b/>
            <sz val="9"/>
            <color indexed="81"/>
            <rFont val="Tahoma"/>
            <family val="2"/>
          </rPr>
          <t>Sapalov Quita:</t>
        </r>
        <r>
          <rPr>
            <sz val="9"/>
            <color indexed="81"/>
            <rFont val="Tahoma"/>
            <family val="2"/>
          </rPr>
          <t xml:space="preserve">
As agreed
</t>
        </r>
      </text>
    </comment>
  </commentList>
</comments>
</file>

<file path=xl/comments13.xml><?xml version="1.0" encoding="utf-8"?>
<comments xmlns="http://schemas.openxmlformats.org/spreadsheetml/2006/main">
  <authors>
    <author>DP</author>
  </authors>
  <commentList>
    <comment ref="P60" authorId="0">
      <text>
        <r>
          <rPr>
            <b/>
            <sz val="9"/>
            <color indexed="81"/>
            <rFont val="Tahoma"/>
            <family val="2"/>
          </rPr>
          <t>DP:</t>
        </r>
        <r>
          <rPr>
            <sz val="9"/>
            <color indexed="81"/>
            <rFont val="Tahoma"/>
            <family val="2"/>
          </rPr>
          <t xml:space="preserve">
There are 2 CODE lists? What to be used here?</t>
        </r>
        <r>
          <rPr>
            <b/>
            <sz val="9"/>
            <color indexed="81"/>
            <rFont val="Tahoma"/>
            <family val="2"/>
          </rPr>
          <t>Sapalov Quita:</t>
        </r>
        <r>
          <rPr>
            <sz val="9"/>
            <color indexed="81"/>
            <rFont val="Tahoma"/>
            <family val="2"/>
          </rPr>
          <t xml:space="preserve">
USE COICOP 
</t>
        </r>
      </text>
    </comment>
  </commentList>
</comments>
</file>

<file path=xl/comments14.xml><?xml version="1.0" encoding="utf-8"?>
<comments xmlns="http://schemas.openxmlformats.org/spreadsheetml/2006/main">
  <authors>
    <author>DP</author>
    <author>Roos</author>
    <author>Sapalov Quita</author>
  </authors>
  <commentList>
    <comment ref="W13" authorId="0">
      <text>
        <r>
          <rPr>
            <b/>
            <sz val="9"/>
            <color indexed="81"/>
            <rFont val="Tahoma"/>
            <family val="2"/>
          </rPr>
          <t>DP:</t>
        </r>
        <r>
          <rPr>
            <sz val="9"/>
            <color indexed="81"/>
            <rFont val="Tahoma"/>
            <family val="2"/>
          </rPr>
          <t xml:space="preserve">
/ Paternity (or extra items?) - was agreed to add (see also 6.06 item 2) 
or wording  better: "Maternity, Parental Leave" 
</t>
        </r>
        <r>
          <rPr>
            <b/>
            <sz val="9"/>
            <color indexed="81"/>
            <rFont val="Tahoma"/>
            <family val="2"/>
          </rPr>
          <t>Sapalov Quita:</t>
        </r>
        <r>
          <rPr>
            <sz val="9"/>
            <color indexed="81"/>
            <rFont val="Tahoma"/>
            <family val="2"/>
          </rPr>
          <t xml:space="preserve">
Paternity added
</t>
        </r>
      </text>
    </comment>
    <comment ref="AF15" authorId="1">
      <text>
        <r>
          <rPr>
            <b/>
            <sz val="9"/>
            <color indexed="81"/>
            <rFont val="Tahoma"/>
            <family val="2"/>
          </rPr>
          <t>Roos:</t>
        </r>
        <r>
          <rPr>
            <sz val="9"/>
            <color indexed="81"/>
            <rFont val="Tahoma"/>
            <family val="2"/>
          </rPr>
          <t xml:space="preserve">
Ranges? What is if 2 months and 15 days for ex.
</t>
        </r>
        <r>
          <rPr>
            <b/>
            <sz val="9"/>
            <color indexed="81"/>
            <rFont val="Tahoma"/>
            <family val="2"/>
          </rPr>
          <t>Sapalov Quita:</t>
        </r>
        <r>
          <rPr>
            <sz val="9"/>
            <color indexed="81"/>
            <rFont val="Tahoma"/>
            <family val="2"/>
          </rPr>
          <t xml:space="preserve">
Does not matter, is 2 months as in your age
</t>
        </r>
      </text>
    </comment>
    <comment ref="AV15" authorId="2">
      <text>
        <r>
          <rPr>
            <b/>
            <sz val="9"/>
            <color indexed="81"/>
            <rFont val="Tahoma"/>
            <family val="2"/>
          </rPr>
          <t>Sapalov Quita:</t>
        </r>
        <r>
          <rPr>
            <sz val="9"/>
            <color indexed="81"/>
            <rFont val="Tahoma"/>
            <family val="2"/>
          </rPr>
          <t xml:space="preserve">
Combined minibus &amp; bus
</t>
        </r>
      </text>
    </comment>
    <comment ref="AU16" authorId="2">
      <text>
        <r>
          <rPr>
            <b/>
            <sz val="9"/>
            <color indexed="81"/>
            <rFont val="Tahoma"/>
            <family val="2"/>
          </rPr>
          <t>Sapalov Quita:</t>
        </r>
        <r>
          <rPr>
            <sz val="9"/>
            <color indexed="81"/>
            <rFont val="Tahoma"/>
            <family val="2"/>
          </rPr>
          <t xml:space="preserve">
Added more items
</t>
        </r>
      </text>
    </comment>
    <comment ref="AW23" authorId="0">
      <text>
        <r>
          <rPr>
            <b/>
            <sz val="9"/>
            <color indexed="81"/>
            <rFont val="Tahoma"/>
            <family val="2"/>
          </rPr>
          <t>DP:</t>
        </r>
        <r>
          <rPr>
            <sz val="9"/>
            <color indexed="81"/>
            <rFont val="Tahoma"/>
            <family val="2"/>
          </rPr>
          <t xml:space="preserve">
Interviewer hint to add, as elsewhere. If km not known ...
</t>
        </r>
      </text>
    </comment>
  </commentList>
</comments>
</file>

<file path=xl/comments15.xml><?xml version="1.0" encoding="utf-8"?>
<comments xmlns="http://schemas.openxmlformats.org/spreadsheetml/2006/main">
  <authors>
    <author>DP</author>
  </authors>
  <commentList>
    <comment ref="AA2" authorId="0">
      <text>
        <r>
          <rPr>
            <b/>
            <sz val="9"/>
            <color indexed="81"/>
            <rFont val="Tahoma"/>
            <family val="2"/>
          </rPr>
          <t>DP:</t>
        </r>
        <r>
          <rPr>
            <sz val="9"/>
            <color indexed="81"/>
            <rFont val="Tahoma"/>
            <family val="2"/>
          </rPr>
          <t xml:space="preserve">
SM agreed to review: 
Is (last) respondent ID really needed to store? It's used here (7E), for some income sections, 8, 9A, 10, 11 and section 2E (female).
What analysis will you do with this?
For CAPI we would need from SM the MIN age for these respondent, to offer a filtered list of HH members to chose the respondent ID.
(To take care that this MIN corresponds to the MIN for HH head)
</t>
        </r>
        <r>
          <rPr>
            <b/>
            <sz val="9"/>
            <color indexed="81"/>
            <rFont val="Tahoma"/>
            <family val="2"/>
          </rPr>
          <t xml:space="preserve">Sapalov Quita: No need for MIN here HH will choose respondent
</t>
        </r>
      </text>
    </comment>
    <comment ref="P17" authorId="0">
      <text>
        <r>
          <rPr>
            <b/>
            <sz val="9"/>
            <color indexed="81"/>
            <rFont val="Tahoma"/>
            <family val="2"/>
          </rPr>
          <t>DP:</t>
        </r>
        <r>
          <rPr>
            <sz val="9"/>
            <color indexed="81"/>
            <rFont val="Tahoma"/>
            <family val="2"/>
          </rPr>
          <t xml:space="preserve">
Now the code only 5 to 17 … (see upper page)
SM, is this correct?
</t>
        </r>
        <r>
          <rPr>
            <b/>
            <sz val="9"/>
            <color indexed="81"/>
            <rFont val="Tahoma"/>
            <family val="2"/>
          </rPr>
          <t>Sapalov Quita:</t>
        </r>
        <r>
          <rPr>
            <sz val="9"/>
            <color indexed="81"/>
            <rFont val="Tahoma"/>
            <family val="2"/>
          </rPr>
          <t xml:space="preserve">
Don't understand this
</t>
        </r>
      </text>
    </comment>
  </commentList>
</comments>
</file>

<file path=xl/comments16.xml><?xml version="1.0" encoding="utf-8"?>
<comments xmlns="http://schemas.openxmlformats.org/spreadsheetml/2006/main">
  <authors>
    <author>DP</author>
  </authors>
  <commentList>
    <comment ref="B50" authorId="0">
      <text>
        <r>
          <rPr>
            <b/>
            <sz val="9"/>
            <color indexed="81"/>
            <rFont val="Tahoma"/>
            <family val="2"/>
          </rPr>
          <t>DP:</t>
        </r>
        <r>
          <rPr>
            <sz val="9"/>
            <color indexed="81"/>
            <rFont val="Tahoma"/>
            <family val="2"/>
          </rPr>
          <t xml:space="preserve">
Firewood - (1 word)?
</t>
        </r>
        <r>
          <rPr>
            <b/>
            <sz val="9"/>
            <color indexed="81"/>
            <rFont val="Tahoma"/>
            <family val="2"/>
          </rPr>
          <t>Sapalov Quita:</t>
        </r>
        <r>
          <rPr>
            <sz val="9"/>
            <color indexed="81"/>
            <rFont val="Tahoma"/>
            <family val="2"/>
          </rPr>
          <t xml:space="preserve">
NO, 2 words please
</t>
        </r>
      </text>
    </comment>
  </commentList>
</comments>
</file>

<file path=xl/comments17.xml><?xml version="1.0" encoding="utf-8"?>
<comments xmlns="http://schemas.openxmlformats.org/spreadsheetml/2006/main">
  <authors>
    <author>DP</author>
    <author>Sapalov Quita</author>
  </authors>
  <commentList>
    <comment ref="Q8" authorId="0">
      <text>
        <r>
          <rPr>
            <b/>
            <sz val="9"/>
            <color indexed="81"/>
            <rFont val="Tahoma"/>
            <family val="2"/>
          </rPr>
          <t>DP:</t>
        </r>
        <r>
          <rPr>
            <sz val="9"/>
            <color indexed="81"/>
            <rFont val="Tahoma"/>
            <family val="2"/>
          </rPr>
          <t xml:space="preserve">
As far as I remember, SM wanted to add own consumption &amp; giving in-kind (also get in-kind in 7.19/.20), so that all columns add to SUM today
</t>
        </r>
      </text>
    </comment>
    <comment ref="M9" authorId="1">
      <text>
        <r>
          <rPr>
            <b/>
            <sz val="9"/>
            <color indexed="81"/>
            <rFont val="Tahoma"/>
            <family val="2"/>
          </rPr>
          <t>Sapalov Quita:</t>
        </r>
        <r>
          <rPr>
            <sz val="9"/>
            <color indexed="81"/>
            <rFont val="Tahoma"/>
            <family val="2"/>
          </rPr>
          <t xml:space="preserve">
"or given away", added here
</t>
        </r>
      </text>
    </comment>
    <comment ref="Y9" authorId="1">
      <text>
        <r>
          <rPr>
            <b/>
            <sz val="9"/>
            <color indexed="81"/>
            <rFont val="Tahoma"/>
            <family val="2"/>
          </rPr>
          <t>Sapalov Quita:</t>
        </r>
        <r>
          <rPr>
            <sz val="9"/>
            <color indexed="81"/>
            <rFont val="Tahoma"/>
            <family val="2"/>
          </rPr>
          <t xml:space="preserve">
"or given to household"; added here
</t>
        </r>
      </text>
    </comment>
  </commentList>
</comments>
</file>

<file path=xl/comments18.xml><?xml version="1.0" encoding="utf-8"?>
<comments xmlns="http://schemas.openxmlformats.org/spreadsheetml/2006/main">
  <authors>
    <author>DP</author>
  </authors>
  <commentList>
    <comment ref="V1" authorId="0">
      <text>
        <r>
          <rPr>
            <b/>
            <sz val="9"/>
            <color indexed="81"/>
            <rFont val="Tahoma"/>
            <family val="2"/>
          </rPr>
          <t>DP:</t>
        </r>
        <r>
          <rPr>
            <sz val="9"/>
            <color indexed="81"/>
            <rFont val="Tahoma"/>
            <family val="2"/>
          </rPr>
          <t xml:space="preserve">
HH members from which age on (see also MIN for HH head)?
</t>
        </r>
        <r>
          <rPr>
            <b/>
            <sz val="9"/>
            <color indexed="81"/>
            <rFont val="Tahoma"/>
            <family val="2"/>
          </rPr>
          <t>Sapalov Quita:</t>
        </r>
        <r>
          <rPr>
            <sz val="9"/>
            <color indexed="81"/>
            <rFont val="Tahoma"/>
            <family val="2"/>
          </rPr>
          <t xml:space="preserve">
No limits, please
</t>
        </r>
      </text>
    </comment>
  </commentList>
</comments>
</file>

<file path=xl/comments19.xml><?xml version="1.0" encoding="utf-8"?>
<comments xmlns="http://schemas.openxmlformats.org/spreadsheetml/2006/main">
  <authors>
    <author>DP</author>
  </authors>
  <commentList>
    <comment ref="M8" authorId="0">
      <text>
        <r>
          <rPr>
            <b/>
            <sz val="9"/>
            <color indexed="81"/>
            <rFont val="Tahoma"/>
            <family val="2"/>
          </rPr>
          <t>DP:</t>
        </r>
        <r>
          <rPr>
            <sz val="9"/>
            <color indexed="81"/>
            <rFont val="Tahoma"/>
            <family val="2"/>
          </rPr>
          <t xml:space="preserve">
Should be same code to circle (as in 09.02). I think this was agreed, see CAPI test.
Q-text to adapt for this: ...
</t>
        </r>
        <r>
          <rPr>
            <b/>
            <sz val="9"/>
            <color indexed="81"/>
            <rFont val="Tahoma"/>
            <family val="2"/>
          </rPr>
          <t>Sapalov Quita:</t>
        </r>
        <r>
          <rPr>
            <sz val="9"/>
            <color indexed="81"/>
            <rFont val="Tahoma"/>
            <family val="2"/>
          </rPr>
          <t xml:space="preserve">
This is multiple choice q, interviewer can circle many options here
</t>
        </r>
      </text>
    </comment>
  </commentList>
</comments>
</file>

<file path=xl/comments20.xml><?xml version="1.0" encoding="utf-8"?>
<comments xmlns="http://schemas.openxmlformats.org/spreadsheetml/2006/main">
  <authors>
    <author>Roos</author>
  </authors>
  <commentList>
    <comment ref="M14" authorId="0">
      <text>
        <r>
          <rPr>
            <b/>
            <sz val="9"/>
            <color indexed="81"/>
            <rFont val="Tahoma"/>
            <family val="2"/>
          </rPr>
          <t>Roos:</t>
        </r>
        <r>
          <rPr>
            <sz val="9"/>
            <color indexed="81"/>
            <rFont val="Tahoma"/>
            <family val="2"/>
          </rPr>
          <t xml:space="preserve">
where to write 99? 99 can be valid year, like 1999 Better add Don't know column?
</t>
        </r>
        <r>
          <rPr>
            <b/>
            <sz val="9"/>
            <color indexed="81"/>
            <rFont val="Tahoma"/>
            <family val="2"/>
          </rPr>
          <t>Sapalov Quita: Where answer should be written</t>
        </r>
        <r>
          <rPr>
            <sz val="9"/>
            <color indexed="81"/>
            <rFont val="Tahoma"/>
            <family val="2"/>
          </rPr>
          <t xml:space="preserve">
</t>
        </r>
      </text>
    </comment>
    <comment ref="M21" authorId="0">
      <text>
        <r>
          <rPr>
            <b/>
            <sz val="9"/>
            <color indexed="81"/>
            <rFont val="Tahoma"/>
            <family val="2"/>
          </rPr>
          <t>Roos:</t>
        </r>
        <r>
          <rPr>
            <sz val="9"/>
            <color indexed="81"/>
            <rFont val="Tahoma"/>
            <family val="2"/>
          </rPr>
          <t xml:space="preserve">
Please first year, than month
</t>
        </r>
        <r>
          <rPr>
            <b/>
            <sz val="9"/>
            <color indexed="81"/>
            <rFont val="Tahoma"/>
            <family val="2"/>
          </rPr>
          <t>Sapalov Quita:</t>
        </r>
        <r>
          <rPr>
            <sz val="9"/>
            <color indexed="81"/>
            <rFont val="Tahoma"/>
            <family val="2"/>
          </rPr>
          <t xml:space="preserve">
Why that way??? Laeve it this way
</t>
        </r>
      </text>
    </comment>
  </commentList>
</comments>
</file>

<file path=xl/comments21.xml><?xml version="1.0" encoding="utf-8"?>
<comments xmlns="http://schemas.openxmlformats.org/spreadsheetml/2006/main">
  <authors>
    <author>DP</author>
  </authors>
  <commentList>
    <comment ref="C1" authorId="0">
      <text>
        <r>
          <rPr>
            <b/>
            <sz val="9"/>
            <color indexed="81"/>
            <rFont val="Tahoma"/>
            <family val="2"/>
          </rPr>
          <t>DP:</t>
        </r>
        <r>
          <rPr>
            <sz val="9"/>
            <color indexed="81"/>
            <rFont val="Tahoma"/>
            <family val="2"/>
          </rPr>
          <t xml:space="preserve">
n CAPI test discussion, SM decided that this Section is to filter by AGE, only to use if person 8 years and older.
This should also be written on paper Q.
</t>
        </r>
        <r>
          <rPr>
            <b/>
            <sz val="9"/>
            <color indexed="81"/>
            <rFont val="Tahoma"/>
            <family val="2"/>
          </rPr>
          <t>Sapalov Quita:</t>
        </r>
        <r>
          <rPr>
            <sz val="9"/>
            <color indexed="81"/>
            <rFont val="Tahoma"/>
            <family val="2"/>
          </rPr>
          <t xml:space="preserve">
This comes from labour section, no under 8 will be asked these qs
</t>
        </r>
      </text>
    </comment>
    <comment ref="K1" authorId="0">
      <text>
        <r>
          <rPr>
            <b/>
            <sz val="9"/>
            <color indexed="81"/>
            <rFont val="Tahoma"/>
            <family val="2"/>
          </rPr>
          <t>DP:</t>
        </r>
        <r>
          <rPr>
            <sz val="9"/>
            <color indexed="81"/>
            <rFont val="Tahoma"/>
            <family val="2"/>
          </rPr>
          <t xml:space="preserve">
Can be different respondents (e.g. on different days), even per HH person, if individually interviewed!
How to treat this?
</t>
        </r>
        <r>
          <rPr>
            <b/>
            <sz val="9"/>
            <color indexed="81"/>
            <rFont val="Tahoma"/>
            <family val="2"/>
          </rPr>
          <t>Sapalov Quita:</t>
        </r>
        <r>
          <rPr>
            <sz val="9"/>
            <color indexed="81"/>
            <rFont val="Tahoma"/>
            <family val="2"/>
          </rPr>
          <t xml:space="preserve">
Interviewer will write as interview progresses, there will be resignattions + other changes, that can't be avoided, leave this as it is
</t>
        </r>
      </text>
    </comment>
  </commentList>
</comments>
</file>

<file path=xl/comments22.xml><?xml version="1.0" encoding="utf-8"?>
<comments xmlns="http://schemas.openxmlformats.org/spreadsheetml/2006/main">
  <authors>
    <author>Sapalov Quita</author>
    <author>DP</author>
  </authors>
  <commentList>
    <comment ref="L5" authorId="0">
      <text>
        <r>
          <rPr>
            <b/>
            <sz val="9"/>
            <color indexed="81"/>
            <rFont val="Tahoma"/>
            <family val="2"/>
          </rPr>
          <t>Sapalov Quita:</t>
        </r>
        <r>
          <rPr>
            <sz val="9"/>
            <color indexed="81"/>
            <rFont val="Tahoma"/>
            <family val="2"/>
          </rPr>
          <t xml:space="preserve">
Need formatting to fit in space
</t>
        </r>
      </text>
    </comment>
    <comment ref="M5" authorId="1">
      <text>
        <r>
          <rPr>
            <b/>
            <sz val="9"/>
            <color indexed="81"/>
            <rFont val="Tahoma"/>
            <family val="2"/>
          </rPr>
          <t>DP:</t>
        </r>
        <r>
          <rPr>
            <sz val="9"/>
            <color indexed="81"/>
            <rFont val="Tahoma"/>
            <family val="2"/>
          </rPr>
          <t xml:space="preserve">
Text not fully visible &gt;&gt; Layout
</t>
        </r>
      </text>
    </comment>
  </commentList>
</comments>
</file>

<file path=xl/comments23.xml><?xml version="1.0" encoding="utf-8"?>
<comments xmlns="http://schemas.openxmlformats.org/spreadsheetml/2006/main">
  <authors>
    <author>Roos</author>
    <author>DP</author>
  </authors>
  <commentList>
    <comment ref="C3" authorId="0">
      <text>
        <r>
          <rPr>
            <b/>
            <sz val="9"/>
            <color indexed="81"/>
            <rFont val="Tahoma"/>
            <family val="2"/>
          </rPr>
          <t>Roos:</t>
        </r>
        <r>
          <rPr>
            <sz val="9"/>
            <color indexed="81"/>
            <rFont val="Tahoma"/>
            <family val="2"/>
          </rPr>
          <t xml:space="preserve">
you? Or your </t>
        </r>
        <r>
          <rPr>
            <b/>
            <sz val="9"/>
            <color indexed="81"/>
            <rFont val="Tahoma"/>
            <family val="2"/>
          </rPr>
          <t xml:space="preserve">household?
DP:
better use for all expenditures sections (12 - 20) not you, but your HH?
Sapalov Quita:
Will do as agreed, no other changes please
</t>
        </r>
      </text>
    </comment>
    <comment ref="B4" authorId="1">
      <text>
        <r>
          <rPr>
            <b/>
            <sz val="9"/>
            <color indexed="81"/>
            <rFont val="Tahoma"/>
            <family val="2"/>
          </rPr>
          <t>DP:</t>
        </r>
        <r>
          <rPr>
            <sz val="9"/>
            <color indexed="81"/>
            <rFont val="Tahoma"/>
            <family val="2"/>
          </rPr>
          <t xml:space="preserve">
Text not fully visible &gt; Layout, also for 12.03 &amp; .04
</t>
        </r>
      </text>
    </comment>
  </commentList>
</comments>
</file>

<file path=xl/comments24.xml><?xml version="1.0" encoding="utf-8"?>
<comments xmlns="http://schemas.openxmlformats.org/spreadsheetml/2006/main">
  <authors>
    <author>DP</author>
  </authors>
  <commentList>
    <comment ref="G5" authorId="0">
      <text>
        <r>
          <rPr>
            <b/>
            <sz val="9"/>
            <color indexed="81"/>
            <rFont val="Tahoma"/>
            <family val="2"/>
          </rPr>
          <t>DP:</t>
        </r>
        <r>
          <rPr>
            <sz val="9"/>
            <color indexed="81"/>
            <rFont val="Tahoma"/>
            <family val="2"/>
          </rPr>
          <t xml:space="preserve">
Text not fully visible &gt; Layout, also 13.03
</t>
        </r>
      </text>
    </comment>
  </commentList>
</comments>
</file>

<file path=xl/comments25.xml><?xml version="1.0" encoding="utf-8"?>
<comments xmlns="http://schemas.openxmlformats.org/spreadsheetml/2006/main">
  <authors>
    <author>DP</author>
  </authors>
  <commentList>
    <comment ref="B35" authorId="0">
      <text>
        <r>
          <rPr>
            <b/>
            <sz val="9"/>
            <color indexed="81"/>
            <rFont val="Tahoma"/>
            <family val="2"/>
          </rPr>
          <t>DP:</t>
        </r>
        <r>
          <rPr>
            <sz val="9"/>
            <color indexed="81"/>
            <rFont val="Tahoma"/>
            <family val="2"/>
          </rPr>
          <t xml:space="preserve">
Gas … (capital)?
</t>
        </r>
      </text>
    </comment>
  </commentList>
</comments>
</file>

<file path=xl/comments26.xml><?xml version="1.0" encoding="utf-8"?>
<comments xmlns="http://schemas.openxmlformats.org/spreadsheetml/2006/main">
  <authors>
    <author>DP</author>
  </authors>
  <commentList>
    <comment ref="D5" authorId="0">
      <text>
        <r>
          <rPr>
            <b/>
            <sz val="9"/>
            <color indexed="81"/>
            <rFont val="Tahoma"/>
            <family val="2"/>
          </rPr>
          <t>DP:</t>
        </r>
        <r>
          <rPr>
            <sz val="9"/>
            <color indexed="81"/>
            <rFont val="Tahoma"/>
            <family val="2"/>
          </rPr>
          <t xml:space="preserve">
IN CAPI &gt; 15.10 where the question and data entry are.
</t>
        </r>
      </text>
    </comment>
  </commentList>
</comments>
</file>

<file path=xl/comments27.xml><?xml version="1.0" encoding="utf-8"?>
<comments xmlns="http://schemas.openxmlformats.org/spreadsheetml/2006/main">
  <authors>
    <author>DP</author>
  </authors>
  <commentList>
    <comment ref="B12" authorId="0">
      <text>
        <r>
          <rPr>
            <b/>
            <sz val="9"/>
            <color indexed="81"/>
            <rFont val="Tahoma"/>
            <family val="2"/>
          </rPr>
          <t>DP:</t>
        </r>
        <r>
          <rPr>
            <sz val="9"/>
            <color indexed="81"/>
            <rFont val="Tahoma"/>
            <family val="2"/>
          </rPr>
          <t xml:space="preserve">
Text not fully visible &gt;&gt; Layout</t>
        </r>
      </text>
    </comment>
    <comment ref="B18" authorId="0">
      <text>
        <r>
          <rPr>
            <b/>
            <sz val="9"/>
            <color indexed="81"/>
            <rFont val="Tahoma"/>
            <family val="2"/>
          </rPr>
          <t>DP:</t>
        </r>
        <r>
          <rPr>
            <sz val="9"/>
            <color indexed="81"/>
            <rFont val="Tahoma"/>
            <family val="2"/>
          </rPr>
          <t xml:space="preserve">
Text not fully visible &gt;&gt; Layout</t>
        </r>
      </text>
    </comment>
  </commentList>
</comments>
</file>

<file path=xl/comments28.xml><?xml version="1.0" encoding="utf-8"?>
<comments xmlns="http://schemas.openxmlformats.org/spreadsheetml/2006/main">
  <authors>
    <author>DP</author>
    <author>Roos</author>
  </authors>
  <commentList>
    <comment ref="B6" authorId="0">
      <text>
        <r>
          <rPr>
            <b/>
            <sz val="9"/>
            <color indexed="81"/>
            <rFont val="Tahoma"/>
            <family val="2"/>
          </rPr>
          <t>DP:</t>
        </r>
        <r>
          <rPr>
            <sz val="9"/>
            <color indexed="81"/>
            <rFont val="Tahoma"/>
            <family val="2"/>
          </rPr>
          <t xml:space="preserve">
SM wanted to review skip form. To continue in the item line, with 17.04.
In CAPI directly (only) question 17.4 could be ask.
Same for Section 19
</t>
        </r>
      </text>
    </comment>
    <comment ref="B19" authorId="1">
      <text>
        <r>
          <rPr>
            <b/>
            <sz val="9"/>
            <color indexed="81"/>
            <rFont val="Tahoma"/>
            <family val="2"/>
          </rPr>
          <t>Roos:</t>
        </r>
        <r>
          <rPr>
            <sz val="9"/>
            <color indexed="81"/>
            <rFont val="Tahoma"/>
            <family val="2"/>
          </rPr>
          <t xml:space="preserve">
SM wanted to correct to ICT (see CAPI test)</t>
        </r>
        <r>
          <rPr>
            <b/>
            <sz val="9"/>
            <color indexed="81"/>
            <rFont val="Tahoma"/>
            <family val="2"/>
          </rPr>
          <t>DP:</t>
        </r>
        <r>
          <rPr>
            <sz val="9"/>
            <color indexed="81"/>
            <rFont val="Tahoma"/>
            <family val="2"/>
          </rPr>
          <t xml:space="preserve">
Also to correct in TOC!</t>
        </r>
      </text>
    </comment>
  </commentList>
</comments>
</file>

<file path=xl/comments29.xml><?xml version="1.0" encoding="utf-8"?>
<comments xmlns="http://schemas.openxmlformats.org/spreadsheetml/2006/main">
  <authors>
    <author>DP</author>
  </authors>
  <commentList>
    <comment ref="B15" authorId="0">
      <text>
        <r>
          <rPr>
            <b/>
            <sz val="9"/>
            <color indexed="81"/>
            <rFont val="Tahoma"/>
            <family val="2"/>
          </rPr>
          <t>DP:</t>
        </r>
        <r>
          <rPr>
            <sz val="9"/>
            <color indexed="81"/>
            <rFont val="Tahoma"/>
            <family val="2"/>
          </rPr>
          <t xml:space="preserve">
Better standardise speeling in whole Q, at the moment you have 3 forms: minibus, mini-bus (05.01, 18.14/745) and mini bus (here)
To be found by Excel&gt;Find&gt;Options&gt;Workbook "bus".
</t>
        </r>
        <r>
          <rPr>
            <b/>
            <sz val="9"/>
            <color indexed="81"/>
            <rFont val="Tahoma"/>
            <family val="2"/>
          </rPr>
          <t>Sapalov Quita:</t>
        </r>
        <r>
          <rPr>
            <sz val="9"/>
            <color indexed="81"/>
            <rFont val="Tahoma"/>
            <family val="2"/>
          </rPr>
          <t xml:space="preserve">
"Speeling" is done
</t>
        </r>
      </text>
    </comment>
    <comment ref="B42" authorId="0">
      <text>
        <r>
          <rPr>
            <b/>
            <sz val="9"/>
            <color indexed="81"/>
            <rFont val="Tahoma"/>
            <family val="2"/>
          </rPr>
          <t>DP:</t>
        </r>
        <r>
          <rPr>
            <sz val="9"/>
            <color indexed="81"/>
            <rFont val="Tahoma"/>
            <family val="2"/>
          </rPr>
          <t xml:space="preserve">
Text not fully visible &gt;&gt; Layout
also 727</t>
        </r>
      </text>
    </comment>
  </commentList>
</comments>
</file>

<file path=xl/comments30.xml><?xml version="1.0" encoding="utf-8"?>
<comments xmlns="http://schemas.openxmlformats.org/spreadsheetml/2006/main">
  <authors>
    <author>DP</author>
  </authors>
  <commentList>
    <comment ref="B39" authorId="0">
      <text>
        <r>
          <rPr>
            <b/>
            <sz val="9"/>
            <color indexed="81"/>
            <rFont val="Tahoma"/>
            <family val="2"/>
          </rPr>
          <t>DP:</t>
        </r>
        <r>
          <rPr>
            <sz val="9"/>
            <color indexed="81"/>
            <rFont val="Tahoma"/>
            <family val="2"/>
          </rPr>
          <t xml:space="preserve">
Includes Minibus?
Bus excludes schoolbus?
</t>
        </r>
        <r>
          <rPr>
            <b/>
            <sz val="9"/>
            <color indexed="81"/>
            <rFont val="Tahoma"/>
            <family val="2"/>
          </rPr>
          <t>Sapalov Quita:</t>
        </r>
        <r>
          <rPr>
            <sz val="9"/>
            <color indexed="81"/>
            <rFont val="Tahoma"/>
            <family val="2"/>
          </rPr>
          <t xml:space="preserve">
Is it part of public transport?
</t>
        </r>
      </text>
    </comment>
  </commentList>
</comments>
</file>

<file path=xl/comments31.xml><?xml version="1.0" encoding="utf-8"?>
<comments xmlns="http://schemas.openxmlformats.org/spreadsheetml/2006/main">
  <authors>
    <author>DP</author>
  </authors>
  <commentList>
    <comment ref="B14" authorId="0">
      <text>
        <r>
          <rPr>
            <b/>
            <sz val="9"/>
            <color indexed="81"/>
            <rFont val="Tahoma"/>
            <family val="2"/>
          </rPr>
          <t>DP:</t>
        </r>
        <r>
          <rPr>
            <sz val="9"/>
            <color indexed="81"/>
            <rFont val="Tahoma"/>
            <family val="2"/>
          </rPr>
          <t xml:space="preserve">
Gifts … (capital)?
</t>
        </r>
      </text>
    </comment>
    <comment ref="B32" authorId="0">
      <text>
        <r>
          <rPr>
            <b/>
            <sz val="9"/>
            <color indexed="81"/>
            <rFont val="Tahoma"/>
            <family val="2"/>
          </rPr>
          <t>DP:</t>
        </r>
        <r>
          <rPr>
            <sz val="9"/>
            <color indexed="81"/>
            <rFont val="Tahoma"/>
            <family val="2"/>
          </rPr>
          <t xml:space="preserve">
Bank … (capital)?
</t>
        </r>
      </text>
    </comment>
  </commentList>
</comments>
</file>

<file path=xl/comments32.xml><?xml version="1.0" encoding="utf-8"?>
<comments xmlns="http://schemas.openxmlformats.org/spreadsheetml/2006/main">
  <authors>
    <author>DP</author>
  </authors>
  <commentList>
    <comment ref="B11" authorId="0">
      <text>
        <r>
          <rPr>
            <b/>
            <sz val="9"/>
            <color indexed="81"/>
            <rFont val="Tahoma"/>
            <family val="2"/>
          </rPr>
          <t>DP:</t>
        </r>
        <r>
          <rPr>
            <sz val="9"/>
            <color indexed="81"/>
            <rFont val="Tahoma"/>
            <family val="2"/>
          </rPr>
          <t xml:space="preserve">
why bold here?
</t>
        </r>
        <r>
          <rPr>
            <b/>
            <sz val="9"/>
            <color indexed="81"/>
            <rFont val="Tahoma"/>
            <family val="2"/>
          </rPr>
          <t>Sapalov Quita:</t>
        </r>
        <r>
          <rPr>
            <sz val="9"/>
            <color indexed="81"/>
            <rFont val="Tahoma"/>
            <family val="2"/>
          </rPr>
          <t xml:space="preserve">
All qs are bold, right?
</t>
        </r>
      </text>
    </comment>
    <comment ref="E28" authorId="0">
      <text>
        <r>
          <rPr>
            <b/>
            <sz val="9"/>
            <color indexed="81"/>
            <rFont val="Tahoma"/>
            <family val="2"/>
          </rPr>
          <t>DP:</t>
        </r>
        <r>
          <rPr>
            <sz val="9"/>
            <color indexed="81"/>
            <rFont val="Tahoma"/>
            <family val="2"/>
          </rPr>
          <t xml:space="preserve">
No entry field &gt;&gt; grey
Same for ALL Totals
</t>
        </r>
        <r>
          <rPr>
            <b/>
            <sz val="9"/>
            <color indexed="81"/>
            <rFont val="Tahoma"/>
            <family val="2"/>
          </rPr>
          <t>Sapalov Quita:</t>
        </r>
        <r>
          <rPr>
            <sz val="9"/>
            <color indexed="81"/>
            <rFont val="Tahoma"/>
            <family val="2"/>
          </rPr>
          <t xml:space="preserve">
Leave this as is
</t>
        </r>
      </text>
    </comment>
  </commentList>
</comments>
</file>

<file path=xl/comments33.xml><?xml version="1.0" encoding="utf-8"?>
<comments xmlns="http://schemas.openxmlformats.org/spreadsheetml/2006/main">
  <authors>
    <author>DP</author>
  </authors>
  <commentList>
    <comment ref="K25" authorId="0">
      <text>
        <r>
          <rPr>
            <b/>
            <sz val="9"/>
            <color indexed="81"/>
            <rFont val="Tahoma"/>
            <family val="2"/>
          </rPr>
          <t>DP:</t>
        </r>
        <r>
          <rPr>
            <sz val="9"/>
            <color indexed="81"/>
            <rFont val="Tahoma"/>
            <family val="2"/>
          </rPr>
          <t xml:space="preserve">
Do you really want MILImeter? Can mm be measured even?
In NHIES 2009 you had NO decimal (mm) here!
</t>
        </r>
        <r>
          <rPr>
            <b/>
            <sz val="9"/>
            <color indexed="81"/>
            <rFont val="Tahoma"/>
            <family val="2"/>
          </rPr>
          <t>Sapalov Quita:</t>
        </r>
        <r>
          <rPr>
            <sz val="9"/>
            <color indexed="81"/>
            <rFont val="Tahoma"/>
            <family val="2"/>
          </rPr>
          <t xml:space="preserve">
What is wrong with mm? Is it not possible to have 123,5 cm?
</t>
        </r>
      </text>
    </comment>
    <comment ref="O25" authorId="0">
      <text>
        <r>
          <rPr>
            <b/>
            <sz val="9"/>
            <color indexed="81"/>
            <rFont val="Tahoma"/>
            <family val="2"/>
          </rPr>
          <t>DP:</t>
        </r>
        <r>
          <rPr>
            <sz val="9"/>
            <color indexed="81"/>
            <rFont val="Tahoma"/>
            <family val="2"/>
          </rPr>
          <t xml:space="preserve">
Here it can make sense to have 2 decimal digits (gram), e.g. 1 kg 250g = 1.25 kg? If the device messure them. (Or even 3)
</t>
        </r>
      </text>
    </comment>
  </commentList>
</comments>
</file>

<file path=xl/sharedStrings.xml><?xml version="1.0" encoding="utf-8"?>
<sst xmlns="http://schemas.openxmlformats.org/spreadsheetml/2006/main" count="2784" uniqueCount="1920">
  <si>
    <t>MONTHS</t>
  </si>
  <si>
    <t>MONTH</t>
  </si>
  <si>
    <t>YEAR</t>
  </si>
  <si>
    <t>AGE</t>
  </si>
  <si>
    <t>RELATIONSHIP</t>
  </si>
  <si>
    <t>CODE</t>
  </si>
  <si>
    <t>A</t>
  </si>
  <si>
    <t>B</t>
  </si>
  <si>
    <t>C</t>
  </si>
  <si>
    <t>YES</t>
  </si>
  <si>
    <t>NO</t>
  </si>
  <si>
    <t>YEARS</t>
  </si>
  <si>
    <t>►</t>
  </si>
  <si>
    <t>Where is this health facility?</t>
  </si>
  <si>
    <t>CHRONIC ILLNESSES:</t>
  </si>
  <si>
    <t>ACCIDENTS:</t>
  </si>
  <si>
    <t>Section 3. Health</t>
  </si>
  <si>
    <t>ILLNESSES:</t>
  </si>
  <si>
    <t>TOTAL</t>
  </si>
  <si>
    <t>► NEXT PERSON</t>
  </si>
  <si>
    <t>CURRENTLY ENROLLED</t>
  </si>
  <si>
    <t>NUMBER OF YEARS</t>
  </si>
  <si>
    <t>JOB SERIAL NUMBER</t>
  </si>
  <si>
    <t>RETIRED</t>
  </si>
  <si>
    <t>NUMBER</t>
  </si>
  <si>
    <t>QUANTITY</t>
  </si>
  <si>
    <t>Eggs</t>
  </si>
  <si>
    <t>LEVEL</t>
  </si>
  <si>
    <t>Selling of stocks</t>
  </si>
  <si>
    <t>Income from return of securities and bills of treasury</t>
  </si>
  <si>
    <t>Cash income from inheritance</t>
  </si>
  <si>
    <t>Total</t>
  </si>
  <si>
    <t>Bicycle</t>
  </si>
  <si>
    <t>Refrigerator</t>
  </si>
  <si>
    <t>TABLE OF CONTENTS</t>
  </si>
  <si>
    <t>PAGE</t>
  </si>
  <si>
    <t>DAYS</t>
  </si>
  <si>
    <t>IF MORE THAN ONE, WRITE THE FIRST ONE</t>
  </si>
  <si>
    <t>For how many months during the past 12 months has ..[NAME].. been away from this household?</t>
  </si>
  <si>
    <t>PAST ENROLLMENT</t>
  </si>
  <si>
    <t>ONE WAY</t>
  </si>
  <si>
    <t>CHRONIC ILLNESSES AND DISABILITIES</t>
  </si>
  <si>
    <t>MINUTES</t>
  </si>
  <si>
    <t>How long did it take you to get to this health facility, from your household?</t>
  </si>
  <si>
    <t>DESCRIPTION</t>
  </si>
  <si>
    <t>D</t>
  </si>
  <si>
    <t>E</t>
  </si>
  <si>
    <t>SOURCE</t>
  </si>
  <si>
    <t xml:space="preserve">YES </t>
  </si>
  <si>
    <t>Taxi</t>
  </si>
  <si>
    <t>Washing Machine</t>
  </si>
  <si>
    <t>Motor boat</t>
  </si>
  <si>
    <t>MAIN REASON</t>
  </si>
  <si>
    <t>IF &lt; 1 YR WRITE 0</t>
  </si>
  <si>
    <t>CIG</t>
  </si>
  <si>
    <t>YES..1</t>
  </si>
  <si>
    <t># PER DAY</t>
  </si>
  <si>
    <t>YES    1</t>
  </si>
  <si>
    <t>2ND REASON</t>
  </si>
  <si>
    <t>transport</t>
  </si>
  <si>
    <t>WRITE '0' IF NONE</t>
  </si>
  <si>
    <t>Tuition</t>
  </si>
  <si>
    <t>ITEM</t>
  </si>
  <si>
    <t xml:space="preserve"> YEARS</t>
  </si>
  <si>
    <t>Why was [NAME] absent?</t>
  </si>
  <si>
    <t>DAY</t>
  </si>
  <si>
    <t>IF &lt; 1 YR OLD WRITE 0</t>
  </si>
  <si>
    <t>AGE IN YRS</t>
  </si>
  <si>
    <t>Why was ..[NAME].. absent from school during the past month?</t>
  </si>
  <si>
    <t>NEVER ENROLLED IN SCHOOL</t>
  </si>
  <si>
    <t>INCOME SOURCE CODE</t>
  </si>
  <si>
    <t>Code</t>
  </si>
  <si>
    <t>► NEXT ITEM</t>
  </si>
  <si>
    <t>ITEM/ SERVICE</t>
  </si>
  <si>
    <t>Coal</t>
  </si>
  <si>
    <t>Sanitizers (Dettol)</t>
  </si>
  <si>
    <t>House Insecticide</t>
  </si>
  <si>
    <t>Tissues</t>
  </si>
  <si>
    <t>Candles</t>
  </si>
  <si>
    <t>Lighters &amp; Matches</t>
  </si>
  <si>
    <t xml:space="preserve">Men Shaving Expenses </t>
  </si>
  <si>
    <t>Clothes Cleaning &amp; Ironing Expenses out of the house</t>
  </si>
  <si>
    <t>Medical Consulting Fees</t>
  </si>
  <si>
    <t>X-Rays &amp; laboratory Expenses</t>
  </si>
  <si>
    <t>PURCHASES</t>
  </si>
  <si>
    <t>RECEIVED FREE</t>
  </si>
  <si>
    <t>How much have you paid for this  [ITEM(S)/ SERVICE]?</t>
  </si>
  <si>
    <t>If you had to pay for this [ITEM(S)/ SERVICE], how much would you have paid?</t>
  </si>
  <si>
    <t>WRITE ZERO IF NOTHING AND ►NEXT ITEM</t>
  </si>
  <si>
    <t>Number</t>
  </si>
  <si>
    <t>How much have you paid for the [ITEM/ SERVICE] during the past 12 months?</t>
  </si>
  <si>
    <t>WRITE ZERO IF NOTHING</t>
  </si>
  <si>
    <t xml:space="preserve">Code </t>
  </si>
  <si>
    <r>
      <t xml:space="preserve">Women Beauty </t>
    </r>
    <r>
      <rPr>
        <sz val="8"/>
        <rFont val="Arial Narrow"/>
        <family val="2"/>
      </rPr>
      <t>Salon Expenses</t>
    </r>
  </si>
  <si>
    <t>121</t>
  </si>
  <si>
    <t>122</t>
  </si>
  <si>
    <t>123</t>
  </si>
  <si>
    <t>124</t>
  </si>
  <si>
    <t>125</t>
  </si>
  <si>
    <t>126</t>
  </si>
  <si>
    <t>127</t>
  </si>
  <si>
    <t>128</t>
  </si>
  <si>
    <t>129</t>
  </si>
  <si>
    <t>130</t>
  </si>
  <si>
    <t>131</t>
  </si>
  <si>
    <t>132</t>
  </si>
  <si>
    <t>133</t>
  </si>
  <si>
    <t>134</t>
  </si>
  <si>
    <t>136</t>
  </si>
  <si>
    <t>141</t>
  </si>
  <si>
    <t>142</t>
  </si>
  <si>
    <t>229</t>
  </si>
  <si>
    <t>Medicine costs</t>
  </si>
  <si>
    <t>Detergent (powder and liquid)</t>
  </si>
  <si>
    <t>What is [NAME's] marital status?</t>
  </si>
  <si>
    <t>EXCLUDE ANY GAP YEARS NOT IN SCHOOL</t>
  </si>
  <si>
    <t>NO..2</t>
  </si>
  <si>
    <t>PIPES</t>
  </si>
  <si>
    <t>Can you tell me the date of birth of [NAME]?</t>
  </si>
  <si>
    <t>WRITE DOWN THE DATE OF BIRTH</t>
  </si>
  <si>
    <t>How old is [NAME]?</t>
  </si>
  <si>
    <t>MTH</t>
  </si>
  <si>
    <t>PERSON NUMBER</t>
  </si>
  <si>
    <t>What is [NAME's] country of citizenship?</t>
  </si>
  <si>
    <t>Men's clothing</t>
  </si>
  <si>
    <t>Women's clothing</t>
  </si>
  <si>
    <t>Men footwear</t>
  </si>
  <si>
    <t>Women's footwear</t>
  </si>
  <si>
    <t>Knitting wool and yarns</t>
  </si>
  <si>
    <t>Patterns, lace, sewing cotton, etc.</t>
  </si>
  <si>
    <t>Cost of hire of clothing</t>
  </si>
  <si>
    <t>Scissors, needles , pins</t>
  </si>
  <si>
    <t>Clothing</t>
  </si>
  <si>
    <t>Footwear</t>
  </si>
  <si>
    <t>Bed bases and mattresses</t>
  </si>
  <si>
    <t>Lounge furniture</t>
  </si>
  <si>
    <t>Dining room furniture</t>
  </si>
  <si>
    <t>Kitchen furniture and units  (excluding electrical appliances)</t>
  </si>
  <si>
    <t>Garden and patio furniture</t>
  </si>
  <si>
    <t>Other loose items of furniture (e.g. mirrors)</t>
  </si>
  <si>
    <t>Loose carpets and rugs</t>
  </si>
  <si>
    <t>Household textiles</t>
  </si>
  <si>
    <t>Blankets and travelling rugs</t>
  </si>
  <si>
    <t>Sheets and pillow cases</t>
  </si>
  <si>
    <t>Duvets and duvet covers</t>
  </si>
  <si>
    <t>Table cloths and serviettes</t>
  </si>
  <si>
    <t>Pillows and cushions</t>
  </si>
  <si>
    <t>Sleeping bags</t>
  </si>
  <si>
    <t>Repair of household textiles</t>
  </si>
  <si>
    <t>Electrical appliances</t>
  </si>
  <si>
    <t>Refrigerators, deep freezers and refrigerator/deep freeze combinations</t>
  </si>
  <si>
    <t>Stoves and ovens</t>
  </si>
  <si>
    <t>Microwave ovens</t>
  </si>
  <si>
    <t>Hotplates</t>
  </si>
  <si>
    <t>Washing machines, dishwashers and tumble dryers</t>
  </si>
  <si>
    <t>Vacuum cleaners, polishers and carpet cleaners/sweeper</t>
  </si>
  <si>
    <t>Irons</t>
  </si>
  <si>
    <t>Kettles and percolators</t>
  </si>
  <si>
    <t>Sewing machines, over lockers and knitting machines</t>
  </si>
  <si>
    <t>Electric frying pans and woks</t>
  </si>
  <si>
    <t>Non-Electrical appliances</t>
  </si>
  <si>
    <t>Gas stoves and heaters</t>
  </si>
  <si>
    <t>Lawn-mowers and edge trimmers - petrol driven</t>
  </si>
  <si>
    <t>Other (e.g. gas lamps, safes), Specify _____________</t>
  </si>
  <si>
    <t>Repairs of electrical and non-electrical appliances</t>
  </si>
  <si>
    <t>Other household equipment</t>
  </si>
  <si>
    <t>Tableware (cutlery, crockery, glassware, including plastics)</t>
  </si>
  <si>
    <t>Light bulbs and tubes, power plugs, fuses, electric wires, etc.</t>
  </si>
  <si>
    <t>Gardening equipment (watering cans, hosepipes, spades, etc.)</t>
  </si>
  <si>
    <t>Software</t>
  </si>
  <si>
    <t>Printers</t>
  </si>
  <si>
    <t>Fax machines and telephone answering machines for household purposes (not business)</t>
  </si>
  <si>
    <t>Two way radios</t>
  </si>
  <si>
    <t>Personal computers and laptops</t>
  </si>
  <si>
    <t>Television sets, decoder, video recorder/DVD</t>
  </si>
  <si>
    <t>Aerials and satellite dishes</t>
  </si>
  <si>
    <t>Recreation , entertainment and sport equipment</t>
  </si>
  <si>
    <t>Musical instruments: pianos, organs and other musical instruments</t>
  </si>
  <si>
    <t>Rifles and ammunition</t>
  </si>
  <si>
    <t>Camping equipment (tent, etc.)</t>
  </si>
  <si>
    <t>Power-driven and other tools (excluding gardening tools)</t>
  </si>
  <si>
    <t>Repairs and service charges for above-mentioned recreation, entertainment and sport equipment</t>
  </si>
  <si>
    <t>Form 1</t>
  </si>
  <si>
    <t>Confidential</t>
  </si>
  <si>
    <t>PART A</t>
  </si>
  <si>
    <t>Classification Information:</t>
  </si>
  <si>
    <t>Region</t>
  </si>
  <si>
    <t>PSU Number</t>
  </si>
  <si>
    <t>Survey Round</t>
  </si>
  <si>
    <t>Name</t>
  </si>
  <si>
    <t>Rural/Urban</t>
  </si>
  <si>
    <t>From</t>
  </si>
  <si>
    <t>to</t>
  </si>
  <si>
    <t>Field Administrative Information</t>
  </si>
  <si>
    <t>Final Results</t>
  </si>
  <si>
    <t>RESULT CODES</t>
  </si>
  <si>
    <t>GPS Readings:</t>
  </si>
  <si>
    <t>Physical Location of the household:</t>
  </si>
  <si>
    <t>Name of Head of Household</t>
  </si>
  <si>
    <t>1 = Completed</t>
  </si>
  <si>
    <t>Field Staff</t>
  </si>
  <si>
    <t>Signature</t>
  </si>
  <si>
    <t>Interviewer:</t>
  </si>
  <si>
    <t>Supervisor:</t>
  </si>
  <si>
    <t>2 = Partially Completed</t>
  </si>
  <si>
    <t>3 = Non-Contact</t>
  </si>
  <si>
    <t>4 = Refusal</t>
  </si>
  <si>
    <t>5 = Other</t>
  </si>
  <si>
    <t>M</t>
  </si>
  <si>
    <t xml:space="preserve">Total remuneration paid by the household to domestic workers in the last month </t>
  </si>
  <si>
    <t xml:space="preserve">General domestic worker </t>
  </si>
  <si>
    <t xml:space="preserve">Child minder  </t>
  </si>
  <si>
    <t xml:space="preserve">Cook  </t>
  </si>
  <si>
    <t xml:space="preserve">Chauffeur  </t>
  </si>
  <si>
    <t xml:space="preserve">Clothes washer or ironer  </t>
  </si>
  <si>
    <t xml:space="preserve">Garden worker  </t>
  </si>
  <si>
    <t xml:space="preserve">Watchman  </t>
  </si>
  <si>
    <t>Animal header</t>
  </si>
  <si>
    <t>Daily Record Book</t>
  </si>
  <si>
    <t>N$</t>
  </si>
  <si>
    <t>What is the household’s main source of drinking water?</t>
  </si>
  <si>
    <t>Do you share this toilet facility with other households?</t>
  </si>
  <si>
    <t>TYPE of domestic worker</t>
  </si>
  <si>
    <t>HOUSEWORK</t>
  </si>
  <si>
    <t>STUDENT</t>
  </si>
  <si>
    <t>DISABLED/SICK</t>
  </si>
  <si>
    <t>NOT WORKING</t>
  </si>
  <si>
    <t>INTERVIEWER:</t>
  </si>
  <si>
    <t>WRITE ZERO IF NONE</t>
  </si>
  <si>
    <t>2.-  PROBE FOR WORK IN THE HOUSEHOLD´S OWN FARM, CARING OF ANIMALS OR FISHING</t>
  </si>
  <si>
    <t>Monday</t>
  </si>
  <si>
    <t>Tuesday</t>
  </si>
  <si>
    <t>Wednesday</t>
  </si>
  <si>
    <t>Thursday</t>
  </si>
  <si>
    <t>Friday</t>
  </si>
  <si>
    <t>Saturday</t>
  </si>
  <si>
    <t>Sunday</t>
  </si>
  <si>
    <t>OCCUPATION CODE</t>
  </si>
  <si>
    <t>TIME UNIT CODE</t>
  </si>
  <si>
    <t>READ ALL RESPONSES!</t>
  </si>
  <si>
    <t>Less than 5 workers</t>
  </si>
  <si>
    <t>5 - 10 workers</t>
  </si>
  <si>
    <t>11 - 50 workers</t>
  </si>
  <si>
    <t>The government, public sector or army?</t>
  </si>
  <si>
    <t>51 - 100 workers</t>
  </si>
  <si>
    <t>ONE WAY ONLY</t>
  </si>
  <si>
    <t>More than 100 workers</t>
  </si>
  <si>
    <t>A state-owned enterprise?</t>
  </si>
  <si>
    <t>A.</t>
  </si>
  <si>
    <t>B.</t>
  </si>
  <si>
    <t>SECTOR CODE</t>
  </si>
  <si>
    <t>Other? (Specify:______)</t>
  </si>
  <si>
    <t>SECTOR DESCRIPTION</t>
  </si>
  <si>
    <t>F</t>
  </si>
  <si>
    <t>G</t>
  </si>
  <si>
    <t>H</t>
  </si>
  <si>
    <t>I</t>
  </si>
  <si>
    <t>J</t>
  </si>
  <si>
    <t>K</t>
  </si>
  <si>
    <t>L</t>
  </si>
  <si>
    <t>ENTERPRISE</t>
  </si>
  <si>
    <t>Raw materials and goods for resale</t>
  </si>
  <si>
    <t>Water, electricity,  telegram/ mail/ telephone</t>
  </si>
  <si>
    <t>Transportation cost (including fuel and oil)</t>
  </si>
  <si>
    <t>Fuel and oil (not for transport)</t>
  </si>
  <si>
    <t>Packaging material</t>
  </si>
  <si>
    <t>Rent of facilities</t>
  </si>
  <si>
    <t xml:space="preserve">Repairs and maintenance of facilities </t>
  </si>
  <si>
    <t>Interest paid on business loans</t>
  </si>
  <si>
    <t>Other expenses  (specify)</t>
  </si>
  <si>
    <t>RESPONDENT: MOST KNOWLEDGEABLE HOUSEHOLD MEMBER</t>
  </si>
  <si>
    <t>Detached house</t>
  </si>
  <si>
    <t>Semi-detached house/Town house</t>
  </si>
  <si>
    <t>Apartment</t>
  </si>
  <si>
    <t>Guest flat</t>
  </si>
  <si>
    <t>Part commercial/industrial building</t>
  </si>
  <si>
    <t>Mobile home (Caravan/tent)</t>
  </si>
  <si>
    <t xml:space="preserve">Single quarters </t>
  </si>
  <si>
    <t>Traditional dwelling</t>
  </si>
  <si>
    <t>Improvised housing unit</t>
  </si>
  <si>
    <t>Burnt bricks/Face bricks</t>
  </si>
  <si>
    <t>Corrugated iron/zinc</t>
  </si>
  <si>
    <t>Wooden poles, sticks and grass</t>
  </si>
  <si>
    <t xml:space="preserve">Asbestos </t>
  </si>
  <si>
    <t xml:space="preserve">Brick tiles </t>
  </si>
  <si>
    <t>Slate</t>
  </si>
  <si>
    <t>Thatch, grass</t>
  </si>
  <si>
    <t xml:space="preserve"> None</t>
  </si>
  <si>
    <t>Sand</t>
  </si>
  <si>
    <t>Concrete</t>
  </si>
  <si>
    <t>Mud, clay and/or cow dung</t>
  </si>
  <si>
    <t>Wood</t>
  </si>
  <si>
    <t>How many rooms are used for sleeping?</t>
  </si>
  <si>
    <t>Electricity from mains</t>
  </si>
  <si>
    <t>Electricity from generator</t>
  </si>
  <si>
    <t>Gas</t>
  </si>
  <si>
    <t>Paraffin</t>
  </si>
  <si>
    <t xml:space="preserve">Wood or wood charcoal </t>
  </si>
  <si>
    <t>Animal dung</t>
  </si>
  <si>
    <t>Solar energy</t>
  </si>
  <si>
    <t>None</t>
  </si>
  <si>
    <t xml:space="preserve">Piped (Tap) water into dwelling                             </t>
  </si>
  <si>
    <t>Piped (Tap) water on site or in yard/Plot (outside)</t>
  </si>
  <si>
    <t>Public tap/Standpipe</t>
  </si>
  <si>
    <t xml:space="preserve">Dug Well, Protected </t>
  </si>
  <si>
    <t>Dug Well, Unprotected</t>
  </si>
  <si>
    <t>Protected Spring</t>
  </si>
  <si>
    <t>Unprotected Spring</t>
  </si>
  <si>
    <t>Bottled Water</t>
  </si>
  <si>
    <t>Cart with Small Tank/ Drum</t>
  </si>
  <si>
    <t>Tanker Truck</t>
  </si>
  <si>
    <t>Dam/Pool/Pond/Stagnant water</t>
  </si>
  <si>
    <t>Do you treat your water in any way to make it safer to drink?</t>
  </si>
  <si>
    <t>Add bleach/chlorine</t>
  </si>
  <si>
    <t>Solar disinfection</t>
  </si>
  <si>
    <t>Let it stand and settle</t>
  </si>
  <si>
    <t>Other (specify)</t>
  </si>
  <si>
    <t>Pit Latrine with ventilation pipe (VIP)</t>
  </si>
  <si>
    <t>Pit Latrine with Slab</t>
  </si>
  <si>
    <t>Pit Latrine without Slab/Open Pit</t>
  </si>
  <si>
    <t>Bucket</t>
  </si>
  <si>
    <t>How many other households share this toilet?</t>
  </si>
  <si>
    <t>Child used toilet/ latrine</t>
  </si>
  <si>
    <t>Put/ rinsed into toilet or latrine</t>
  </si>
  <si>
    <t>Put/ rinsed into drain or ditch</t>
  </si>
  <si>
    <t>Thrown into garbage</t>
  </si>
  <si>
    <t>Buried</t>
  </si>
  <si>
    <t>Left in open</t>
  </si>
  <si>
    <t>School uniform footwear</t>
  </si>
  <si>
    <t>► 1.06</t>
  </si>
  <si>
    <t>► 1.09</t>
  </si>
  <si>
    <t>► 1.12</t>
  </si>
  <si>
    <t>► 1.15</t>
  </si>
  <si>
    <t>Piped (Tap) water on site or in yard/ Plot (outside)</t>
  </si>
  <si>
    <t>Public tap/ Standpipe</t>
  </si>
  <si>
    <t xml:space="preserve">        Piped Sewage System</t>
  </si>
  <si>
    <t xml:space="preserve">        Pit latrine</t>
  </si>
  <si>
    <t xml:space="preserve"> IF BOTTLED WATER , ASK : What is the main source of WATER used by your household for other purposes , such as cooking and hand washing?</t>
  </si>
  <si>
    <t>NUMBER OF MINUTES</t>
  </si>
  <si>
    <t>How long does it take to go there, get water, and come back?</t>
  </si>
  <si>
    <t xml:space="preserve"> ► 2.16</t>
  </si>
  <si>
    <t>DWELLING OWNED:</t>
  </si>
  <si>
    <t xml:space="preserve">What did your household pay for the following services for the last month?
</t>
  </si>
  <si>
    <t>IF PAID NOTHING, WRITE '0'. AMOUNTS FOR OTHER THAN ONE MONTH SHOULD BE CONVERTED TO SHOW THE MONTHLY VALUE.</t>
  </si>
  <si>
    <t>► 2.24</t>
  </si>
  <si>
    <t>How much did this household spend in the past 12 months for:</t>
  </si>
  <si>
    <t>Accommodations</t>
  </si>
  <si>
    <t>Transport</t>
  </si>
  <si>
    <t>TRADITIONAL</t>
  </si>
  <si>
    <t>RETAIL</t>
  </si>
  <si>
    <t>► 2.27</t>
  </si>
  <si>
    <t>Yes 1</t>
  </si>
  <si>
    <t xml:space="preserve"> Cash wage including transport allowance</t>
  </si>
  <si>
    <t>Free food</t>
  </si>
  <si>
    <t xml:space="preserve">Sorghum  </t>
  </si>
  <si>
    <t xml:space="preserve">Wheat     </t>
  </si>
  <si>
    <t xml:space="preserve">Rice    </t>
  </si>
  <si>
    <t xml:space="preserve">Sweet potatoes </t>
  </si>
  <si>
    <t>Cassava</t>
  </si>
  <si>
    <t>Beans</t>
  </si>
  <si>
    <t>Vegetables</t>
  </si>
  <si>
    <t>Nuts</t>
  </si>
  <si>
    <t>litres</t>
  </si>
  <si>
    <t>number</t>
  </si>
  <si>
    <t>UNIT</t>
  </si>
  <si>
    <t xml:space="preserve">Quantity  </t>
  </si>
  <si>
    <t>Has this household kept any livestock or poultry in the past 12 months?</t>
  </si>
  <si>
    <t>Does this household or any of its members own [TYPE]  now, or owned any in the past 12 months?</t>
  </si>
  <si>
    <t>What was the total value of sales of [CROP] in the past 12 months?</t>
  </si>
  <si>
    <t>How many [TYPE] did the household own 12 months ago?</t>
  </si>
  <si>
    <t>How many [TYPE] does the household own today?</t>
  </si>
  <si>
    <t>How many [TYPE] were sold live or sold slaughtered in the past 12 months?</t>
  </si>
  <si>
    <t>What was the total value of sales of [TYPE]  in the past 12 months?</t>
  </si>
  <si>
    <t>NO....2</t>
  </si>
  <si>
    <t xml:space="preserve">Fertilizers, manure </t>
  </si>
  <si>
    <t xml:space="preserve">Veterinary services and treatment </t>
  </si>
  <si>
    <t>How much would the household have to pay if you had to purchase all the..[TYPE] you presently own?</t>
  </si>
  <si>
    <t>Do you own the land on which your dwelling is?</t>
  </si>
  <si>
    <t>What proof do you have that you own this land?</t>
  </si>
  <si>
    <t>What sort of official document do you have to show ownership of this dwelling?</t>
  </si>
  <si>
    <t>Bonuses and income from overtime</t>
  </si>
  <si>
    <t>Sitting allowances (commissioners' and directors' fees)</t>
  </si>
  <si>
    <t>SALARIES AND WAGES</t>
  </si>
  <si>
    <t>Transport allowance</t>
  </si>
  <si>
    <t>Housing allowance</t>
  </si>
  <si>
    <t>CASH ALLOWANCES (including cheque transfers)</t>
  </si>
  <si>
    <t>Clothing allowance</t>
  </si>
  <si>
    <t>Other cash allowance (Specify _____)</t>
  </si>
  <si>
    <t>WRITE '0' IF THERE IS NO INCOME IN A CATEGORY</t>
  </si>
  <si>
    <t>WRITE '0' IF THERE IS NO DEDUCTION IN A CATEGORY</t>
  </si>
  <si>
    <t>Basic monthly wage or salary</t>
  </si>
  <si>
    <t>Car loan</t>
  </si>
  <si>
    <t>House rent</t>
  </si>
  <si>
    <t>How much was deducted by the employer for [NAME] for the following, for the past 12 months?</t>
  </si>
  <si>
    <t>Income tax</t>
  </si>
  <si>
    <t>Medical aid</t>
  </si>
  <si>
    <t>Insurance</t>
  </si>
  <si>
    <t>Pension</t>
  </si>
  <si>
    <t>Other deductions  (Specify _____)</t>
  </si>
  <si>
    <t>How much did [NAME] receive in the past 12 months from pension payments from previous employment?</t>
  </si>
  <si>
    <t>War veterans/ ex-combatants grants</t>
  </si>
  <si>
    <t>Maintenance grants for children</t>
  </si>
  <si>
    <t>Foster parents care grant</t>
  </si>
  <si>
    <t>SOCIAL PENSION(S) OR ALLOWANCES</t>
  </si>
  <si>
    <t>Did ..[NAME] have any salary or wage income in the past 12 months?</t>
  </si>
  <si>
    <t>PERSON  NUMBERS</t>
  </si>
  <si>
    <t>Housing loan, mortgage</t>
  </si>
  <si>
    <t>Income from lobola/ dowry</t>
  </si>
  <si>
    <t>Income from gambling and lotto winnings</t>
  </si>
  <si>
    <t>Tax refunds received (according to assessment)</t>
  </si>
  <si>
    <t>Income from renting owned property for holiday purposes</t>
  </si>
  <si>
    <t>Income from renting owned property for non-holiday purposes</t>
  </si>
  <si>
    <t>How much did [NAME] receive in the past 12 months from workman's compensation or similar?</t>
  </si>
  <si>
    <t>Selling of  vehicles,  property, durable goods, etc.</t>
  </si>
  <si>
    <t>Interest received or accrued on deposits, loans and savings certificates</t>
  </si>
  <si>
    <t>Royalties</t>
  </si>
  <si>
    <t>Dividends received on shares from listed companies</t>
  </si>
  <si>
    <t>Dividends received on shares from unlisted companies</t>
  </si>
  <si>
    <t>Withdrawals from savings (including the surrender of insurance policies)</t>
  </si>
  <si>
    <t>Private (academic) lessons</t>
  </si>
  <si>
    <t>Income from hobbies</t>
  </si>
  <si>
    <t>Income from side-lines and part-time activities</t>
  </si>
  <si>
    <t>Stokvel</t>
  </si>
  <si>
    <t xml:space="preserve">Payments received from boarders </t>
  </si>
  <si>
    <t>Annuities and similar recurring receipts resulting from own investments</t>
  </si>
  <si>
    <t>Claims in respect of funeral funds, damage to fixed property, road traffic collision, etc.</t>
  </si>
  <si>
    <t>cash aid</t>
  </si>
  <si>
    <t>value of food received</t>
  </si>
  <si>
    <t>Welfare funds or aid from private persons or organizations (not remittances and not from employers)</t>
  </si>
  <si>
    <t>value of housing (including benefits such as rent reductions)</t>
  </si>
  <si>
    <t>value of clothing received</t>
  </si>
  <si>
    <t>value of transport</t>
  </si>
  <si>
    <t>value of other benefits, donations, gifts, etc.</t>
  </si>
  <si>
    <t>Bond</t>
  </si>
  <si>
    <t>Car</t>
  </si>
  <si>
    <t>Furniture and household appliances - hire purchase</t>
  </si>
  <si>
    <t>Bank loans/bank overdraft/credit card</t>
  </si>
  <si>
    <t>Open accounts at retail stores or lay-bys</t>
  </si>
  <si>
    <t>Cash loans from friends/ relatives in Namibia</t>
  </si>
  <si>
    <t>Cash loans from friends/ relatives from outside  Namibia</t>
  </si>
  <si>
    <t>Outstanding fines all types</t>
  </si>
  <si>
    <t>TYPE</t>
  </si>
  <si>
    <t>Other debt (specify_________)</t>
  </si>
  <si>
    <t>When did you get this [TYPE] loan/debt?</t>
  </si>
  <si>
    <t>Electric stove</t>
  </si>
  <si>
    <t>Freezer</t>
  </si>
  <si>
    <t>Microwave oven</t>
  </si>
  <si>
    <t>Sewing/ knitting machine</t>
  </si>
  <si>
    <t xml:space="preserve">Radio </t>
  </si>
  <si>
    <t xml:space="preserve">Tape recorder </t>
  </si>
  <si>
    <t xml:space="preserve">Television </t>
  </si>
  <si>
    <t>Video cassette recorder/DVD</t>
  </si>
  <si>
    <t xml:space="preserve">Cell telephone </t>
  </si>
  <si>
    <t>Computer- laptop or desktop</t>
  </si>
  <si>
    <t>Camera</t>
  </si>
  <si>
    <t>Canoe/boat</t>
  </si>
  <si>
    <t xml:space="preserve"> Donkey cart/Ox cart </t>
  </si>
  <si>
    <t xml:space="preserve">Plough </t>
  </si>
  <si>
    <t xml:space="preserve">Tractor </t>
  </si>
  <si>
    <t xml:space="preserve">Wheelbarrow </t>
  </si>
  <si>
    <t xml:space="preserve"> Grinding mill </t>
  </si>
  <si>
    <t>RESPONDENT: HOUSEHOLD HEAD OR MOST INFORMED HOUSEHOLD MEMBER</t>
  </si>
  <si>
    <t>LINE NUMBER</t>
  </si>
  <si>
    <t>REMITTANCE PURPOSE</t>
  </si>
  <si>
    <t>REMITTANCES RECEIVED</t>
  </si>
  <si>
    <t>REMITTANCES SENT</t>
  </si>
  <si>
    <t>RECEIVED IN CASH</t>
  </si>
  <si>
    <t>VALUE OF WHAT WAS RECEIVED IN-KIND</t>
  </si>
  <si>
    <t>SENT IN CASH</t>
  </si>
  <si>
    <t>VALUE OF WHAT WAS SENT IN-KIND</t>
  </si>
  <si>
    <t>► NEXT TYPE</t>
  </si>
  <si>
    <t>General household expenses</t>
  </si>
  <si>
    <t>Education</t>
  </si>
  <si>
    <t>Medical expenses</t>
  </si>
  <si>
    <t>Baptism/ Weddings</t>
  </si>
  <si>
    <t>Funerals</t>
  </si>
  <si>
    <t>Business or investments</t>
  </si>
  <si>
    <t>Household assets</t>
  </si>
  <si>
    <t>Dwelling repair/construction</t>
  </si>
  <si>
    <t>Other household needs</t>
  </si>
  <si>
    <t>Does [NAME]'s biological mother live in this household?</t>
  </si>
  <si>
    <t>► 1.22</t>
  </si>
  <si>
    <t>SEE REGION CODES ABOVE</t>
  </si>
  <si>
    <t>What region/ country was [NAME] living in just before moving to this region?</t>
  </si>
  <si>
    <t>What was the main reason [NAME] moved to this region?</t>
  </si>
  <si>
    <t>01-14</t>
  </si>
  <si>
    <t>01</t>
  </si>
  <si>
    <t>02</t>
  </si>
  <si>
    <t>03</t>
  </si>
  <si>
    <t>04</t>
  </si>
  <si>
    <t>05</t>
  </si>
  <si>
    <t>06</t>
  </si>
  <si>
    <t>07</t>
  </si>
  <si>
    <t>08</t>
  </si>
  <si>
    <t>Subsistence farming</t>
  </si>
  <si>
    <t>What was the total amount borrowed (excluding interest)?</t>
  </si>
  <si>
    <t>$N</t>
  </si>
  <si>
    <t>Salaries and/or wages</t>
  </si>
  <si>
    <t>Business activities, non-farming</t>
  </si>
  <si>
    <t>Pensions from employment and/or annuity funds</t>
  </si>
  <si>
    <t>Rental income</t>
  </si>
  <si>
    <t>Interest from savings/investments</t>
  </si>
  <si>
    <t>State old age pension</t>
  </si>
  <si>
    <t>War veterans/ex-combatants grant</t>
  </si>
  <si>
    <t xml:space="preserve">State child maintenance grants </t>
  </si>
  <si>
    <t>State foster care grant</t>
  </si>
  <si>
    <t>Alimony and similar allowances</t>
  </si>
  <si>
    <t>Drought relief assistance</t>
  </si>
  <si>
    <t xml:space="preserve"> In kind receipts</t>
  </si>
  <si>
    <r>
      <t xml:space="preserve">Other, </t>
    </r>
    <r>
      <rPr>
        <i/>
        <sz val="9"/>
        <rFont val="Arial Narrow"/>
        <family val="2"/>
      </rPr>
      <t>specify ____________________________________</t>
    </r>
  </si>
  <si>
    <t>Cash remittances (not including alimony/ child support)</t>
  </si>
  <si>
    <t>Commercial farming</t>
  </si>
  <si>
    <t>Write the language_____________________________</t>
  </si>
  <si>
    <t xml:space="preserve">Which is the main language spoken in the household? </t>
  </si>
  <si>
    <t>LANGUAGE CODE</t>
  </si>
  <si>
    <t xml:space="preserve">Stereo/HiFi </t>
  </si>
  <si>
    <t>Generator</t>
  </si>
  <si>
    <t>Motor cycle/ scooter</t>
  </si>
  <si>
    <t>What was the value of sales of [ITEM] in the past month?</t>
  </si>
  <si>
    <r>
      <t>Other,</t>
    </r>
    <r>
      <rPr>
        <i/>
        <sz val="9"/>
        <rFont val="Arial"/>
        <family val="2"/>
      </rPr>
      <t xml:space="preserve"> specify:</t>
    </r>
  </si>
  <si>
    <r>
      <t xml:space="preserve">No   2  ► </t>
    </r>
    <r>
      <rPr>
        <b/>
        <sz val="9"/>
        <rFont val="Arial"/>
        <family val="2"/>
      </rPr>
      <t>7.22</t>
    </r>
  </si>
  <si>
    <t xml:space="preserve">ASK YES/NO FOR EACH CROP FIRST.   THEN IF 'YES',  ASK QUESTIONS 7.03 - 7.07  FOR EACH CROP
</t>
  </si>
  <si>
    <t>Section 8: Remittances</t>
  </si>
  <si>
    <t>Part A: Dwelling Characteristics</t>
  </si>
  <si>
    <t>1-3</t>
  </si>
  <si>
    <t>4-5</t>
  </si>
  <si>
    <t>6-7</t>
  </si>
  <si>
    <t>Goods &amp; Services</t>
  </si>
  <si>
    <t>Internet access at internet cafés</t>
  </si>
  <si>
    <t>Other (ladders, bathroom scales, etc. ) Specify ________________________</t>
  </si>
  <si>
    <t>PRIVATE SECTOR</t>
  </si>
  <si>
    <t>PUBLIC SECTOR</t>
  </si>
  <si>
    <t>Dentists, dental assistants</t>
  </si>
  <si>
    <t>Medicines on prescription</t>
  </si>
  <si>
    <t>Therapeutic appliances and equipment (spectacles, contact lenses, dentures, crutches, etc.)</t>
  </si>
  <si>
    <t>Other medical products (clinical thermometers, bandages, condoms and other mechanical contraceptives, etc.)</t>
  </si>
  <si>
    <t>CENTIMETERS</t>
  </si>
  <si>
    <t>KILOGRAMS</t>
  </si>
  <si>
    <t>|__|__|.|__|</t>
  </si>
  <si>
    <t>PART A:      MEMBERS COVERED BY MEDICAL AID /INSURANCE SCHEMES OR MEDICAL PROVIDENT SCHEMES</t>
  </si>
  <si>
    <r>
      <t>►</t>
    </r>
    <r>
      <rPr>
        <b/>
        <sz val="8"/>
        <rFont val="Arial Narrow"/>
        <family val="2"/>
      </rPr>
      <t xml:space="preserve"> NEXT SOURCE</t>
    </r>
  </si>
  <si>
    <t>PART B:      MEMBERS NOT COVERED BY MEDICAL AID /INSURANCE SCHEMES OR MEDICAL PROVIDENT SCHEMES</t>
  </si>
  <si>
    <t>Motor car, station wagon</t>
  </si>
  <si>
    <t>Bakkies and 4-wheel drives</t>
  </si>
  <si>
    <t>Did your household or any member buy a private vehicle for the household's use in the past 12 months, or make payment on any vehicles purchased more than 12 months ago?</t>
  </si>
  <si>
    <t>NEW</t>
  </si>
  <si>
    <t>USED</t>
  </si>
  <si>
    <t>Bakkies and four-wheel drive vehicles</t>
  </si>
  <si>
    <t>Motor-cycles and scooters</t>
  </si>
  <si>
    <t>Bicycles</t>
  </si>
  <si>
    <t>Caravans and trailers (including motorized caravans)</t>
  </si>
  <si>
    <t>(N$ per month x 12=)</t>
  </si>
  <si>
    <t>Traffic fines</t>
  </si>
  <si>
    <t>Oil and grease</t>
  </si>
  <si>
    <t>Tyres</t>
  </si>
  <si>
    <t>Batteries</t>
  </si>
  <si>
    <t>Spare parts and accessories purchased  for private repair and installation</t>
  </si>
  <si>
    <t>Lubrication and maintenance services</t>
  </si>
  <si>
    <t>Panel beating repairs (including repairs to vehicles belonging to others):</t>
  </si>
  <si>
    <t>……..Paid by the household or any member</t>
  </si>
  <si>
    <t>Other repair work (including repairs to vehicles belonging to others):</t>
  </si>
  <si>
    <t>License and registration fees (including for motorcycles)</t>
  </si>
  <si>
    <t>Car wash and valet services</t>
  </si>
  <si>
    <t>Driving lessons for any household member</t>
  </si>
  <si>
    <t xml:space="preserve">TOTAL RUNNING COSTS </t>
  </si>
  <si>
    <t>Bus (not including school bus)</t>
  </si>
  <si>
    <t>Train</t>
  </si>
  <si>
    <t>Rental of trailers, caravans, etc.</t>
  </si>
  <si>
    <t>Value of reduced transport tariffs</t>
  </si>
  <si>
    <t>Other (lift clubs, neighbourhood arrangements, occasional air transport , excluding for business purposes) Specify________________________________________</t>
  </si>
  <si>
    <t>TOTAL COST OF PUBLIC AND HIRED TRANSPORT</t>
  </si>
  <si>
    <t>Telephone rental and installation</t>
  </si>
  <si>
    <r>
      <rPr>
        <u/>
        <sz val="8"/>
        <color theme="1"/>
        <rFont val="Arial Narrow"/>
        <family val="2"/>
      </rPr>
      <t>Telephone calls</t>
    </r>
    <r>
      <rPr>
        <sz val="8"/>
        <color theme="1"/>
        <rFont val="Arial Narrow"/>
        <family val="2"/>
      </rPr>
      <t>: from landline</t>
    </r>
  </si>
  <si>
    <t xml:space="preserve">                      : from public telephones</t>
  </si>
  <si>
    <t xml:space="preserve">                      : from cellular telephones (subscription)</t>
  </si>
  <si>
    <t xml:space="preserve">                      : from cellular telephones (prepaid)</t>
  </si>
  <si>
    <t xml:space="preserve">                      : from flexi-cards</t>
  </si>
  <si>
    <t>Connection to the cellular telephone network</t>
  </si>
  <si>
    <t>Subscription to internet</t>
  </si>
  <si>
    <t>Postage</t>
  </si>
  <si>
    <t>Calculators</t>
  </si>
  <si>
    <t>USB's, cartridges,  and consumable goods</t>
  </si>
  <si>
    <t>Did you receive any  [ITEM/ SERVICE]  free during the past 12 months?</t>
  </si>
  <si>
    <t>Kitchen cooking ware (non-electrical)</t>
  </si>
  <si>
    <t>Furniture removal and transport of goods</t>
  </si>
  <si>
    <t>Boat</t>
  </si>
  <si>
    <t>Aircraft</t>
  </si>
  <si>
    <t>TOTAL COST OF PUBLIC AND HIRED TRANSPORT FOR HOLIDAY PURPOSES</t>
  </si>
  <si>
    <t>Have you acquired or made payment on  [ITEM/ SERVICE]  during the past 12 months?</t>
  </si>
  <si>
    <t>Telephones, cordless telephones, motor telephones</t>
  </si>
  <si>
    <t>Cellular telephones and pagers</t>
  </si>
  <si>
    <t xml:space="preserve">Other (telegrams, courier services, renting of post boxes, Fax charges, etc.) </t>
  </si>
  <si>
    <t>Day care mothers, creches and playgroups</t>
  </si>
  <si>
    <r>
      <t>Other</t>
    </r>
    <r>
      <rPr>
        <i/>
        <sz val="10"/>
        <rFont val="Arial Narrow"/>
        <family val="2"/>
      </rPr>
      <t>, specify:</t>
    </r>
    <r>
      <rPr>
        <sz val="10"/>
        <rFont val="Arial Narrow"/>
        <family val="2"/>
      </rPr>
      <t xml:space="preserve">  </t>
    </r>
  </si>
  <si>
    <r>
      <t>Other</t>
    </r>
    <r>
      <rPr>
        <i/>
        <sz val="10"/>
        <rFont val="Arial Narrow"/>
        <family val="2"/>
      </rPr>
      <t>, specify:</t>
    </r>
    <r>
      <rPr>
        <b/>
        <sz val="10"/>
        <rFont val="Arial Narrow"/>
        <family val="2"/>
      </rPr>
      <t xml:space="preserve">  </t>
    </r>
  </si>
  <si>
    <t>9.01</t>
  </si>
  <si>
    <t>9.03</t>
  </si>
  <si>
    <t xml:space="preserve"> Does the household have any outstanding loans or debts owing to other households or institutions, including outstanding amounts on hire purchases?</t>
  </si>
  <si>
    <t>10.04</t>
  </si>
  <si>
    <t>10.06</t>
  </si>
  <si>
    <t>10.08</t>
  </si>
  <si>
    <t>10.10</t>
  </si>
  <si>
    <t>Newspapers - daily and weekly</t>
  </si>
  <si>
    <t>Books (excluding for tuition)</t>
  </si>
  <si>
    <t>Library fees and fines</t>
  </si>
  <si>
    <t>Game specific footwear and protection gear (rugby boots, knee pads, life jackets, etc.)</t>
  </si>
  <si>
    <t>Pocket money for children (not already accounted for)</t>
  </si>
  <si>
    <t>Payments and donations to religious institutions</t>
  </si>
  <si>
    <t>Other including donations to charity and political organizations, street collections, etc.</t>
  </si>
  <si>
    <t>Tribal levies (not for housing) including in-kind</t>
  </si>
  <si>
    <t>Other payments according to assessment including preliminary tax payments, payments with regard to previous assessments</t>
  </si>
  <si>
    <t>Interest / finance charges not shown elsewhere</t>
  </si>
  <si>
    <t>Motor car fuel (including for holiday journeys) - petrol</t>
  </si>
  <si>
    <t>Motor car fuel (including for holiday journeys) - diesel</t>
  </si>
  <si>
    <t xml:space="preserve">Rental charge for rented vehicle (not including fuel to be reported in Q 20.05)    </t>
  </si>
  <si>
    <t>Home-made and specially made-up clothes (not for resale) and clothing repair</t>
  </si>
  <si>
    <t>Flat rate in respect of services and medicine obtained at hospital/ clinic</t>
  </si>
  <si>
    <t>Fishing rods, fishing gear (for sport)</t>
  </si>
  <si>
    <t>Swimming pool equip and repair of equipment</t>
  </si>
  <si>
    <t>Seeds plants, shrubs and trees, fertilizer, spray remedies</t>
  </si>
  <si>
    <t>Recreation , entertainment and sport spending</t>
  </si>
  <si>
    <t>Photo printing</t>
  </si>
  <si>
    <t>Rent for decoder, video-equipment and tapes</t>
  </si>
  <si>
    <t>Membership fees for gymnasiums, health, sports and social clubs</t>
  </si>
  <si>
    <t>Brooms, mops, cigarette ashtray</t>
  </si>
  <si>
    <t>insurance covering mortgage debt</t>
  </si>
  <si>
    <t>Insurance of contents of dwelling (excluding package insurance)</t>
  </si>
  <si>
    <t>Insurance of motor vehicle (excluding package insurance)</t>
  </si>
  <si>
    <t>Package insurance (comprehensive insurance)</t>
  </si>
  <si>
    <t>Contributions to pension, provident and annuity funds paid by employer</t>
  </si>
  <si>
    <t>Offshore investments</t>
  </si>
  <si>
    <t>Gambling (e.g. horse racing, etc.)</t>
  </si>
  <si>
    <t>Legal fees, architects and other professional fees not shown elsewhere</t>
  </si>
  <si>
    <t>Funeral expenses</t>
  </si>
  <si>
    <t>Religious and traditional ceremonies (e.g. unveiling, weddings)</t>
  </si>
  <si>
    <t>Fines, excluding traffic and library fines (e.g. fines for straying livestock)</t>
  </si>
  <si>
    <t>Other transfers and payments</t>
  </si>
  <si>
    <t>Membership fees, member fees for : trade unions and staff associations, professional associations, scientific, art and cultural societies</t>
  </si>
  <si>
    <t>Income Tax</t>
  </si>
  <si>
    <t>Insurance Charges</t>
  </si>
  <si>
    <t>Gravestones and maintenance of graves (excluding unveiling)</t>
  </si>
  <si>
    <t>Investment plans</t>
  </si>
  <si>
    <t>Investment in shares and unit trusts</t>
  </si>
  <si>
    <t>Other investments (specify___________________________)</t>
  </si>
  <si>
    <t>Net amount paid into savings accounts</t>
  </si>
  <si>
    <t>Have you acquired or paid [ITEM/ SERVICE] during the past 12 months?</t>
  </si>
  <si>
    <t>Stationery (excluding for education)</t>
  </si>
  <si>
    <t>What do you usually do to the water to make it safer to drink?</t>
  </si>
  <si>
    <t>Can any member of the public use this toilet?</t>
  </si>
  <si>
    <t>NAMIBIA STATISTICS AGENCY</t>
  </si>
  <si>
    <t>Latitude</t>
  </si>
  <si>
    <t>Longitude</t>
  </si>
  <si>
    <t>Telephone Number of the Household (If any)</t>
  </si>
  <si>
    <t>Name of Primary Respondent</t>
  </si>
  <si>
    <t>Date</t>
  </si>
  <si>
    <t>Comments on any result code 2 to 5:</t>
  </si>
  <si>
    <t>Total Number of questionnaires for this household:</t>
  </si>
  <si>
    <t>Particulars of the Household</t>
  </si>
  <si>
    <t>Was ..[NAME].. absent from home any day during the past 12 months?</t>
  </si>
  <si>
    <t>What type of dwelling does your household occupy?</t>
  </si>
  <si>
    <t>What is the main material of the roof?</t>
  </si>
  <si>
    <t>What is the main material for the outer walls of the main dwelling?</t>
  </si>
  <si>
    <t>What is the main material used for the floor?</t>
  </si>
  <si>
    <t>Use ash</t>
  </si>
  <si>
    <t>SECOND PERSON  NUMBER</t>
  </si>
  <si>
    <t>THIRD PERSON  NUMBER</t>
  </si>
  <si>
    <t>School or university books/ materials/ school bags</t>
  </si>
  <si>
    <t>Are the raw or processed products obtained from this agricultural work produced exclusively for your household's own consumption or also for sale/barter?</t>
  </si>
  <si>
    <t>WRITE PERSON NUMBER OF PERSON ACTUALLY INTERVIEWED.</t>
  </si>
  <si>
    <t>PERS. NO.</t>
  </si>
  <si>
    <t>What kind of work did you do in this job? Please describe the work or give the job title.</t>
  </si>
  <si>
    <t>RECORD AT LEAST TWO WORDS; IE, CAR SALES PERSON, OFFICE CLEANER, VEGETABLE SELLER, PRIMARY SCHOOL TEACHER, ETC.</t>
  </si>
  <si>
    <t>TYPE OF WORK</t>
  </si>
  <si>
    <t>WAGE ACTIVITIES</t>
  </si>
  <si>
    <t>NON-WAGE ACTIVITIES (PAID OR UNPAID)</t>
  </si>
  <si>
    <t>What kind of activities are carried out at this work place? What are its main functions?</t>
  </si>
  <si>
    <t>SEE SECTOR/INDUSTRY CODES</t>
  </si>
  <si>
    <t>How long have you been without work and available for work?</t>
  </si>
  <si>
    <t>Where is/was this job performed?</t>
  </si>
  <si>
    <t>AMOUNT IN N$</t>
  </si>
  <si>
    <t>How many employees (excluding business partners and unpaid family workers) are employed?</t>
  </si>
  <si>
    <t>Employees cash and in-kind  pay</t>
  </si>
  <si>
    <t>YES 1</t>
  </si>
  <si>
    <t>NO   2</t>
  </si>
  <si>
    <t>Does the business keep accounts?</t>
  </si>
  <si>
    <t>Is the business expenditure  separate from that of the owner's household?</t>
  </si>
  <si>
    <t>What was the total sale of goods and services by this enterprise for the last 12 months?</t>
  </si>
  <si>
    <t>Rent/ Maintenance and equipment repairs</t>
  </si>
  <si>
    <t>In which of the following is it registered?</t>
  </si>
  <si>
    <t>1st PERS NUM</t>
  </si>
  <si>
    <t>2nd PERS NUM</t>
  </si>
  <si>
    <t>3rd PERS NUM</t>
  </si>
  <si>
    <t>4th PERS NUM</t>
  </si>
  <si>
    <t>5th PERS NUM</t>
  </si>
  <si>
    <t>What does this enterprise do (or what do you do in this self-employment job)?</t>
  </si>
  <si>
    <t>Do you receive any payment for this job in any other form than cash?</t>
  </si>
  <si>
    <t>An NGO, religious institution or charity?</t>
  </si>
  <si>
    <t xml:space="preserve">NO  </t>
  </si>
  <si>
    <t>09</t>
  </si>
  <si>
    <t>Were you paid while you were off work, or did your own business enterprise continue to function?</t>
  </si>
  <si>
    <t>Do you have a written contract or a verbal contract in this job?</t>
  </si>
  <si>
    <t>Is the contract or agreement …</t>
  </si>
  <si>
    <t>What is the duration of your contract or agreement?</t>
  </si>
  <si>
    <t>What steps did you take to look for work in the past 7 days?</t>
  </si>
  <si>
    <t>What is the main reason why you did not seek paying work or try to start a business in the past 7 days [except for farming for your own consumption]?</t>
  </si>
  <si>
    <t>SEE OCCUPATION CODES</t>
  </si>
  <si>
    <t>OCCUP CODE</t>
  </si>
  <si>
    <t>A private household/ individual?</t>
  </si>
  <si>
    <t>SNIFF</t>
  </si>
  <si>
    <t>What were the costs for each category for the past 12 months? (IF NOTHING, WRITE '0')</t>
  </si>
  <si>
    <t>What is the main source of energy this household uses for heating?</t>
  </si>
  <si>
    <t>Are you allowed/entitled to any annual paid leave in this job?</t>
  </si>
  <si>
    <t>KM</t>
  </si>
  <si>
    <t xml:space="preserve">  </t>
  </si>
  <si>
    <t>Personal income taken from business or professional practice/ activities</t>
  </si>
  <si>
    <t>Tennis racquets and balls,  golf equipment, etc.</t>
  </si>
  <si>
    <t>No children under 3 years in household</t>
  </si>
  <si>
    <t>FACILITY</t>
  </si>
  <si>
    <t>How does [NAME] usually travel to this school (or university)?</t>
  </si>
  <si>
    <t>Tents with/without chairs &amp; tables</t>
  </si>
  <si>
    <t>Other1 (Specify:________________)</t>
  </si>
  <si>
    <t xml:space="preserve">ASK YES/NO FOR EACH ITEM FIRST.   THEN IF 'YES',  ASK QUESTIONS 7.14 TO 7.21  FOR EACH OF THE ITEMS
</t>
  </si>
  <si>
    <t>How many [TYPE] did the household buy in the past 12 months?</t>
  </si>
  <si>
    <t>7.22</t>
  </si>
  <si>
    <r>
      <t xml:space="preserve">No   2  ► </t>
    </r>
    <r>
      <rPr>
        <b/>
        <sz val="9"/>
        <rFont val="Arial"/>
        <family val="2"/>
      </rPr>
      <t>7.24</t>
    </r>
  </si>
  <si>
    <t>Machinery, equipment</t>
  </si>
  <si>
    <r>
      <t>Distilled spirit</t>
    </r>
    <r>
      <rPr>
        <sz val="9"/>
        <rFont val="Arial Narrow"/>
        <family val="2"/>
      </rPr>
      <t xml:space="preserve"> (ombike, kashipembe)</t>
    </r>
  </si>
  <si>
    <t>Section 10. Income by Individual</t>
  </si>
  <si>
    <t>What was the salary and wage income for the past 12 months for [NAME]  for the following… please report income before deductions (gross income)</t>
  </si>
  <si>
    <t>Old age pension</t>
  </si>
  <si>
    <t>Disability grants for children under 16 years</t>
  </si>
  <si>
    <t>Gratuities and other lump-sum payments received from pension, provident or other insurance</t>
  </si>
  <si>
    <t>Income not elsewhere specified, specify…………..</t>
  </si>
  <si>
    <t>Alimony/ child support</t>
  </si>
  <si>
    <t xml:space="preserve"> Is this business enterprise registered (i.e. Ministry of Trade and Industry)?</t>
  </si>
  <si>
    <t>What was the value of the household's consumption of goods and services from this enterprise  in the past 12 months?</t>
  </si>
  <si>
    <t>1.-   PROBE FOR SELF-EMPLOYMENT ACTIVITIES, SUCH  AS SEWING AND EMBROIDERY,  FEMALE HAIR STYLING, HANDICRAFTS, ETC.</t>
  </si>
  <si>
    <t>Gas or paraffin stove</t>
  </si>
  <si>
    <t>Dining room/ kitchen furniture</t>
  </si>
  <si>
    <t>PERSON NUMBER:  CIRCLE ALL PERSON  NUMBERS FOR MEMBERS 6 YEARS AND OLDER</t>
  </si>
  <si>
    <t>Sports uniforms</t>
  </si>
  <si>
    <t>Estimated value per month of</t>
  </si>
  <si>
    <t>Do you have an official document stating that you are the rightful owner of this dwelling?</t>
  </si>
  <si>
    <t>Rainwater Collection/ Rainwater Tank</t>
  </si>
  <si>
    <t xml:space="preserve">Use a water filter (ceramic/ sand/ composite/ etc.)
</t>
  </si>
  <si>
    <t>FIRST PERSON  NUMBER (MOST FREQUENT)</t>
  </si>
  <si>
    <t>143</t>
  </si>
  <si>
    <t>151</t>
  </si>
  <si>
    <t>152</t>
  </si>
  <si>
    <t>153</t>
  </si>
  <si>
    <t>154</t>
  </si>
  <si>
    <t>155</t>
  </si>
  <si>
    <t>161</t>
  </si>
  <si>
    <t>162</t>
  </si>
  <si>
    <t>Other home cleaning supplies</t>
  </si>
  <si>
    <t>201</t>
  </si>
  <si>
    <t>202</t>
  </si>
  <si>
    <t>203</t>
  </si>
  <si>
    <t>204</t>
  </si>
  <si>
    <t>205</t>
  </si>
  <si>
    <t>209</t>
  </si>
  <si>
    <t>219</t>
  </si>
  <si>
    <t>221</t>
  </si>
  <si>
    <t>222</t>
  </si>
  <si>
    <t>223</t>
  </si>
  <si>
    <t>224</t>
  </si>
  <si>
    <t>225</t>
  </si>
  <si>
    <t>226</t>
  </si>
  <si>
    <t>319</t>
  </si>
  <si>
    <t>329</t>
  </si>
  <si>
    <t>WRITE ZERO IF NOTHING AND ► 12.05</t>
  </si>
  <si>
    <t>WRITE ZERO IF NOTHING AND ►13.06</t>
  </si>
  <si>
    <t xml:space="preserve">WRITE ZERO IF NOTHING </t>
  </si>
  <si>
    <t>Food mixers, processors and similar accessories</t>
  </si>
  <si>
    <t>Toasters, waffle pans and sandwich toasters</t>
  </si>
  <si>
    <t>Electric lawn-mowers and edge-trimmers</t>
  </si>
  <si>
    <t>Other electric appliances  (e.g. heaters, electric blankets, air-conditioners and fans) Specify ________________________</t>
  </si>
  <si>
    <t>Coal, wood ad anthracite stoves</t>
  </si>
  <si>
    <t>Paraffin stoves and heaters</t>
  </si>
  <si>
    <t>Non-electric sewing and knitting machines</t>
  </si>
  <si>
    <t>Ironing boards, laundry baskets, etc.</t>
  </si>
  <si>
    <t>What is the total value of the [ITEM/s]?</t>
  </si>
  <si>
    <t>Aircraft, boats (including outboard motors), go-cars, quad bikes, etc.</t>
  </si>
  <si>
    <t>Bouquets and cut flowers for the household</t>
  </si>
  <si>
    <t>ASK QUESTION 16.03 FOR ALL ITEMS FIRST, AND THEN ASK QUESTIONS16.04-16.05 FOR ITEMS WHERE THE ANSWER TO 16.03 WAS YES</t>
  </si>
  <si>
    <t>Garden and swimming pool maintenance (excluding wages of people who maintain pool but including chemicals)</t>
  </si>
  <si>
    <t>Fees for lessons connected with recreation, entertainment and sport (not educational or driving lessons)</t>
  </si>
  <si>
    <t>Purchase of pets, pet feeds and other pet requisites</t>
  </si>
  <si>
    <t xml:space="preserve">Pet licenses </t>
  </si>
  <si>
    <t>Pet care (doggy parlour, kennels and veterinary costs)</t>
  </si>
  <si>
    <t>Other recreational or entertainment spending (specify_____)</t>
  </si>
  <si>
    <t>ASK QUESTION 17.03 FOR ALL ITEMS FIRST, AND THEN ASK QUESTION 17.04  FOR ITEMS WHERE THE ANSWER TO 17.03 WAS YES</t>
  </si>
  <si>
    <t>Medical costs</t>
  </si>
  <si>
    <t>156</t>
  </si>
  <si>
    <t>157</t>
  </si>
  <si>
    <t>158</t>
  </si>
  <si>
    <t>159</t>
  </si>
  <si>
    <t>160</t>
  </si>
  <si>
    <t>Communication for household purposes</t>
  </si>
  <si>
    <t>171</t>
  </si>
  <si>
    <t>172</t>
  </si>
  <si>
    <t>173</t>
  </si>
  <si>
    <t>174</t>
  </si>
  <si>
    <t>175</t>
  </si>
  <si>
    <t>179</t>
  </si>
  <si>
    <t>189</t>
  </si>
  <si>
    <t>181</t>
  </si>
  <si>
    <t>182</t>
  </si>
  <si>
    <t>183</t>
  </si>
  <si>
    <t>184</t>
  </si>
  <si>
    <t>185</t>
  </si>
  <si>
    <t>Books and newspapers</t>
  </si>
  <si>
    <t>What was the total cost for the past 12 months that your household paid for public and hired transport, (for example to work or private purposed), excluding transport for school or for holiday purposes?</t>
  </si>
  <si>
    <t>► 2.29</t>
  </si>
  <si>
    <t xml:space="preserve">Did your household or a household member buy this dwelling? </t>
  </si>
  <si>
    <t>When did you buy this dwelling?</t>
  </si>
  <si>
    <t>► Part C, Q 2.39</t>
  </si>
  <si>
    <t>Has [NAME]..ever attended school?</t>
  </si>
  <si>
    <t>DISTANCE IN KM</t>
  </si>
  <si>
    <t>TIME TO WALK ONE WAY</t>
  </si>
  <si>
    <t>KMS</t>
  </si>
  <si>
    <t>IF LESS THAN ONCE PER WEEK, WRITE '0'</t>
  </si>
  <si>
    <t xml:space="preserve">Services (e.g. ploughing, land preparation, wages) </t>
  </si>
  <si>
    <t>►6.08</t>
  </si>
  <si>
    <t>►6.10</t>
  </si>
  <si>
    <r>
      <t xml:space="preserve">did you/anyone in your household use a trad. healer during past one moth, 6 months, 1 year. </t>
    </r>
    <r>
      <rPr>
        <sz val="11"/>
        <color rgb="FFE36C0A"/>
        <rFont val="Calibri"/>
        <family val="2"/>
      </rPr>
      <t>VE</t>
    </r>
    <r>
      <rPr>
        <sz val="11"/>
        <color rgb="FF1F497D"/>
        <rFont val="Calibri"/>
        <family val="2"/>
      </rPr>
      <t xml:space="preserve">: </t>
    </r>
    <r>
      <rPr>
        <sz val="11"/>
        <color rgb="FFE36C0A"/>
        <rFont val="Calibri"/>
        <family val="2"/>
      </rPr>
      <t>Have put in Section 2, Access.</t>
    </r>
  </si>
  <si>
    <r>
      <t>Home visit by </t>
    </r>
    <r>
      <rPr>
        <sz val="11"/>
        <color rgb="FF222222"/>
        <rFont val="Calibri"/>
        <family val="2"/>
      </rPr>
      <t>health</t>
    </r>
    <r>
      <rPr>
        <sz val="11"/>
        <color rgb="FF1F497D"/>
        <rFont val="Calibri"/>
        <family val="2"/>
      </rPr>
      <t xml:space="preserve"> consultant? Who is a consultant? </t>
    </r>
    <r>
      <rPr>
        <sz val="11"/>
        <color rgb="FFE36C0A"/>
        <rFont val="Calibri"/>
        <family val="2"/>
      </rPr>
      <t>Have replaced with comm. Health worker, and health extension worker. (are these the same sort of person or should they each have a code?</t>
    </r>
  </si>
  <si>
    <r>
      <t xml:space="preserve"> What could be of useful in the wake of the roll-out of the national </t>
    </r>
    <r>
      <rPr>
        <sz val="11"/>
        <color rgb="FF222222"/>
        <rFont val="Calibri"/>
        <family val="2"/>
      </rPr>
      <t>health</t>
    </r>
    <r>
      <rPr>
        <sz val="11"/>
        <color rgb="FF1F497D"/>
        <rFont val="Calibri"/>
        <family val="2"/>
      </rPr>
      <t> extension programme is to find out whether household has received visit from a community </t>
    </r>
    <r>
      <rPr>
        <sz val="11"/>
        <color rgb="FF222222"/>
        <rFont val="Calibri"/>
        <family val="2"/>
      </rPr>
      <t>health</t>
    </r>
    <r>
      <rPr>
        <sz val="11"/>
        <color rgb="FF1F497D"/>
        <rFont val="Calibri"/>
        <family val="2"/>
      </rPr>
      <t> worker/ </t>
    </r>
    <r>
      <rPr>
        <sz val="11"/>
        <color rgb="FF222222"/>
        <rFont val="Calibri"/>
        <family val="2"/>
      </rPr>
      <t>health</t>
    </r>
    <r>
      <rPr>
        <sz val="11"/>
        <color rgb="FF1F497D"/>
        <rFont val="Calibri"/>
        <family val="2"/>
      </rPr>
      <t xml:space="preserve"> extension worker during past 1 month; 6 months; 1 year. </t>
    </r>
  </si>
  <si>
    <t xml:space="preserve">When was the most recent visit of a community health worker/ health extension worker to your household or any household member in the past 12 months? </t>
  </si>
  <si>
    <t>►2.35</t>
  </si>
  <si>
    <t>Did anyone in your household receive a visit from a community health worker/ health extension worker, in the past 12 months?</t>
  </si>
  <si>
    <t>Did anyone in your household use the services of a traditional healer in the past 12 months?</t>
  </si>
  <si>
    <t>Living room furniture set</t>
  </si>
  <si>
    <t>Bedroom furniture set</t>
  </si>
  <si>
    <t>Does this household have [TYPE] debt/ loan today?</t>
  </si>
  <si>
    <t>Did your household or any member make contributions to Stokvel, or make any contributions to a pension, provident or annuity, including by a member's employer during the past 12 months?</t>
  </si>
  <si>
    <t>INTERVIEWER: WAS [NAME] MEASURED?</t>
  </si>
  <si>
    <t>DATE OF MEASUREMENT</t>
  </si>
  <si>
    <t>HEIGHT</t>
  </si>
  <si>
    <t>WEIGHT</t>
  </si>
  <si>
    <t>In the past 12 months, did [NAME] receive alimony, child maintenance or similar amount from a divorced spouse, or other person  who is not a household member?</t>
  </si>
  <si>
    <t>Early Childhood Development, child care  and adult learning courses</t>
  </si>
  <si>
    <t xml:space="preserve">What was the total cost for the past 12 months that your household paid for public and hired transport for travelling expenses while on holidays away from home. </t>
  </si>
  <si>
    <t xml:space="preserve">What was the total cost for the past 12 months that your household paid while on holidays away from home for </t>
  </si>
  <si>
    <t>Hotels and other holiday accommodation</t>
  </si>
  <si>
    <t>Other holiday expenditures (specify__________)</t>
  </si>
  <si>
    <t>TOTAL COST OF ACCOMMODATION AND ALL-INCLUSIVE HOLIDAYS</t>
  </si>
  <si>
    <t>Who usually goes to this source to fetch the water for your household?  RECORD UP TO 3 PERSON NUMBERS. IF NOT A HOUSEHOLD MEMBER, WRITE "98"</t>
  </si>
  <si>
    <t>What is the relationship of [NAME]  to the head  of the household?</t>
  </si>
  <si>
    <t>IS [NAME]  15 YEARS OLD OR OLDER?</t>
  </si>
  <si>
    <t>Where was [NAME]  born?</t>
  </si>
  <si>
    <t>Has  [NAME] moved from one region (or country) to another in the past 5 years?</t>
  </si>
  <si>
    <t>When did  [NAME] move to this present region (most recent move)?</t>
  </si>
  <si>
    <t>Who did  [NAME] move with when moving to this region?</t>
  </si>
  <si>
    <t>What is the main source of energy  this household uses for lighting?</t>
  </si>
  <si>
    <t>Strain it through a cloth</t>
  </si>
  <si>
    <t>Is [NAME]  female or male?</t>
  </si>
  <si>
    <t>How much of this monthly mortgage instalment payment was for:</t>
  </si>
  <si>
    <t>NOTES:</t>
  </si>
  <si>
    <t>Title Deed</t>
  </si>
  <si>
    <t>Leasehold Certificate</t>
  </si>
  <si>
    <t xml:space="preserve">Customary Land Right </t>
  </si>
  <si>
    <t>Yes</t>
  </si>
  <si>
    <t>No</t>
  </si>
  <si>
    <t>Month</t>
  </si>
  <si>
    <t>Year</t>
  </si>
  <si>
    <t>Head</t>
  </si>
  <si>
    <t xml:space="preserve">Daughter/Son </t>
  </si>
  <si>
    <t>Daughter/ Son-In-Law</t>
  </si>
  <si>
    <t xml:space="preserve">Grandchild </t>
  </si>
  <si>
    <t xml:space="preserve">Parent </t>
  </si>
  <si>
    <t>Parent-In-Law</t>
  </si>
  <si>
    <t>Sister/ Brother</t>
  </si>
  <si>
    <t xml:space="preserve">Sister/ Brother-In-Law </t>
  </si>
  <si>
    <t>Domestic Worker</t>
  </si>
  <si>
    <t>Other Non-Relative</t>
  </si>
  <si>
    <t>Female</t>
  </si>
  <si>
    <t>Male</t>
  </si>
  <si>
    <t>Don’t Know</t>
  </si>
  <si>
    <t>Never Married</t>
  </si>
  <si>
    <t>Married</t>
  </si>
  <si>
    <t>Customary</t>
  </si>
  <si>
    <t>Consensual</t>
  </si>
  <si>
    <t>Union</t>
  </si>
  <si>
    <t>Widowed</t>
  </si>
  <si>
    <t>Separated</t>
  </si>
  <si>
    <t>Angola</t>
  </si>
  <si>
    <t>Botswana</t>
  </si>
  <si>
    <t>South Africa</t>
  </si>
  <si>
    <t>Zambia</t>
  </si>
  <si>
    <t>Zimbabwe</t>
  </si>
  <si>
    <t>Other African</t>
  </si>
  <si>
    <t>Countries</t>
  </si>
  <si>
    <t>School/ Training</t>
  </si>
  <si>
    <t>Divorce/ Separation</t>
  </si>
  <si>
    <t>Adventure</t>
  </si>
  <si>
    <t>Alone</t>
  </si>
  <si>
    <t>With Spouse/Partner</t>
  </si>
  <si>
    <t>With Spouse/Partner  And Child(Ren)</t>
  </si>
  <si>
    <t>With Child(Ren) And A Family Member (Not Spouse)</t>
  </si>
  <si>
    <t/>
  </si>
  <si>
    <t>Work</t>
  </si>
  <si>
    <t>Jail</t>
  </si>
  <si>
    <t>Tourism</t>
  </si>
  <si>
    <t xml:space="preserve">Conflicts                  </t>
  </si>
  <si>
    <t>Region in Namibia</t>
  </si>
  <si>
    <t>Don't Know</t>
  </si>
  <si>
    <t>Namibia</t>
  </si>
  <si>
    <t>Disasters</t>
  </si>
  <si>
    <t xml:space="preserve">Other (Specify_____________)                          </t>
  </si>
  <si>
    <t>1-3 Households</t>
  </si>
  <si>
    <t>8-10 Households</t>
  </si>
  <si>
    <t>4-7 Households</t>
  </si>
  <si>
    <t>Hospital Or Clinic</t>
  </si>
  <si>
    <t>Public Transport</t>
  </si>
  <si>
    <t>Local Shop/ Market</t>
  </si>
  <si>
    <t>Primary School</t>
  </si>
  <si>
    <t>High School</t>
  </si>
  <si>
    <t>Combined School</t>
  </si>
  <si>
    <t>University</t>
  </si>
  <si>
    <t>Internet Café/ Public Internet Access</t>
  </si>
  <si>
    <t>Bank</t>
  </si>
  <si>
    <t>Post Office</t>
  </si>
  <si>
    <t>Veterinary Facility</t>
  </si>
  <si>
    <t>Police Station</t>
  </si>
  <si>
    <t>Sickness/ Disability</t>
  </si>
  <si>
    <t>[Name] Did Not Wish To Continue</t>
  </si>
  <si>
    <t>Pregnancy</t>
  </si>
  <si>
    <t>Satisfied With Level /Finished Specific Level</t>
  </si>
  <si>
    <t>Family Moved To A New Location</t>
  </si>
  <si>
    <t>The Next Level Was Not Offered In Nearby Schools</t>
  </si>
  <si>
    <t>Household Not Caring About Education</t>
  </si>
  <si>
    <t>Public</t>
  </si>
  <si>
    <t>Private</t>
  </si>
  <si>
    <t>Local</t>
  </si>
  <si>
    <t>(Local-Foreign)</t>
  </si>
  <si>
    <t>Outside Namibia</t>
  </si>
  <si>
    <t>Walk</t>
  </si>
  <si>
    <t>Motorbike</t>
  </si>
  <si>
    <t>Government</t>
  </si>
  <si>
    <t>Illness / Injury</t>
  </si>
  <si>
    <t>Quit/Suspension</t>
  </si>
  <si>
    <t xml:space="preserve">Aging </t>
  </si>
  <si>
    <t>Violence</t>
  </si>
  <si>
    <t>Diabetes</t>
  </si>
  <si>
    <t>Cancer</t>
  </si>
  <si>
    <t>Cardiac / Heart</t>
  </si>
  <si>
    <t>Epilepsy</t>
  </si>
  <si>
    <t>Chronic Kidney Disease</t>
  </si>
  <si>
    <t>Does Not Have A Chronic Illness</t>
  </si>
  <si>
    <t>►4.11</t>
  </si>
  <si>
    <t>Malaria/Fever</t>
  </si>
  <si>
    <t>Skin Disease /Rash/ Allergies</t>
  </si>
  <si>
    <t>Pneumonia</t>
  </si>
  <si>
    <t>(Specify___)</t>
  </si>
  <si>
    <t>Burn</t>
  </si>
  <si>
    <t>Wound</t>
  </si>
  <si>
    <t>Fracture / Sprain</t>
  </si>
  <si>
    <t>Poisoning</t>
  </si>
  <si>
    <t>Public Clinic</t>
  </si>
  <si>
    <t>Private Clinic</t>
  </si>
  <si>
    <t>Referral Hospital</t>
  </si>
  <si>
    <t>Private Hospital</t>
  </si>
  <si>
    <t>Pharmacy</t>
  </si>
  <si>
    <t>Dentist</t>
  </si>
  <si>
    <t>Private Vehicle</t>
  </si>
  <si>
    <t>Motorcycle</t>
  </si>
  <si>
    <t>Boat/ Ship/Canoe</t>
  </si>
  <si>
    <t>Animal Drawn Cart</t>
  </si>
  <si>
    <t>Airplane</t>
  </si>
  <si>
    <t>No, No Difficulty</t>
  </si>
  <si>
    <t>Yes, Some Difficulty</t>
  </si>
  <si>
    <t>Yes, A Lot Of Difficulty</t>
  </si>
  <si>
    <t>Cannot Do It At All</t>
  </si>
  <si>
    <t>Yes..1</t>
  </si>
  <si>
    <t>Illness/ Injury</t>
  </si>
  <si>
    <t>Maternity, Parental Leave</t>
  </si>
  <si>
    <t>Holiday/ Vacation</t>
  </si>
  <si>
    <t>Education Leave</t>
  </si>
  <si>
    <t>Strike/Lock-Out</t>
  </si>
  <si>
    <t>Temporary Lay-Off</t>
  </si>
  <si>
    <t>Reduction In Economic Activity</t>
  </si>
  <si>
    <t>Temporary Reorganization/</t>
  </si>
  <si>
    <t>Suspension Of Work</t>
  </si>
  <si>
    <t>Personal, Family</t>
  </si>
  <si>
    <t>Responsibilities</t>
  </si>
  <si>
    <t>Off Season</t>
  </si>
  <si>
    <t>Other Reason (Specify______)</t>
  </si>
  <si>
    <t>Only For Own Consumption</t>
  </si>
  <si>
    <t>1</t>
  </si>
  <si>
    <t>Registration At Other Employment Agencies</t>
  </si>
  <si>
    <t>Other (Specify______)</t>
  </si>
  <si>
    <t>Less Than 1 Month</t>
  </si>
  <si>
    <t>1 Month To &lt; 3 Months</t>
  </si>
  <si>
    <t>3 Months To &lt; 6 Months</t>
  </si>
  <si>
    <t>6 Months To &lt; 1 Year</t>
  </si>
  <si>
    <t>1 Year To &lt; 2 Years</t>
  </si>
  <si>
    <t>2 Years Or More</t>
  </si>
  <si>
    <t>Illness/Disability</t>
  </si>
  <si>
    <t>Not in Agriculture</t>
  </si>
  <si>
    <t xml:space="preserve">Work Owners/ Self-Employment In Agriculture  </t>
  </si>
  <si>
    <t>Worker In Household Agriculture</t>
  </si>
  <si>
    <t>Work Owner/  Self Employment In Non-Agriculture Enterprise</t>
  </si>
  <si>
    <t>Worker In Non-Agriculture                                Household Enterprise</t>
  </si>
  <si>
    <t>Written</t>
  </si>
  <si>
    <t>Verbal</t>
  </si>
  <si>
    <t>Limited Duration</t>
  </si>
  <si>
    <t>Permanent</t>
  </si>
  <si>
    <t>Unspecified</t>
  </si>
  <si>
    <t>Duration</t>
  </si>
  <si>
    <t>Daily Contract/</t>
  </si>
  <si>
    <t>Agreement</t>
  </si>
  <si>
    <t>1-2 Months</t>
  </si>
  <si>
    <t>3-6 Months</t>
  </si>
  <si>
    <t>7-12 Months</t>
  </si>
  <si>
    <t>More Than 12 Months</t>
  </si>
  <si>
    <t>Don'T Know</t>
  </si>
  <si>
    <t>Less Than 1 Year</t>
  </si>
  <si>
    <t>1-2 Years</t>
  </si>
  <si>
    <t>3-5 Years</t>
  </si>
  <si>
    <t>6-10 Years</t>
  </si>
  <si>
    <t>11 Years Or More</t>
  </si>
  <si>
    <t>Bakkie</t>
  </si>
  <si>
    <t>Day</t>
  </si>
  <si>
    <t>Week</t>
  </si>
  <si>
    <t>Social Security Commission</t>
  </si>
  <si>
    <t>Ministry Of Trade Ad Industry</t>
  </si>
  <si>
    <t>Min Of Finance</t>
  </si>
  <si>
    <t xml:space="preserve">Other grains  </t>
  </si>
  <si>
    <t xml:space="preserve">Fruit  </t>
  </si>
  <si>
    <t>Other (Specify_______________________)</t>
  </si>
  <si>
    <t>Friends/ Neighbours</t>
  </si>
  <si>
    <t>Moneylender Institutions</t>
  </si>
  <si>
    <t>Traders</t>
  </si>
  <si>
    <t>Landlord</t>
  </si>
  <si>
    <t>Employer</t>
  </si>
  <si>
    <t>Store / Retailer</t>
  </si>
  <si>
    <t>Yes    1</t>
  </si>
  <si>
    <r>
      <t xml:space="preserve">No    2 </t>
    </r>
    <r>
      <rPr>
        <b/>
        <sz val="10"/>
        <rFont val="Arial Narrow"/>
        <family val="2"/>
      </rPr>
      <t xml:space="preserve"> ►18.06</t>
    </r>
  </si>
  <si>
    <r>
      <t xml:space="preserve">No    2 </t>
    </r>
    <r>
      <rPr>
        <b/>
        <sz val="10"/>
        <rFont val="Arial Narrow"/>
        <family val="2"/>
      </rPr>
      <t xml:space="preserve"> ►20.04</t>
    </r>
  </si>
  <si>
    <t>Standing Up</t>
  </si>
  <si>
    <t>Lying Down</t>
  </si>
  <si>
    <t>Not at Home</t>
  </si>
  <si>
    <t>Sick</t>
  </si>
  <si>
    <t>Other (Specify___)</t>
  </si>
  <si>
    <t>with Certificate</t>
  </si>
  <si>
    <t>traditionally/</t>
  </si>
  <si>
    <t>Divorced</t>
  </si>
  <si>
    <t>Spouse/ Partner</t>
  </si>
  <si>
    <t>IF MORE THAN ONE REASON, SPEAK OF THE MAIN REASON</t>
  </si>
  <si>
    <t>Visiting family</t>
  </si>
  <si>
    <t>Medical reasons</t>
  </si>
  <si>
    <t>Family problems</t>
  </si>
  <si>
    <t>Accompanying patient</t>
  </si>
  <si>
    <t>Accompanying parents</t>
  </si>
  <si>
    <t>With Spouse/Partner  and child(ren)</t>
  </si>
  <si>
    <t>With Child(ren) only</t>
  </si>
  <si>
    <t>With Parent/s only</t>
  </si>
  <si>
    <t>With Parent/s and siblings</t>
  </si>
  <si>
    <t>With another relative</t>
  </si>
  <si>
    <t>With a Friend</t>
  </si>
  <si>
    <t>With Parents and other relative</t>
  </si>
  <si>
    <t>With Child(ren) and a family member (not Spouse)</t>
  </si>
  <si>
    <t>With a Sibling</t>
  </si>
  <si>
    <t>Look for paid work</t>
  </si>
  <si>
    <t>To work</t>
  </si>
  <si>
    <t>Job transfer</t>
  </si>
  <si>
    <t>To start a business</t>
  </si>
  <si>
    <t>Look for land for farming</t>
  </si>
  <si>
    <t>Family moved</t>
  </si>
  <si>
    <t>To live with a relative</t>
  </si>
  <si>
    <t>Natural disaster</t>
  </si>
  <si>
    <t>Political situation</t>
  </si>
  <si>
    <t>China</t>
  </si>
  <si>
    <t>European</t>
  </si>
  <si>
    <t>All other countries</t>
  </si>
  <si>
    <t>Delivery/ Pregnancy</t>
  </si>
  <si>
    <t>Letter from a chief</t>
  </si>
  <si>
    <t>Verbal agreement</t>
  </si>
  <si>
    <t>How many female and how many male [TYPE] did you employ any time in the past month?</t>
  </si>
  <si>
    <t>Total number of hours usually worked per month (by all [TYPE] workers)</t>
  </si>
  <si>
    <t>2 ► NEXT TYPE</t>
  </si>
  <si>
    <t xml:space="preserve">TYPE </t>
  </si>
  <si>
    <t>FEMALE</t>
  </si>
  <si>
    <t>MALE</t>
  </si>
  <si>
    <t xml:space="preserve">Woman's Shelter </t>
  </si>
  <si>
    <t>2-3 Months ago</t>
  </si>
  <si>
    <t>6-9 Months ago</t>
  </si>
  <si>
    <t>10-12 Months ago</t>
  </si>
  <si>
    <t>Do not remember</t>
  </si>
  <si>
    <t>Teachers not effective</t>
  </si>
  <si>
    <t>Financial constraints</t>
  </si>
  <si>
    <t>Difficult to reach school</t>
  </si>
  <si>
    <t>Work for her/his household</t>
  </si>
  <si>
    <t>Work for others</t>
  </si>
  <si>
    <t>[NAME] did not wish to continue</t>
  </si>
  <si>
    <t>No public services (toilets)</t>
  </si>
  <si>
    <t>Failure in exams/ Contents were too difficult</t>
  </si>
  <si>
    <t>Satisfied with level /Finished specific level</t>
  </si>
  <si>
    <t>Family moved to a new location</t>
  </si>
  <si>
    <t>The next level was not offered in nearby schools</t>
  </si>
  <si>
    <t>Security concerns</t>
  </si>
  <si>
    <t>Household not caring about education</t>
  </si>
  <si>
    <t>No school nearby</t>
  </si>
  <si>
    <t>Had to help with household chores</t>
  </si>
  <si>
    <t>Had to work</t>
  </si>
  <si>
    <t>NGO (Local)</t>
  </si>
  <si>
    <t>How old was [NAME] at first entry to grade 1 of primary education?</t>
  </si>
  <si>
    <t>Relatives abroad</t>
  </si>
  <si>
    <t>Private company</t>
  </si>
  <si>
    <t>Leave with permission</t>
  </si>
  <si>
    <t>Study is not important</t>
  </si>
  <si>
    <t>WRITE '0' IF THERE IS NO EXPENSE IN A CATEGORY</t>
  </si>
  <si>
    <t>The school was closed</t>
  </si>
  <si>
    <t>Teacher absence</t>
  </si>
  <si>
    <r>
      <t>1   ►</t>
    </r>
    <r>
      <rPr>
        <b/>
        <sz val="9"/>
        <rFont val="Arial Narrow"/>
        <family val="2"/>
      </rPr>
      <t xml:space="preserve"> 3.09</t>
    </r>
  </si>
  <si>
    <r>
      <rPr>
        <sz val="9"/>
        <rFont val="Arial Narrow"/>
        <family val="2"/>
      </rPr>
      <t xml:space="preserve">2  </t>
    </r>
    <r>
      <rPr>
        <b/>
        <sz val="9"/>
        <rFont val="Arial Narrow"/>
        <family val="2"/>
      </rPr>
      <t xml:space="preserve"> ► 3.07</t>
    </r>
  </si>
  <si>
    <t xml:space="preserve"> ►NEXT PERSON (Q3.01)</t>
  </si>
  <si>
    <t>►3.14</t>
  </si>
  <si>
    <t>Relatives in Namibia</t>
  </si>
  <si>
    <t>Work-related accident</t>
  </si>
  <si>
    <t>Street/ Traffic accident</t>
  </si>
  <si>
    <t>Work-related disease</t>
  </si>
  <si>
    <t>Caused by disease</t>
  </si>
  <si>
    <t>Multiple diseases</t>
  </si>
  <si>
    <t>Joint inflammation</t>
  </si>
  <si>
    <t>Stomach ulcer</t>
  </si>
  <si>
    <t>High blood pressure</t>
  </si>
  <si>
    <t>Does not have a chronic illness</t>
  </si>
  <si>
    <t>Born like this</t>
  </si>
  <si>
    <t>Chronic mental/Psychological illness</t>
  </si>
  <si>
    <t>No, no difficulty</t>
  </si>
  <si>
    <t>Yes, some difficulty</t>
  </si>
  <si>
    <t>Yes, a lot of difficulty</t>
  </si>
  <si>
    <t>Cannot do it at all</t>
  </si>
  <si>
    <r>
      <rPr>
        <b/>
        <sz val="9"/>
        <rFont val="Arial Narrow"/>
        <family val="2"/>
      </rPr>
      <t>What was the cause of the difficulty?</t>
    </r>
    <r>
      <rPr>
        <sz val="9"/>
        <rFont val="Arial Narrow"/>
        <family val="2"/>
      </rPr>
      <t xml:space="preserve"> MOST IMPORTANT REASON.   IF MORE THAN ONE DIFFICULTY, REFER TO THE MOST SERIOUS</t>
    </r>
  </si>
  <si>
    <t>Rheumatism and bone diseases</t>
  </si>
  <si>
    <t>Eye disease</t>
  </si>
  <si>
    <t>Mouth or dental problem</t>
  </si>
  <si>
    <t>Fatigue/ Low blood pressure</t>
  </si>
  <si>
    <t>Other illness</t>
  </si>
  <si>
    <t>Other accident (Specify:__)</t>
  </si>
  <si>
    <t xml:space="preserve"> Psychiatric problem/ illness</t>
  </si>
  <si>
    <t>Home visit from Community</t>
  </si>
  <si>
    <t>Traditional health practitioner</t>
  </si>
  <si>
    <t>Private consultation with doctor/ nurse</t>
  </si>
  <si>
    <t>Same constituency</t>
  </si>
  <si>
    <t>Another constituency in the same region</t>
  </si>
  <si>
    <t>In another region</t>
  </si>
  <si>
    <t>Another country</t>
  </si>
  <si>
    <t>On foot</t>
  </si>
  <si>
    <t>No doctor/ nurse</t>
  </si>
  <si>
    <t>Illness was minor</t>
  </si>
  <si>
    <t>Travel to medical facility is too difficult</t>
  </si>
  <si>
    <t>Cannot afford</t>
  </si>
  <si>
    <r>
      <t xml:space="preserve">Have you/ [NAME] suffered from an accident or illness during the past 30 days, including dental problems?
</t>
    </r>
    <r>
      <rPr>
        <sz val="9"/>
        <rFont val="Arial Narrow"/>
        <family val="2"/>
      </rPr>
      <t>(DO NOT INCLUDE CHRONIC 
ILLNESSES )</t>
    </r>
  </si>
  <si>
    <t>Do you/ [NAME].drink alcohol?</t>
  </si>
  <si>
    <t xml:space="preserve">  (Q4.01)</t>
  </si>
  <si>
    <t>IF 4.01 TO 4.06 ARE ALL "1" (NO) ►4. 09</t>
  </si>
  <si>
    <t>Animal drawn cart/ animal</t>
  </si>
  <si>
    <t>Part B:  Housing Costs</t>
  </si>
  <si>
    <t>Part A: Dwelling Characteristics (continued)</t>
  </si>
  <si>
    <t>Part B: Housing Costs (continued)</t>
  </si>
  <si>
    <t>During the past month, did your household  make use of domestic or household workers’ services (e.g. gardeners, child minders, watchmen or other domestic workers)?</t>
  </si>
  <si>
    <r>
      <t xml:space="preserve">Does this household or any of its members </t>
    </r>
    <r>
      <rPr>
        <b/>
        <u/>
        <sz val="9"/>
        <rFont val="Arial Narrow"/>
        <family val="2"/>
      </rPr>
      <t>own</t>
    </r>
    <r>
      <rPr>
        <b/>
        <sz val="9"/>
        <rFont val="Arial Narrow"/>
        <family val="2"/>
      </rPr>
      <t xml:space="preserve"> any of the following items?</t>
    </r>
  </si>
  <si>
    <t>Education leave</t>
  </si>
  <si>
    <t>Temporary lay-off</t>
  </si>
  <si>
    <t>Reduction in economic activity</t>
  </si>
  <si>
    <t>Suspension of work</t>
  </si>
  <si>
    <t>Temporary reorganization/</t>
  </si>
  <si>
    <t>Personal, family</t>
  </si>
  <si>
    <t>responsibilities</t>
  </si>
  <si>
    <t>Off season</t>
  </si>
  <si>
    <t>Only for own consumption</t>
  </si>
  <si>
    <t>Mostly for sale or barter and some for own consumption</t>
  </si>
  <si>
    <t>Only for sale or barter</t>
  </si>
  <si>
    <t>►6.18</t>
  </si>
  <si>
    <t>Registration at Ministry Of Labour office</t>
  </si>
  <si>
    <t>Direct application to employers</t>
  </si>
  <si>
    <t>Checking at work sites, farms, factory gates, market or other assembly places</t>
  </si>
  <si>
    <t>Placed or answered media advertisement</t>
  </si>
  <si>
    <t>► 6.18</t>
  </si>
  <si>
    <t>Less than 1 month</t>
  </si>
  <si>
    <t>1 Month to &lt; 3 months</t>
  </si>
  <si>
    <t>3 Months to &lt; 6 months</t>
  </si>
  <si>
    <t>6 Months to &lt; 1 year</t>
  </si>
  <si>
    <t>1 Year to &lt; 2 years</t>
  </si>
  <si>
    <t>2 Years or more</t>
  </si>
  <si>
    <t>Was waiting for the results of a vacancy competition or an interview</t>
  </si>
  <si>
    <t>Awaiting the season for work</t>
  </si>
  <si>
    <t>Family responsibilities or housework</t>
  </si>
  <si>
    <t>Lack of resources to start a business</t>
  </si>
  <si>
    <t>Do not know how and where to look for work</t>
  </si>
  <si>
    <t>Looked for job(s) before but did not find any</t>
  </si>
  <si>
    <t>Too old/Retired</t>
  </si>
  <si>
    <t>Income recipient</t>
  </si>
  <si>
    <t>Have already found a job to start at a later date</t>
  </si>
  <si>
    <t>Have undertaken all necessary steps to start a business at a later date</t>
  </si>
  <si>
    <t>What is the one-way distance in kilometres to the nearest  [FACILITY] or how long does it take to walk, one-way, to the facility?</t>
  </si>
  <si>
    <r>
      <t>Facilities in MoHSS are: Clinics, </t>
    </r>
    <r>
      <rPr>
        <sz val="11"/>
        <color rgb="FF222222"/>
        <rFont val="Calibri"/>
        <family val="2"/>
      </rPr>
      <t>Health</t>
    </r>
    <r>
      <rPr>
        <sz val="11"/>
        <color rgb="FF1F497D"/>
        <rFont val="Calibri"/>
        <family val="2"/>
      </rPr>
      <t xml:space="preserve"> Centres, District hospitals, Referral hospitals. </t>
    </r>
    <r>
      <rPr>
        <sz val="11"/>
        <color rgb="FFE36C0A"/>
        <rFont val="Calibri"/>
        <family val="2"/>
      </rPr>
      <t>VE: have put these in.</t>
    </r>
  </si>
  <si>
    <t xml:space="preserve">When was the most recent visit to a traditional healer by any household member in the past 12 months? </t>
  </si>
  <si>
    <r>
      <t>Other expenses</t>
    </r>
    <r>
      <rPr>
        <sz val="8"/>
        <rFont val="Arial Narrow"/>
        <family val="2"/>
      </rPr>
      <t xml:space="preserve"> (Social and cultural activities, trips, contributions to sports grounds, etc.)</t>
    </r>
  </si>
  <si>
    <t>Diarrhoea &amp; intestinal inflammation</t>
  </si>
  <si>
    <t>Respiratory disease (Asthma, etc.)</t>
  </si>
  <si>
    <t>Anaemia</t>
  </si>
  <si>
    <t>Public Health Centre</t>
  </si>
  <si>
    <t>Mostly for own consumption and some for sale or barter</t>
  </si>
  <si>
    <t>In Agriculture</t>
  </si>
  <si>
    <t xml:space="preserve"> Free clothing, health care, etc.</t>
  </si>
  <si>
    <t>Unable to find work requiring my skills</t>
  </si>
  <si>
    <t>Seeking assistance of friends, relatives, colleagues, unions, etc.</t>
  </si>
  <si>
    <t>Flush or pour/ flush to:</t>
  </si>
  <si>
    <t>What is the main source of energy this household uses for cooking?</t>
  </si>
  <si>
    <t xml:space="preserve">If you were to rent your dwelling, how much do you estimate the monthly market rent in N$ would be?
</t>
  </si>
  <si>
    <t>Did you employ any domestic workers as [TYPE] any time in the past month?</t>
  </si>
  <si>
    <t>Free accommodation</t>
  </si>
  <si>
    <t>Other (fetching wood, carrying water)</t>
  </si>
  <si>
    <t>School uniform (not including footwear)</t>
  </si>
  <si>
    <t>What´s the total number of years [NAME] has studied (including repetitions) ?</t>
  </si>
  <si>
    <t>How many days was [NAME] supposed to go to school during the past month?  (Or, if not now attending, the last month attended in the last school term)</t>
  </si>
  <si>
    <t>What method of transportation did you/ [NAME] use to get to the health facility?</t>
  </si>
  <si>
    <t>Why did you/ [NAME] not receive medical care for this illness or accident ?</t>
  </si>
  <si>
    <t>Do you/ [NAME] smoke cigarettes or a pipe or sniff tobacco?</t>
  </si>
  <si>
    <t>How many cigarettes do you / [NAME] smoke or how often do you smoke a pipe or sniff in one day (thinking of the past 4 weeks)...?</t>
  </si>
  <si>
    <t>Same area/ village as residence</t>
  </si>
  <si>
    <t>Social/ Cultural/ Religious reasons</t>
  </si>
  <si>
    <t>TIMES PER DAY</t>
  </si>
  <si>
    <t xml:space="preserve">How many days were you/ [NAME] unable to do usual daily activities because of this (these) accident or illness in the past 30 days ? </t>
  </si>
  <si>
    <t>Where did you/ [NAME] mostly receive medical care due to the illness or accident in the past 30 days?</t>
  </si>
  <si>
    <t>Did you/ [NAME] receive medical care because of this illness or accident?</t>
  </si>
  <si>
    <t>DURABLE ASSET CODE</t>
  </si>
  <si>
    <t>Did you work at this job in the past 7 days or were on leave and planned to return to it?</t>
  </si>
  <si>
    <t>ACTIVITY DESCRIPTION</t>
  </si>
  <si>
    <t>How much of the [CROP] was sold in the past 12 months?</t>
  </si>
  <si>
    <t>1st</t>
  </si>
  <si>
    <t>2nd</t>
  </si>
  <si>
    <t>3rd</t>
  </si>
  <si>
    <t>Other ( Specify_____)</t>
  </si>
  <si>
    <t>Tube well/Borehole - Private</t>
  </si>
  <si>
    <t>Tube well/ Borehole -  Private</t>
  </si>
  <si>
    <t>Tube well/Borehole - Communal</t>
  </si>
  <si>
    <t>Flowing Surface Water/ Stream/ River/ Canal/ Irrigation Channel</t>
  </si>
  <si>
    <t>Section 1: Household Roster</t>
  </si>
  <si>
    <t>Section 2: Housing</t>
  </si>
  <si>
    <t>Contributions to personnel funds (pension, medical aid, social security, etc.)</t>
  </si>
  <si>
    <t>Has [NAME] ever attended literacy classes?</t>
  </si>
  <si>
    <t>What is the main reason why [NAME] never attended school?</t>
  </si>
  <si>
    <t>Other (Specify ___)</t>
  </si>
  <si>
    <t>INTERVIEWER: MAKE A COMPLETE LIST OF EVERYONE AND FILL IN QUESTIONS 1.01-1.03 BEFORE GOING ON TO 1.04-1.25</t>
  </si>
  <si>
    <t>No proper service</t>
  </si>
  <si>
    <t>FOR MEMBERS 6 YEARS AND MORE</t>
  </si>
  <si>
    <r>
      <t xml:space="preserve">Section 3: Education </t>
    </r>
    <r>
      <rPr>
        <sz val="11"/>
        <rFont val="Arial"/>
        <family val="2"/>
      </rPr>
      <t>(FOR ALL MEMBERS 6 YEARS AND ABOVE)</t>
    </r>
  </si>
  <si>
    <t>Section 3: Education (continued)</t>
  </si>
  <si>
    <t>Section 4: Health</t>
  </si>
  <si>
    <t>Section 4: Health (continued)</t>
  </si>
  <si>
    <t>HEALTH CONDITION OF HOUSEHOLD MEMBERS</t>
  </si>
  <si>
    <t>Nose, Ear, Throat and Flu diseases</t>
  </si>
  <si>
    <t>Section 5: Durable Assets</t>
  </si>
  <si>
    <t>Section 6: Labour Force</t>
  </si>
  <si>
    <t>Part A: Work during the Past 7 Days</t>
  </si>
  <si>
    <t>Part B: Unemployment in the Past 7 Days</t>
  </si>
  <si>
    <t>Other  (Specify___)</t>
  </si>
  <si>
    <t>RESPONDENT: ALL HOUSEHOLD MEMBERS 8 YEARS AND OLDER</t>
  </si>
  <si>
    <t>Part C: Work during the past 12 months</t>
  </si>
  <si>
    <t>► NEXT PERSON (Q6.01)</t>
  </si>
  <si>
    <t>Yes   1</t>
  </si>
  <si>
    <t>► NEXT PERSON Q6.01</t>
  </si>
  <si>
    <t>COPY PERSON NUMBER OF RESPONDENT HERE</t>
  </si>
  <si>
    <r>
      <rPr>
        <sz val="8"/>
        <rFont val="Arial Narrow"/>
        <family val="2"/>
      </rPr>
      <t xml:space="preserve">No     2          </t>
    </r>
    <r>
      <rPr>
        <b/>
        <sz val="8"/>
        <rFont val="Arial Narrow"/>
        <family val="2"/>
      </rPr>
      <t>► 6.23</t>
    </r>
  </si>
  <si>
    <t>1 ► NEXT JOB (Q6.18)</t>
  </si>
  <si>
    <t>INTERVIEWER: DID THIS RESPONDENT REPORT ANY WAGE/SALARY JOBS (ANSWERED 1 OR 2 IN Q6.19)?</t>
  </si>
  <si>
    <t>No    2</t>
  </si>
  <si>
    <t>► 6.25  (PART D)</t>
  </si>
  <si>
    <r>
      <t>ASK RESPONDENT (8 YEARS OR OLDER) ABOUT</t>
    </r>
    <r>
      <rPr>
        <u/>
        <sz val="7"/>
        <rFont val="Arial Narrow"/>
        <family val="2"/>
      </rPr>
      <t xml:space="preserve"> ALL THE JOBS DONE DURING THE PAST 12 MONTHS</t>
    </r>
    <r>
      <rPr>
        <sz val="7"/>
        <rFont val="Arial Narrow"/>
        <family val="2"/>
      </rPr>
      <t xml:space="preserve">. USE ONE SET OF 4 LINES FOR EACH PERSON. </t>
    </r>
  </si>
  <si>
    <t>Part C: Work during the past 12 months (second page)</t>
  </si>
  <si>
    <t>Part D: Wage/ salary jobs</t>
  </si>
  <si>
    <t>► 6.32</t>
  </si>
  <si>
    <t>►6.35</t>
  </si>
  <si>
    <t>► NEXT WAGE JOB, OR IF NO OTHER WAGE JOB ► NEXT PERSON, Q6.01</t>
  </si>
  <si>
    <t>Part E: Household Enterprises</t>
  </si>
  <si>
    <t>► 6.48</t>
  </si>
  <si>
    <t>What is the estimated monthly turnover of your business?</t>
  </si>
  <si>
    <t xml:space="preserve"> WRITE THE PERSON NUMBERS OF THE HOUSEHOLD MEMBERS WHO WORK IN THIS ENTERPRISE</t>
  </si>
  <si>
    <t>Part B: Household Debt</t>
  </si>
  <si>
    <t>NGO</t>
  </si>
  <si>
    <t>Relatives who live abroad</t>
  </si>
  <si>
    <t>What is the main source of funding for this [TYPE] loan/ debt?</t>
  </si>
  <si>
    <t xml:space="preserve">Yes </t>
  </si>
  <si>
    <t>Section 10: Income by Individual</t>
  </si>
  <si>
    <t xml:space="preserve">ASK QUESTION 12.03 FOR ALL ITEMS FIRST, AND THEN ASK QUESTIONS 12.04-12.05 FOR ITEMS WHERE THE ANSWER TO 12.03 WAS YES
</t>
  </si>
  <si>
    <t xml:space="preserve">Did the household or any household member(s) receive any interest, dividends, profit, payments, etc. from [SOURCE] in the past 12 months? </t>
  </si>
  <si>
    <r>
      <t>How much has the</t>
    </r>
    <r>
      <rPr>
        <b/>
        <u/>
        <sz val="8"/>
        <rFont val="Arial Narrow"/>
        <family val="2"/>
      </rPr>
      <t xml:space="preserve"> household</t>
    </r>
    <r>
      <rPr>
        <b/>
        <sz val="8"/>
        <rFont val="Arial Narrow"/>
        <family val="2"/>
      </rPr>
      <t xml:space="preserve"> received from [SOURCE] in the past 12 months? (interest, dividends, profit, payments, etc.)</t>
    </r>
  </si>
  <si>
    <t>Nigeria</t>
  </si>
  <si>
    <t>Other  SADC</t>
  </si>
  <si>
    <t xml:space="preserve">   Sticks, mud, clay and/or cow-dung</t>
  </si>
  <si>
    <t>Pre-cast/ Prefabricated</t>
  </si>
  <si>
    <r>
      <t>01  ►</t>
    </r>
    <r>
      <rPr>
        <b/>
        <sz val="9"/>
        <rFont val="Arial Narrow"/>
        <family val="2"/>
      </rPr>
      <t xml:space="preserve"> 2.14</t>
    </r>
  </si>
  <si>
    <r>
      <t>02  ►</t>
    </r>
    <r>
      <rPr>
        <b/>
        <sz val="9"/>
        <rFont val="Arial Narrow"/>
        <family val="2"/>
      </rPr>
      <t xml:space="preserve"> 2.14</t>
    </r>
  </si>
  <si>
    <r>
      <t>04  ►</t>
    </r>
    <r>
      <rPr>
        <b/>
        <sz val="9"/>
        <rFont val="Arial Narrow"/>
        <family val="2"/>
      </rPr>
      <t xml:space="preserve"> 2.14</t>
    </r>
  </si>
  <si>
    <r>
      <t>12  ►</t>
    </r>
    <r>
      <rPr>
        <b/>
        <sz val="9"/>
        <rFont val="Arial Narrow"/>
        <family val="2"/>
      </rPr>
      <t xml:space="preserve"> 2.14</t>
    </r>
  </si>
  <si>
    <r>
      <t>10  ►</t>
    </r>
    <r>
      <rPr>
        <b/>
        <sz val="9"/>
        <rFont val="Arial Narrow"/>
        <family val="2"/>
      </rPr>
      <t xml:space="preserve"> 2.14</t>
    </r>
  </si>
  <si>
    <r>
      <t>10  ►</t>
    </r>
    <r>
      <rPr>
        <b/>
        <sz val="9"/>
        <rFont val="Arial Narrow"/>
        <family val="2"/>
      </rPr>
      <t xml:space="preserve"> 2.20</t>
    </r>
  </si>
  <si>
    <t>More than 10 Households</t>
  </si>
  <si>
    <r>
      <t xml:space="preserve">a) </t>
    </r>
    <r>
      <rPr>
        <b/>
        <sz val="9"/>
        <rFont val="Arial Narrow"/>
        <family val="2"/>
      </rPr>
      <t>Monthly ren</t>
    </r>
    <r>
      <rPr>
        <sz val="9"/>
        <rFont val="Arial Narrow"/>
        <family val="2"/>
      </rPr>
      <t>t paid by the household for this dwelling unit</t>
    </r>
  </si>
  <si>
    <r>
      <rPr>
        <b/>
        <sz val="8"/>
        <rFont val="Arial Narrow"/>
        <family val="2"/>
      </rPr>
      <t>d) Electricity</t>
    </r>
    <r>
      <rPr>
        <sz val="8"/>
        <rFont val="Arial Narrow"/>
        <family val="2"/>
      </rPr>
      <t xml:space="preserve"> (including basic levies where applicable) </t>
    </r>
  </si>
  <si>
    <t>►2.39</t>
  </si>
  <si>
    <t>► 2.37</t>
  </si>
  <si>
    <t>Other ( Specify___)</t>
  </si>
  <si>
    <t>Total remuneration to domestic workers (cols 2.43 &amp; 2.44)</t>
  </si>
  <si>
    <t xml:space="preserve">Total cost of domestic workers’ services (The sum of totals for columns 2.43 to 2.47) </t>
  </si>
  <si>
    <t>What´s the highest grade/ level [NAME] has completed?</t>
  </si>
  <si>
    <t>Expelled/ dismissed</t>
  </si>
  <si>
    <t>INTERVIEWER: IF TOTAL NUMBER OF ATTENDED DAYS (3.18) IS DIFFERENT FROM SUPPOSED ATTENDED DAYS (3.19) THEN ASK:</t>
  </si>
  <si>
    <t>The next questions ask about difficulties you or another household member  may have doing certain activities because of a HEALTH PROBLEM</t>
  </si>
  <si>
    <t>Internet aerial/ dish</t>
  </si>
  <si>
    <t>Telephone handset/receiver</t>
  </si>
  <si>
    <t>Wheelchair (electric or not)</t>
  </si>
  <si>
    <t>What type of work was this?</t>
  </si>
  <si>
    <t xml:space="preserve">RESPONDENT: ALL HOUSEHOLD MEMBERS 8 YEARS AND OLDER.   USE ONE SET OF 4 LINES FOR EACH PERSON. </t>
  </si>
  <si>
    <t>Wild mushrooms</t>
  </si>
  <si>
    <t xml:space="preserve">Other (Specify___)  </t>
  </si>
  <si>
    <r>
      <rPr>
        <b/>
        <sz val="8"/>
        <color theme="1"/>
        <rFont val="Arial Narrow"/>
        <family val="2"/>
      </rPr>
      <t>What was the quantity of [ITEM] produced in the past month?</t>
    </r>
    <r>
      <rPr>
        <sz val="8"/>
        <color theme="1"/>
        <rFont val="Arial Narrow"/>
        <family val="2"/>
      </rPr>
      <t xml:space="preserve">            IF NONE, WRITE '0' AND GO TO NEXT ITEM</t>
    </r>
  </si>
  <si>
    <r>
      <rPr>
        <b/>
        <sz val="8"/>
        <color theme="1"/>
        <rFont val="Arial Narrow"/>
        <family val="2"/>
      </rPr>
      <t xml:space="preserve">What was the quantity sold in the past month? </t>
    </r>
    <r>
      <rPr>
        <sz val="8"/>
        <color theme="1"/>
        <rFont val="Arial Narrow"/>
        <family val="2"/>
      </rPr>
      <t xml:space="preserve">    IF NONE, WRITE '0' AND GO TO NEXT ITEM</t>
    </r>
  </si>
  <si>
    <r>
      <t xml:space="preserve">No   2  ► </t>
    </r>
    <r>
      <rPr>
        <b/>
        <sz val="9"/>
        <rFont val="Arial"/>
        <family val="2"/>
      </rPr>
      <t>7.12</t>
    </r>
  </si>
  <si>
    <t>Milk</t>
  </si>
  <si>
    <t>During the last 12 months, have you or any household member received cash or goods for [REMITTANCE PURPOSE] from individuals who are not members of this household?</t>
  </si>
  <si>
    <t>DEDUCTIONS  BY THE EMPLOYER/ DEBIT ORDER</t>
  </si>
  <si>
    <t>Television license</t>
  </si>
  <si>
    <t>Net expenditure on hobbies, toys and games</t>
  </si>
  <si>
    <t>Television rental</t>
  </si>
  <si>
    <t>Part B: Housing Costs</t>
  </si>
  <si>
    <t>Part C: Domestic Workers</t>
  </si>
  <si>
    <t>Part A: Work in the Past 7 Days</t>
  </si>
  <si>
    <t>Part C: Work in the Past 12 Months</t>
  </si>
  <si>
    <t>Part D: Wage/ salary jobs in the Past 12 Months</t>
  </si>
  <si>
    <t>Part D: Wage / Salary Jobs in the Past 12 Months</t>
  </si>
  <si>
    <t>How much have you paid for the [ITEM/ SERVICE] during the past 12 months? (including interest and service charges)</t>
  </si>
  <si>
    <t>Finance and Bank Charges</t>
  </si>
  <si>
    <t>Lobola/ dowry paid</t>
  </si>
  <si>
    <t>Section</t>
  </si>
  <si>
    <t>1: Household Roster</t>
  </si>
  <si>
    <t>4: Health</t>
  </si>
  <si>
    <t>5: Durable Assets</t>
  </si>
  <si>
    <t>7: Agriculture Activities</t>
  </si>
  <si>
    <t>8: Remittances</t>
  </si>
  <si>
    <t>20: Savings and Investments over the Past 12 Months</t>
  </si>
  <si>
    <t xml:space="preserve">What was the total running cost for the past 12 months that your household paid for any vehicle that you owned, borrowed or rented  for:  </t>
  </si>
  <si>
    <t>Section 12: Expenditures on Commodities &amp; Non-Food Services Over the Past Month</t>
  </si>
  <si>
    <t>Section 19: Expenditures on Other Payments, Tax, Finance Charges and Insurance over the Past 12 Months</t>
  </si>
  <si>
    <t>3: Education</t>
  </si>
  <si>
    <t>19: Expenditures on Other Payments, Tax, Finance Charges and Insurance over the Past 12 Months</t>
  </si>
  <si>
    <t>9: Household Income Sources and Debts</t>
  </si>
  <si>
    <t>Part A: Household Income Sources</t>
  </si>
  <si>
    <t>10: Income by Individual</t>
  </si>
  <si>
    <t>11: Other Household Income</t>
  </si>
  <si>
    <t>Section 11:  Other Household Income</t>
  </si>
  <si>
    <t>Section 1: Household Roster (continued)</t>
  </si>
  <si>
    <t>No     2</t>
  </si>
  <si>
    <r>
      <t xml:space="preserve">No    2 </t>
    </r>
    <r>
      <rPr>
        <b/>
        <sz val="10"/>
        <rFont val="Arial Narrow"/>
        <family val="2"/>
      </rPr>
      <t xml:space="preserve"> </t>
    </r>
  </si>
  <si>
    <t>►Section  19</t>
  </si>
  <si>
    <r>
      <t xml:space="preserve">NO    2 </t>
    </r>
    <r>
      <rPr>
        <b/>
        <sz val="10"/>
        <rFont val="Arial Narrow"/>
        <family val="2"/>
      </rPr>
      <t xml:space="preserve"> </t>
    </r>
  </si>
  <si>
    <t>Section 20: Savings and Investments over the Past 12 Months</t>
  </si>
  <si>
    <t>Part B: Unemployed in the Past 7 days</t>
  </si>
  <si>
    <t>12: Expenditures on Commodities &amp; Non-Food Services over the Past Month</t>
  </si>
  <si>
    <t>Is [NAME].'s biological mother still alive?</t>
  </si>
  <si>
    <t>Is [NAME] 's biological father still alive?</t>
  </si>
  <si>
    <t>Does [NAME]'s biological father live in this household?</t>
  </si>
  <si>
    <t>IF THE PERSON WAS ABSENT FOR 6 MONTHS OR MORE, CROSS THEIR NAME FROM THE ROSTER AND DO NOT ASK ANYTHING ELSE
FOR PERSONS ABSENT LESS THAN 1  MONTH, WRITE ZERO.</t>
  </si>
  <si>
    <t xml:space="preserve">    Cement blocks/Bricks/Stones</t>
  </si>
  <si>
    <t>No Facilities/ Bush or Field</t>
  </si>
  <si>
    <r>
      <t xml:space="preserve">Capital </t>
    </r>
    <r>
      <rPr>
        <sz val="9"/>
        <rFont val="Arial Narrow"/>
        <family val="2"/>
      </rPr>
      <t>(N$)</t>
    </r>
  </si>
  <si>
    <r>
      <t xml:space="preserve">Interest </t>
    </r>
    <r>
      <rPr>
        <sz val="9"/>
        <rFont val="Arial Narrow"/>
        <family val="2"/>
      </rPr>
      <t>(N$)</t>
    </r>
  </si>
  <si>
    <r>
      <rPr>
        <b/>
        <sz val="8"/>
        <rFont val="Arial Narrow"/>
        <family val="2"/>
      </rPr>
      <t>b) S</t>
    </r>
    <r>
      <rPr>
        <b/>
        <sz val="9"/>
        <rFont val="Arial Narrow"/>
        <family val="2"/>
      </rPr>
      <t>ubsidy</t>
    </r>
    <r>
      <rPr>
        <sz val="9"/>
        <rFont val="Arial Narrow"/>
        <family val="2"/>
      </rPr>
      <t xml:space="preserve"> Amount received from employer, or value of reduction in instalment </t>
    </r>
    <r>
      <rPr>
        <sz val="8"/>
        <rFont val="Arial Narrow"/>
        <family val="2"/>
      </rPr>
      <t xml:space="preserve">if loan is repaid at a rate lower than the current interest rate  
</t>
    </r>
  </si>
  <si>
    <r>
      <t>How much did you pay for the purchase of this dwelling?</t>
    </r>
    <r>
      <rPr>
        <sz val="9"/>
        <rFont val="Arial Narrow"/>
        <family val="2"/>
      </rPr>
      <t xml:space="preserve"> (NOT including lawyer's fees, ….)</t>
    </r>
  </si>
  <si>
    <r>
      <rPr>
        <b/>
        <sz val="9"/>
        <rFont val="Arial Narrow"/>
        <family val="2"/>
      </rPr>
      <t>b) Other payments</t>
    </r>
    <r>
      <rPr>
        <sz val="9"/>
        <rFont val="Arial Narrow"/>
        <family val="2"/>
      </rPr>
      <t xml:space="preserve"> such as transfers due and transfer costs  and registration of mortgage bond  
</t>
    </r>
  </si>
  <si>
    <r>
      <rPr>
        <b/>
        <sz val="9"/>
        <rFont val="Arial Narrow"/>
        <family val="2"/>
      </rPr>
      <t>c) Contributions made towards communal provision of  housing services</t>
    </r>
    <r>
      <rPr>
        <sz val="9"/>
        <rFont val="Arial Narrow"/>
        <family val="2"/>
      </rPr>
      <t xml:space="preserve">, such as water facilities and electricity supply (e.g. communal water tap)   </t>
    </r>
  </si>
  <si>
    <r>
      <rPr>
        <b/>
        <sz val="9"/>
        <rFont val="Arial Narrow"/>
        <family val="2"/>
      </rPr>
      <t>a) Repair and maintenance</t>
    </r>
    <r>
      <rPr>
        <sz val="8"/>
        <rFont val="Arial Narrow"/>
        <family val="2"/>
      </rPr>
      <t xml:space="preserve"> of existing buildings, swimming pools, etc. (plumbers, electricians) 
</t>
    </r>
  </si>
  <si>
    <r>
      <rPr>
        <b/>
        <sz val="9"/>
        <rFont val="Arial Narrow"/>
        <family val="2"/>
      </rPr>
      <t>c) Security structures</t>
    </r>
    <r>
      <rPr>
        <sz val="8"/>
        <rFont val="Arial Narrow"/>
        <family val="2"/>
      </rPr>
      <t xml:space="preserve"> (including fences, electronic gates) </t>
    </r>
  </si>
  <si>
    <r>
      <rPr>
        <b/>
        <sz val="9"/>
        <rFont val="Arial Narrow"/>
        <family val="2"/>
      </rPr>
      <t>d) Security systems</t>
    </r>
    <r>
      <rPr>
        <sz val="8"/>
        <rFont val="Arial Narrow"/>
        <family val="2"/>
      </rPr>
      <t xml:space="preserve"> (including alarms, panic buttons) </t>
    </r>
  </si>
  <si>
    <t>Can [NAME]read and write a message in any language with understanding?</t>
  </si>
  <si>
    <t>Less than 6 years old</t>
  </si>
  <si>
    <r>
      <rPr>
        <sz val="9"/>
        <rFont val="Arial Narrow"/>
        <family val="2"/>
      </rPr>
      <t xml:space="preserve">3   </t>
    </r>
    <r>
      <rPr>
        <b/>
        <sz val="9"/>
        <rFont val="Arial Narrow"/>
        <family val="2"/>
      </rPr>
      <t>►NEXT PERSON (Q4.01)</t>
    </r>
  </si>
  <si>
    <t>No....2</t>
  </si>
  <si>
    <r>
      <rPr>
        <u/>
        <sz val="7"/>
        <rFont val="Arial Narrow"/>
        <family val="2"/>
      </rPr>
      <t>INTERVIEWER</t>
    </r>
    <r>
      <rPr>
        <sz val="7"/>
        <rFont val="Arial Narrow"/>
        <family val="2"/>
      </rPr>
      <t>:</t>
    </r>
    <r>
      <rPr>
        <sz val="8"/>
        <rFont val="Arial Narrow"/>
        <family val="2"/>
      </rPr>
      <t xml:space="preserve"> IS THERE AT LEAST  "1" (YES) AS ANSWER IN QUESTIONS 6.02 to 6.05?</t>
    </r>
  </si>
  <si>
    <r>
      <rPr>
        <sz val="9"/>
        <rFont val="Arial Narrow"/>
        <family val="2"/>
      </rPr>
      <t xml:space="preserve">No     2          </t>
    </r>
    <r>
      <rPr>
        <b/>
        <sz val="9"/>
        <rFont val="Arial Narrow"/>
        <family val="2"/>
      </rPr>
      <t>► 6.23</t>
    </r>
  </si>
  <si>
    <r>
      <rPr>
        <u/>
        <sz val="8"/>
        <rFont val="Arial Narrow"/>
        <family val="2"/>
      </rPr>
      <t>INTERVIEWER</t>
    </r>
    <r>
      <rPr>
        <sz val="8"/>
        <rFont val="Arial Narrow"/>
        <family val="2"/>
      </rPr>
      <t>: DID THIS RESPONDENT REPORT ANY WAGE/SALARY JOBS (ANSWERED 1 OR 2 IN Q6.19)?</t>
    </r>
  </si>
  <si>
    <t xml:space="preserve">  Sick Leave</t>
  </si>
  <si>
    <t xml:space="preserve">  Vacation</t>
  </si>
  <si>
    <t xml:space="preserve">  Compassionate</t>
  </si>
  <si>
    <t xml:space="preserve">  Study</t>
  </si>
  <si>
    <t xml:space="preserve">  Other (Specify)</t>
  </si>
  <si>
    <t>INTERVIEWER: WAS HER/HIS HEIGHT MEASURED STANDING UP OR LYING DOWN?</t>
  </si>
  <si>
    <r>
      <rPr>
        <b/>
        <sz val="9"/>
        <rFont val="Arial Narrow"/>
        <family val="2"/>
      </rPr>
      <t xml:space="preserve">PERSON NUMBER </t>
    </r>
    <r>
      <rPr>
        <sz val="9"/>
        <rFont val="Arial Narrow"/>
        <family val="2"/>
      </rPr>
      <t>-  CIRCLE THE PERSON NUMBER OF ANY CHILD LESS THAN 5 YEARS (60 MONTHS) OLD</t>
    </r>
  </si>
  <si>
    <r>
      <rPr>
        <u/>
        <sz val="9"/>
        <rFont val="Arial Narrow"/>
        <family val="2"/>
      </rPr>
      <t>INTERVIEWER:</t>
    </r>
    <r>
      <rPr>
        <sz val="9"/>
        <rFont val="Arial Narrow"/>
        <family val="2"/>
      </rPr>
      <t xml:space="preserve"> WHY WAS [NAME] NOT MEASURED?</t>
    </r>
  </si>
  <si>
    <t>► NEXT CHILD UNDER 60 MONTHS</t>
  </si>
  <si>
    <t>Other (Specify____)</t>
  </si>
  <si>
    <t xml:space="preserve">Part C: Domestic Workers </t>
  </si>
  <si>
    <t>6: Labour Force</t>
  </si>
  <si>
    <t>Section 7: Agriculture Activities</t>
  </si>
  <si>
    <t>Section 9: Household Income Sources and Debts</t>
  </si>
  <si>
    <t>14: Expenditures on  Household Equipment over the Past 12 Months</t>
  </si>
  <si>
    <t>15: Expenditures on Health over the Past 12 Months</t>
  </si>
  <si>
    <t>Section 14: Expenditures Household Equipment over the last 12 months</t>
  </si>
  <si>
    <t>Section 15: Expenditures on Health over the Past 12 Months</t>
  </si>
  <si>
    <t>Section 16: Expenditures on Leisure over the Past 12 Months</t>
  </si>
  <si>
    <t>16: Expenditures on Leisure over the Past 12 Months</t>
  </si>
  <si>
    <t>18: Expenditures on Transport and Holiday Expenses over the Past 12 Months</t>
  </si>
  <si>
    <t>Section 18: Expenditures on Transport and Holiday Expenses over the Past 12 Months (continued)</t>
  </si>
  <si>
    <t>Section 18: Expenditures on  Transport and Holiday Expenses over the Past 12 Months</t>
  </si>
  <si>
    <t>0: Cover</t>
  </si>
  <si>
    <t>0</t>
  </si>
  <si>
    <t>21: Anthropometric Measurements of Children less than 5 Years Old</t>
  </si>
  <si>
    <t>Section 21: Anthropometric Measurements of Children less than 5 Years Old</t>
  </si>
  <si>
    <r>
      <t>3 ►</t>
    </r>
    <r>
      <rPr>
        <b/>
        <sz val="9"/>
        <rFont val="Arial Narrow"/>
        <family val="2"/>
      </rPr>
      <t>6.18</t>
    </r>
  </si>
  <si>
    <r>
      <t>4 ►</t>
    </r>
    <r>
      <rPr>
        <b/>
        <sz val="9"/>
        <rFont val="Arial Narrow"/>
        <family val="2"/>
      </rPr>
      <t>6.18</t>
    </r>
  </si>
  <si>
    <t>Examples: Repairing cars, selling commercial real estate, sell food wholesale to restaurants, retail clothing shop, manufacture electrical appliances, bar/restaurant, primary school.</t>
  </si>
  <si>
    <t>How do you  go to this job?</t>
  </si>
  <si>
    <t>Questionnaire number of this household (for persons Nos 01 -15=1, Nos 16-30=2, etc.)</t>
  </si>
  <si>
    <t xml:space="preserve">Mahangu  </t>
  </si>
  <si>
    <t xml:space="preserve">Maize   </t>
  </si>
  <si>
    <t>Potatoes</t>
  </si>
  <si>
    <t>Other, specify ( ________________________)</t>
  </si>
  <si>
    <t>Other (Specify:___________)</t>
  </si>
  <si>
    <t>Magazines and periodicals</t>
  </si>
  <si>
    <t>Handbags, travelling bags, etc.</t>
  </si>
  <si>
    <r>
      <t>INTERVIEWER</t>
    </r>
    <r>
      <rPr>
        <sz val="9"/>
        <rFont val="Arial Narrow"/>
        <family val="2"/>
      </rPr>
      <t xml:space="preserve">:
COPY THE  PERSON  NUMBER AND THE JOB SERIAL NUMBER OF ANY WAGE JOB(S) IDENTIFIED FOR THIS RESPONDENT IN PART 6C, QUESTION (6.19)- ANSWERS '1' OR '2' </t>
    </r>
  </si>
  <si>
    <t>CIRCLE THE PERSON NUMBER FOR EACH PERSON 8 YEARS AND OLDER</t>
  </si>
  <si>
    <t>How long have you been / were you employed at this job?</t>
  </si>
  <si>
    <t>Which household members work in this enterprise, starting with the one who is the most knowledgeable about the business?</t>
  </si>
  <si>
    <t>Did your household have  [TYPE] income over the past 12 months?  CIRCLE YES/NO FOR EACH SOURCE</t>
  </si>
  <si>
    <r>
      <t xml:space="preserve">What is the </t>
    </r>
    <r>
      <rPr>
        <b/>
        <u/>
        <sz val="9"/>
        <rFont val="Arial Narrow"/>
        <family val="2"/>
      </rPr>
      <t xml:space="preserve">main </t>
    </r>
    <r>
      <rPr>
        <b/>
        <sz val="9"/>
        <rFont val="Arial Narrow"/>
        <family val="2"/>
      </rPr>
      <t>source of income for this household? ONE RESPONSE ONLY</t>
    </r>
  </si>
  <si>
    <t>Disability grants for adults (over 16 years)</t>
  </si>
  <si>
    <t>Metal Fibre &amp; Cleaning Sponge</t>
  </si>
  <si>
    <t>Infant items (nappies, bottles,  etc.)</t>
  </si>
  <si>
    <t>Prams, push-carts, carry-cots, car seats, etc.</t>
  </si>
  <si>
    <t>Other (umbrella, pocket knives, sunglasses, etc.) Specify</t>
  </si>
  <si>
    <t>Watches and personal jewellery</t>
  </si>
  <si>
    <t>Repair of miscellaneous goods</t>
  </si>
  <si>
    <t>Material for clothing</t>
  </si>
  <si>
    <t>Fees/wages for making or repairing clothing and footwear</t>
  </si>
  <si>
    <t>Other bedroom furniture</t>
  </si>
  <si>
    <t>Other loose floor coverings (Specify___)</t>
  </si>
  <si>
    <t xml:space="preserve">Healers (traditional, spiritual) </t>
  </si>
  <si>
    <t>Therapists (physiotherapists, occupational therapists, etc.)</t>
  </si>
  <si>
    <t>Medicines without prescription (patent medicine, cough mixtures, laxatives, fruit salts, pain killers, vitamins, etc.)</t>
  </si>
  <si>
    <t xml:space="preserve">Doctors, psychiatrists, specialists,  opticians, nurses,  homeopaths, paediatricians, midwives  </t>
  </si>
  <si>
    <t>Photography: cameras, video cameras, projectors, etc.</t>
  </si>
  <si>
    <t>Gardening requirements, excluding gardening equipment</t>
  </si>
  <si>
    <t>Admission charges; cinemas, theatres, concerts, shows, swimming pools, sports events, museums, zoological and botanical gardens, etc.</t>
  </si>
  <si>
    <t>Modems, play stations, CD writers and other hardware components accompanying computers</t>
  </si>
  <si>
    <t>Other vehicles (e.g. donkey carts). Specify_____</t>
  </si>
  <si>
    <t>…….Paid by your insurance company or other party</t>
  </si>
  <si>
    <t>Taxi (whether metered or not, including mini-bus taxi)</t>
  </si>
  <si>
    <t>Rented vehicles</t>
  </si>
  <si>
    <t>Renting of trailers, caravans, etc.</t>
  </si>
  <si>
    <t>Supporting services (e.g. parking services, port operators)</t>
  </si>
  <si>
    <t>Other (e.g. cable car)</t>
  </si>
  <si>
    <t>Did your household or any member have any expenses for holiday accommodation or all-inclusive holidays during the past 12 months?</t>
  </si>
  <si>
    <t>All -inclusive holiday payments</t>
  </si>
  <si>
    <t>Repayments on personal and overdraft loans, including credit cards, but excluding instalments shown elsewhere (e.g. housing, furniture, studies, vehicles and recreational equipment)</t>
  </si>
  <si>
    <t>Contributions to Stokvel</t>
  </si>
  <si>
    <r>
      <t xml:space="preserve">Did this household do any repairs and/or improvements to this or any other dwelling of the household in the past 12 months?  </t>
    </r>
    <r>
      <rPr>
        <sz val="9"/>
        <rFont val="Arial Narrow"/>
        <family val="2"/>
      </rPr>
      <t xml:space="preserve"> (Do NOT include payments already included  in the dwelling-unit's mortgage bond (in Question2.26 (a))
</t>
    </r>
  </si>
  <si>
    <t>Even though you say you did not work  in a business or self-employed activity in the past 7 days, did you work for at least an hour at an activity, for example as a trader, selling in the market, collecting wood or dung to sell, making handicrafts for sale, etc.?</t>
  </si>
  <si>
    <t>COPY THE SPOUSE'S/ PARTNER'S PERSON NUMBER</t>
  </si>
  <si>
    <r>
      <t>11  ►</t>
    </r>
    <r>
      <rPr>
        <b/>
        <sz val="9"/>
        <rFont val="Arial Narrow"/>
        <family val="2"/>
      </rPr>
      <t xml:space="preserve"> 2.14</t>
    </r>
  </si>
  <si>
    <r>
      <rPr>
        <b/>
        <sz val="8"/>
        <color theme="1"/>
        <rFont val="Arial Narrow"/>
        <family val="2"/>
      </rPr>
      <t xml:space="preserve">What was the total value of sales from [TYPE] in the past 12 months? </t>
    </r>
    <r>
      <rPr>
        <sz val="8"/>
        <color theme="1"/>
        <rFont val="Arial Narrow"/>
        <family val="2"/>
      </rPr>
      <t xml:space="preserve">     IF NOTHING WRITE '0'</t>
    </r>
  </si>
  <si>
    <t xml:space="preserve">How much did the household spend in total in the past 12 months for [ITEM]?       IF NOTHING, WRITE '0'        </t>
  </si>
  <si>
    <r>
      <t>No   2  ►</t>
    </r>
    <r>
      <rPr>
        <b/>
        <sz val="9"/>
        <rFont val="Arial"/>
        <family val="2"/>
      </rPr>
      <t xml:space="preserve"> SECTION 8</t>
    </r>
  </si>
  <si>
    <r>
      <t>IF THIS IS LAST RESPONDENT IN HOUSEHOLD ►</t>
    </r>
    <r>
      <rPr>
        <b/>
        <sz val="8"/>
        <rFont val="Arial Narrow"/>
        <family val="2"/>
      </rPr>
      <t xml:space="preserve"> PART E (Q6.44)</t>
    </r>
  </si>
  <si>
    <r>
      <t xml:space="preserve">► </t>
    </r>
    <r>
      <rPr>
        <b/>
        <sz val="8"/>
        <rFont val="Arial Narrow"/>
        <family val="2"/>
      </rPr>
      <t>6.25  (PART D)</t>
    </r>
  </si>
  <si>
    <r>
      <t xml:space="preserve">► </t>
    </r>
    <r>
      <rPr>
        <b/>
        <sz val="8"/>
        <rFont val="Arial Narrow"/>
        <family val="2"/>
      </rPr>
      <t>NEXT PERSON (Q6.01)</t>
    </r>
  </si>
  <si>
    <r>
      <t xml:space="preserve">1 ► </t>
    </r>
    <r>
      <rPr>
        <b/>
        <sz val="8"/>
        <rFont val="Arial Narrow"/>
        <family val="2"/>
      </rPr>
      <t>NEXT JOB (Q6.18)</t>
    </r>
  </si>
  <si>
    <r>
      <t>►</t>
    </r>
    <r>
      <rPr>
        <b/>
        <sz val="9"/>
        <rFont val="Arial Narrow"/>
        <family val="2"/>
      </rPr>
      <t>SECTION 21</t>
    </r>
  </si>
  <si>
    <t>► SECTION 10</t>
  </si>
  <si>
    <t xml:space="preserve">ASK YES/NO FOR EACH [TYPE] FIRST.   THEN IF 'YES',  ASK QUESTIONS 9.05 - 9.08  FOR EACH TYPE
</t>
  </si>
  <si>
    <t>Part D: Access &amp; Language</t>
  </si>
  <si>
    <r>
      <rPr>
        <b/>
        <sz val="9"/>
        <rFont val="Arial Narrow"/>
        <family val="2"/>
      </rPr>
      <t>What was the amount of the levy paid last month  (</t>
    </r>
    <r>
      <rPr>
        <sz val="9"/>
        <rFont val="Arial Narrow"/>
        <family val="2"/>
      </rPr>
      <t>excluding insurance )</t>
    </r>
  </si>
  <si>
    <t>►2.55</t>
  </si>
  <si>
    <t>►2.57</t>
  </si>
  <si>
    <t>ASK FOR BIRTH CERTIFICATE,   ID,   PASSPORT, BAPTISM CERTIFICATE OR HEALTH PASSPORT</t>
  </si>
  <si>
    <t>CALCULATE PERSON'S AGE;  ASK THE RESPONDENT TO CONFIRM IT IN QUESTION (1.06)</t>
  </si>
  <si>
    <t>IF DO NOT KNOW, ASK TO MAKE AN  ESTIMATE</t>
  </si>
  <si>
    <t>Regional Hospital</t>
  </si>
  <si>
    <t>Health Worker/ Health Extension Worker</t>
  </si>
  <si>
    <t>IF MINUTES NOT KNOWN WRITE 999</t>
  </si>
  <si>
    <t>IF KM ARE KNOWN ►  NEXT FACILITY</t>
  </si>
  <si>
    <t>How far to this facility in km, OR how  long does it take to get to this facility by the method used, one way?</t>
  </si>
  <si>
    <t>IF KMS ARE KNOWN DO NOT HAVE TO ASK MINUTES</t>
  </si>
  <si>
    <t xml:space="preserve">TO COMPLETE AFTER ALL HOUSEHOLD MEMBERS  8 YEARS AND OLDER HAVE BEEN ASKED SECTION 6 (LABOUR FORCE) PARTS A-D.   </t>
  </si>
  <si>
    <t>TIMES PER WEEK</t>
  </si>
  <si>
    <t xml:space="preserve"> After school centres</t>
  </si>
  <si>
    <r>
      <t xml:space="preserve">Did your household or any member own or use (rent or borrow)  a vehicle for which the household or member paid any </t>
    </r>
    <r>
      <rPr>
        <b/>
        <u/>
        <sz val="8"/>
        <rFont val="Arial Narrow"/>
        <family val="2"/>
      </rPr>
      <t>running costs</t>
    </r>
    <r>
      <rPr>
        <b/>
        <sz val="8"/>
        <rFont val="Arial Narrow"/>
        <family val="2"/>
      </rPr>
      <t xml:space="preserve"> in the past 12 months?</t>
    </r>
  </si>
  <si>
    <t>Did your household or any member have private use of a company or similar vehicle in the past 12 months?</t>
  </si>
  <si>
    <r>
      <t xml:space="preserve">No    2 </t>
    </r>
    <r>
      <rPr>
        <b/>
        <sz val="10"/>
        <rFont val="Arial Narrow"/>
        <family val="2"/>
      </rPr>
      <t xml:space="preserve"> ►18.10</t>
    </r>
  </si>
  <si>
    <r>
      <t xml:space="preserve">No    2 </t>
    </r>
    <r>
      <rPr>
        <b/>
        <sz val="10"/>
        <rFont val="Arial Narrow"/>
        <family val="2"/>
      </rPr>
      <t xml:space="preserve"> ►18.19</t>
    </r>
  </si>
  <si>
    <t>MOST IMPORTANT FEMALE IN HOUSEHOLD  (OR MOST IMFORMED MEMBER)</t>
  </si>
  <si>
    <t>FOOD NUMBER</t>
  </si>
  <si>
    <t>Asking for help from others</t>
  </si>
  <si>
    <t>2  ► NEXT</t>
  </si>
  <si>
    <t>CROP OR PRODUCT</t>
  </si>
  <si>
    <t>N. OF DAYS</t>
  </si>
  <si>
    <t>Wheat flour, bread</t>
  </si>
  <si>
    <t>Other cereals (maize, sorghum, millet, barley…)</t>
  </si>
  <si>
    <t xml:space="preserve">Rice </t>
  </si>
  <si>
    <t>Dairy products (milk, cheese, yoghurt )</t>
  </si>
  <si>
    <t>Poultry</t>
  </si>
  <si>
    <t>Fish</t>
  </si>
  <si>
    <t>Spices</t>
  </si>
  <si>
    <t>How many of the past 7 days, did your household have to ... [COPING OPTION]...:</t>
  </si>
  <si>
    <t>COPING OPTION</t>
  </si>
  <si>
    <t>NUMBER OF DAYS</t>
  </si>
  <si>
    <t>Rely on less preferred and less expensive food?</t>
  </si>
  <si>
    <t>Borrow food or rely on help from a relative or friend or neighbour?</t>
  </si>
  <si>
    <t>Limit portion size of meals at meal times?</t>
  </si>
  <si>
    <t>Give priority for small children to eat?</t>
  </si>
  <si>
    <t>Reduce number of meals eaten in a day?</t>
  </si>
  <si>
    <t>Section 2: Housing and Food Adequacy</t>
  </si>
  <si>
    <t>Own production (garden/ livestock)</t>
  </si>
  <si>
    <t>Bought using cash</t>
  </si>
  <si>
    <t>Bought on credit</t>
  </si>
  <si>
    <t>Gifts (friends/ neighbours, relatives)</t>
  </si>
  <si>
    <t>Food assistance (Government/ charity)</t>
  </si>
  <si>
    <t>Received as in-kind payment</t>
  </si>
  <si>
    <t>Vegetables (green leafy, tomatoes, etc…)</t>
  </si>
  <si>
    <t>Sugar, honey, dried fruits (dates …)</t>
  </si>
  <si>
    <t>PERSON NUMBER:</t>
  </si>
  <si>
    <t xml:space="preserve"> ►  SECTION 3</t>
  </si>
  <si>
    <t>NO  2 ►  NEXT COPING OPTION</t>
  </si>
  <si>
    <t>Part E: Food Adequacy</t>
  </si>
  <si>
    <t>2: Housing and Food Adequacy</t>
  </si>
  <si>
    <t>14-16</t>
  </si>
  <si>
    <t>11-13</t>
  </si>
  <si>
    <t>19</t>
  </si>
  <si>
    <t>20-21</t>
  </si>
  <si>
    <t>22-24</t>
  </si>
  <si>
    <t>26-27</t>
  </si>
  <si>
    <t>31-32</t>
  </si>
  <si>
    <t>40-41</t>
  </si>
  <si>
    <t>Did this household or any of its members grow/ produce/ collect any [CROP] in the past 12 months?</t>
  </si>
  <si>
    <t>Infants' clothing (0- 2 years)</t>
  </si>
  <si>
    <t>Infant's footwear (0-2 years)</t>
  </si>
  <si>
    <t>Boys' footwear (3-13 years)  (excluding school footwear)</t>
  </si>
  <si>
    <t>Girls' footwear (3-13 years)  (excluding school footwear)</t>
  </si>
  <si>
    <t>Boys' clothing (3-13 years) (excluding school uniforms)</t>
  </si>
  <si>
    <t>Girls' clothing (3-13 years) (excluding school uniforms)</t>
  </si>
  <si>
    <t>Curtains (not including making/hanging charges, ) material for curtains, blinds</t>
  </si>
  <si>
    <t>Furnishings</t>
  </si>
  <si>
    <t>Other (ornaments, paintings and other works of art) ( Specify___)</t>
  </si>
  <si>
    <t>Other (Specify ________)</t>
  </si>
  <si>
    <t>13: Expenditures on Clothing and Furnishings over the Past 3 Months</t>
  </si>
  <si>
    <t>Section 13: Expenditures on Clothing and Furnishings Over the Past 3 Months</t>
  </si>
  <si>
    <t xml:space="preserve"> FOR ALL ENTERPRISES IDENTIFIED IN PART 6C, QUESTION (6.19) RESPONSE 5 or 6 - ONE ENTERPRISE PER ROW</t>
  </si>
  <si>
    <t>Namibia Household Income and Expenditure Survey (NHIES) 2015/2016</t>
  </si>
  <si>
    <t>FORM 1</t>
  </si>
  <si>
    <t xml:space="preserve">Funeral policies PAID BY EMPLOYER </t>
  </si>
  <si>
    <t>Funeral policies PAID BY HOUSEHOLD</t>
  </si>
  <si>
    <r>
      <rPr>
        <u/>
        <sz val="7"/>
        <rFont val="Arial Narrow"/>
        <family val="2"/>
      </rPr>
      <t>INTERVIEWER</t>
    </r>
    <r>
      <rPr>
        <sz val="7"/>
        <rFont val="Arial Narrow"/>
        <family val="2"/>
      </rPr>
      <t>:</t>
    </r>
    <r>
      <rPr>
        <sz val="8"/>
        <rFont val="Arial Narrow"/>
        <family val="2"/>
      </rPr>
      <t xml:space="preserve"> IS THIS RESPONDENT 8 YEARS OLD OR OLDER?</t>
    </r>
  </si>
  <si>
    <t>Honey</t>
  </si>
  <si>
    <t>Fishing/aquaculture</t>
  </si>
  <si>
    <t>Hunting/game ranching</t>
  </si>
  <si>
    <t>Has this household or any household member done any fishing/aquaculture or hunting/game ranching in the last 12 months and sold the catch?</t>
  </si>
  <si>
    <t xml:space="preserve"> RESPONDENT NUMBER:</t>
  </si>
  <si>
    <r>
      <t>Oil/fats (</t>
    </r>
    <r>
      <rPr>
        <sz val="9"/>
        <color theme="1"/>
        <rFont val="Arial Narrow"/>
        <family val="2"/>
      </rPr>
      <t>ghee</t>
    </r>
    <r>
      <rPr>
        <sz val="9"/>
        <rFont val="Arial Narrow"/>
        <family val="2"/>
      </rPr>
      <t>, butter, …)</t>
    </r>
  </si>
  <si>
    <t xml:space="preserve">ASK YES/NO FOR EACH ITEM FIRST. IF 'YES'  ASK QUESTIONS 5.02 and 5.03 FOR EACH OF THE ITEMS IF 'NO' ASK 5.04
</t>
  </si>
  <si>
    <t xml:space="preserve">No   2  </t>
  </si>
  <si>
    <t>Section 2: Distance &amp; Language</t>
  </si>
  <si>
    <t xml:space="preserve"> </t>
  </si>
  <si>
    <t>IF &gt;= 5 YEARS, WRITE DOWN ONLY YEARS</t>
  </si>
  <si>
    <t>IF &lt; 5 YEARS, WRITE DOWN YEARS AND MONTHS</t>
  </si>
  <si>
    <t>Other ( Specify_____ )</t>
  </si>
  <si>
    <r>
      <t xml:space="preserve">What type of toilet facility do members of your household usually use? </t>
    </r>
    <r>
      <rPr>
        <sz val="9"/>
        <rFont val="Arial Narrow"/>
        <family val="2"/>
      </rPr>
      <t xml:space="preserve">IF “FLUSH” or “POUR/FLUSH” PROBE: </t>
    </r>
    <r>
      <rPr>
        <b/>
        <sz val="9"/>
        <rFont val="Arial Narrow"/>
        <family val="2"/>
      </rPr>
      <t>where does it flush to?</t>
    </r>
  </si>
  <si>
    <r>
      <t>No   2  ►</t>
    </r>
    <r>
      <rPr>
        <b/>
        <sz val="9"/>
        <rFont val="Arial Narrow"/>
        <family val="2"/>
      </rPr>
      <t xml:space="preserve"> 2.50</t>
    </r>
  </si>
  <si>
    <t>3.18</t>
  </si>
  <si>
    <t>RESPONDENT NUMBER:</t>
  </si>
  <si>
    <t>4.20</t>
  </si>
  <si>
    <t>4.19</t>
  </si>
  <si>
    <t>►4.20</t>
  </si>
  <si>
    <r>
      <rPr>
        <sz val="9"/>
        <rFont val="Arial Narrow"/>
        <family val="2"/>
      </rPr>
      <t xml:space="preserve">2   </t>
    </r>
    <r>
      <rPr>
        <b/>
        <sz val="9"/>
        <rFont val="Arial Narrow"/>
        <family val="2"/>
      </rPr>
      <t>► 4.22</t>
    </r>
  </si>
  <si>
    <t>IF  THIS IS LAST RESPONDENT IN HOUSEHOLD ► PART E (Q6.44)</t>
  </si>
  <si>
    <t>FOR ALL WAGE JOBS IDENTIFIED IN PART 6C, QUESTION (6.19),  RESPONSE '1' OR '2'</t>
  </si>
  <si>
    <t>km</t>
  </si>
  <si>
    <t>min</t>
  </si>
  <si>
    <t>kilograms</t>
  </si>
  <si>
    <t xml:space="preserve"> kilograms</t>
  </si>
  <si>
    <t>IF MONTH &amp; YEAR ARE NOT KNOWN, WRITE '99'</t>
  </si>
  <si>
    <t>In the past 12 months, did ..[NAME] receive income from the workman's compensation unemployment insurance, social security, MVA and similar funds...?</t>
  </si>
  <si>
    <r>
      <t xml:space="preserve">Did ..[NAME] receive any </t>
    </r>
    <r>
      <rPr>
        <b/>
        <u/>
        <sz val="8"/>
        <rFont val="Arial Narrow"/>
        <family val="2"/>
      </rPr>
      <t>social welfare</t>
    </r>
    <r>
      <rPr>
        <b/>
        <sz val="8"/>
        <rFont val="Arial Narrow"/>
        <family val="2"/>
      </rPr>
      <t xml:space="preserve"> pensions or allowances in the past 12 months?</t>
    </r>
  </si>
  <si>
    <t>In the past 12 months, did ..[NAME] receive a pension resulting from previous employment? FOR PERSONS 9 YEARS AND ABOVE</t>
  </si>
  <si>
    <r>
      <t xml:space="preserve">How much did </t>
    </r>
    <r>
      <rPr>
        <b/>
        <u/>
        <sz val="8"/>
        <rFont val="Arial Narrow"/>
        <family val="2"/>
      </rPr>
      <t>the household</t>
    </r>
    <r>
      <rPr>
        <b/>
        <sz val="8"/>
        <rFont val="Arial Narrow"/>
        <family val="2"/>
      </rPr>
      <t xml:space="preserve"> spend in the last 12 months for  </t>
    </r>
    <r>
      <rPr>
        <b/>
        <u/>
        <sz val="8"/>
        <rFont val="Arial Narrow"/>
        <family val="2"/>
      </rPr>
      <t>subscriptions and premiums</t>
    </r>
    <r>
      <rPr>
        <b/>
        <sz val="8"/>
        <rFont val="Arial Narrow"/>
        <family val="2"/>
      </rPr>
      <t xml:space="preserve"> for medical aid schemes and medical provident schemes?</t>
    </r>
  </si>
  <si>
    <r>
      <t xml:space="preserve">What was the amount your household </t>
    </r>
    <r>
      <rPr>
        <b/>
        <u/>
        <sz val="8"/>
        <rFont val="Arial Narrow"/>
        <family val="2"/>
      </rPr>
      <t xml:space="preserve">actually paid for </t>
    </r>
    <r>
      <rPr>
        <b/>
        <sz val="8"/>
        <rFont val="Arial Narrow"/>
        <family val="2"/>
      </rPr>
      <t>in the past 12 months for [VEHICLE]?</t>
    </r>
  </si>
  <si>
    <r>
      <t xml:space="preserve">No    2 </t>
    </r>
    <r>
      <rPr>
        <b/>
        <sz val="10"/>
        <rFont val="Arial Narrow"/>
        <family val="2"/>
      </rPr>
      <t xml:space="preserve"> ►18.12</t>
    </r>
  </si>
  <si>
    <t>Did your household or any member of your household  make use of public or hired transport vehicle in the past 12 months?</t>
  </si>
  <si>
    <r>
      <t xml:space="preserve">Did your household or any member make use of any public or hired transport for </t>
    </r>
    <r>
      <rPr>
        <b/>
        <i/>
        <sz val="8"/>
        <color theme="1"/>
        <rFont val="Arial Narrow"/>
        <family val="2"/>
      </rPr>
      <t>holiday</t>
    </r>
    <r>
      <rPr>
        <b/>
        <sz val="8"/>
        <rFont val="Arial Narrow"/>
        <family val="2"/>
      </rPr>
      <t xml:space="preserve"> purposes during the past 12 months?</t>
    </r>
  </si>
  <si>
    <t>INTERVIEWER: IS QUESTION 7.01 OR QUESTION 7.13 YES?</t>
  </si>
  <si>
    <t>g) Total Annual Cost (a to f)</t>
  </si>
  <si>
    <t>► 2.33</t>
  </si>
  <si>
    <t>Contributions to pension, provident and annuity funds paid by household members</t>
  </si>
  <si>
    <t>Buses &amp; Mini-buses</t>
  </si>
  <si>
    <t>REGION/COUNTRY CODE</t>
  </si>
  <si>
    <t>Sorghum beer/ Home Brew</t>
  </si>
  <si>
    <t xml:space="preserve">Seeds and feed </t>
  </si>
  <si>
    <t xml:space="preserve">Water for animals or irrigation </t>
  </si>
  <si>
    <t xml:space="preserve">Ostrich </t>
  </si>
  <si>
    <t xml:space="preserve">Poultry </t>
  </si>
  <si>
    <t>Horses</t>
  </si>
  <si>
    <t xml:space="preserve">Donkeys/mules </t>
  </si>
  <si>
    <t xml:space="preserve">Goats </t>
  </si>
  <si>
    <t xml:space="preserve">Processing (e.g. grinding and slaughtering) </t>
  </si>
  <si>
    <t>Cattle</t>
  </si>
  <si>
    <t xml:space="preserve">Sheep </t>
  </si>
  <si>
    <t>Pigs</t>
  </si>
  <si>
    <t>kg</t>
  </si>
  <si>
    <t>Butter/ oil/ fat</t>
  </si>
  <si>
    <t>Tax (excl. VAT)</t>
  </si>
  <si>
    <t>Fruits (mango, grapes, oranges, etc. …)</t>
  </si>
  <si>
    <t>Legumes (Beans, lentils, cowpeas, nuts, etc.)</t>
  </si>
  <si>
    <t>State special maintenance grants (Disabled under    16 years)</t>
  </si>
  <si>
    <t>Stays in hospitals, nursing homes, clinics, etc., including ambulance services</t>
  </si>
  <si>
    <t>Medicines without prescription ( patent medicine, cough mixtures, laxatives, fruit salts, pain killers, vitamins, etc.)</t>
  </si>
  <si>
    <t>Doctors, psychiatrists, specialists,  opticians, nurses,  homeopaths, paediatricians, midwives</t>
  </si>
  <si>
    <t>Life insurance and endowment policies (incl. study policies) PAID BY EMPLOYER</t>
  </si>
  <si>
    <t>Life insurance and endowment policies (incl. study policies) PAID BY HOUSEHOLD</t>
  </si>
  <si>
    <t>137</t>
  </si>
  <si>
    <t>Firewood</t>
  </si>
  <si>
    <t xml:space="preserve">        Pond</t>
  </si>
  <si>
    <t xml:space="preserve">Bought through battering </t>
  </si>
  <si>
    <t>Fishing/ hunting/ gathering</t>
  </si>
  <si>
    <t xml:space="preserve">    Other ( Specify_____)</t>
  </si>
  <si>
    <t>Marriage/ Partnership</t>
  </si>
  <si>
    <t>European countries</t>
  </si>
  <si>
    <t>Vocational Training Center</t>
  </si>
  <si>
    <t>War</t>
  </si>
  <si>
    <r>
      <t>In the p</t>
    </r>
    <r>
      <rPr>
        <b/>
        <u/>
        <sz val="8"/>
        <rFont val="Arial Narrow"/>
        <family val="2"/>
      </rPr>
      <t>ast 7 days</t>
    </r>
    <r>
      <rPr>
        <b/>
        <sz val="8"/>
        <rFont val="Arial Narrow"/>
        <family val="2"/>
      </rPr>
      <t xml:space="preserve">, did you do any kind of business or self-employed activity, big or small, for yourself or with  partners, or for a business owned by the household or any member, for at least one hour? </t>
    </r>
  </si>
  <si>
    <t>What is the main reason that you were absent from work in the past 7 days?</t>
  </si>
  <si>
    <t>In the past 7 days,  did you do any agricultural work on your own or household farm/ plot/ garden/ cattle post or kral, or help in growing farm produce or take care of your own or household livestock?</t>
  </si>
  <si>
    <t>In the past 7 days, were you trying to start a business?</t>
  </si>
  <si>
    <t>In the past 7 days, were you actively looking for a job (that would give wage, salary or in-kind payment)?</t>
  </si>
  <si>
    <t xml:space="preserve">  Maternity/ paternity</t>
  </si>
  <si>
    <t>IF KM ARE KNOWN, DO NOT ASK MIN</t>
  </si>
  <si>
    <t>Gas refrigerators</t>
  </si>
  <si>
    <t>Yes     1</t>
  </si>
  <si>
    <t>Computer and  telecommunication (ICT) equipment bought</t>
  </si>
  <si>
    <t>Minibus/ Bus</t>
  </si>
  <si>
    <t>Bank charges (cheque books, service charges, etc.)</t>
  </si>
  <si>
    <t>17: Expenditures on Child Care, Courses, ICT Equipment over the Past 12 Months</t>
  </si>
  <si>
    <t>Section 17: Expenditures on Child Care, Courses, and ICT over the Past 12 Months</t>
  </si>
  <si>
    <r>
      <rPr>
        <b/>
        <sz val="9"/>
        <rFont val="Arial Narrow"/>
        <family val="2"/>
      </rPr>
      <t>How old was/ were you/ [NAME] when this difficulty began ?</t>
    </r>
    <r>
      <rPr>
        <sz val="9"/>
        <rFont val="Arial Narrow"/>
        <family val="2"/>
      </rPr>
      <t xml:space="preserve"> IF MORE THAN ONE DIFFICULTY, REFER TO THE MOST SERIOUS</t>
    </r>
  </si>
  <si>
    <t>Minibus/Bus</t>
  </si>
  <si>
    <t>How many times per week do you drink traditional alcoholic  drinks and how many times retail alcoholic drinks  (thinking of the consumption over the past 4 weeks)?</t>
  </si>
  <si>
    <r>
      <t>Do you/ [NAME] have difficulty with (self-care such as)</t>
    </r>
    <r>
      <rPr>
        <b/>
        <u/>
        <sz val="9"/>
        <rFont val="Arial Narrow"/>
        <family val="2"/>
      </rPr>
      <t xml:space="preserve"> washing all over or dressing</t>
    </r>
    <r>
      <rPr>
        <b/>
        <sz val="9"/>
        <rFont val="Arial Narrow"/>
        <family val="2"/>
      </rPr>
      <t>? PERSONS 4 YEARS AND ABOVE</t>
    </r>
  </si>
  <si>
    <r>
      <t xml:space="preserve">Do you/ [NAME] have difficulty </t>
    </r>
    <r>
      <rPr>
        <b/>
        <u/>
        <sz val="9"/>
        <rFont val="Arial Narrow"/>
        <family val="2"/>
      </rPr>
      <t>walking or climbing steps</t>
    </r>
    <r>
      <rPr>
        <b/>
        <sz val="9"/>
        <rFont val="Arial Narrow"/>
        <family val="2"/>
      </rPr>
      <t>? PERSONS 2 YEARS AND ABOVE</t>
    </r>
  </si>
  <si>
    <t>If you were to sell this (ITEM/s) today, how much would you charge?</t>
  </si>
  <si>
    <t>Has this household or any household member produced eggs, milk, butter, honey or fats,  or sorghum beer/home brew or distilled spirit in the past month, or has the household collected firewood for sale in the past month?</t>
  </si>
  <si>
    <t>How many [TYPE] died, or were lost or stolen or given away or consumed in the past 12 months?</t>
  </si>
  <si>
    <t>How many [TYPE] were born or given to household in the past 12 months?</t>
  </si>
  <si>
    <t>Pre-primary schools, Early Childhood Development programs</t>
  </si>
  <si>
    <t>Motor cars, station wagons and minibuses/ buses</t>
  </si>
  <si>
    <r>
      <t xml:space="preserve">No    2 </t>
    </r>
    <r>
      <rPr>
        <b/>
        <sz val="10"/>
        <color theme="1"/>
        <rFont val="Arial Narrow"/>
        <family val="2"/>
      </rPr>
      <t xml:space="preserve"> ►18.15</t>
    </r>
  </si>
  <si>
    <r>
      <t xml:space="preserve">ASK QUESTION </t>
    </r>
    <r>
      <rPr>
        <sz val="10"/>
        <color theme="1"/>
        <rFont val="Arial Narrow"/>
        <family val="2"/>
      </rPr>
      <t>19.03</t>
    </r>
    <r>
      <rPr>
        <sz val="10"/>
        <color theme="1"/>
        <rFont val="Arial"/>
        <family val="2"/>
      </rPr>
      <t xml:space="preserve"> FOR ALL ITEMS FIRST, AND THEN ASK QUESTIONS</t>
    </r>
    <r>
      <rPr>
        <sz val="10"/>
        <color theme="1"/>
        <rFont val="Arial Narrow"/>
        <family val="2"/>
      </rPr>
      <t xml:space="preserve"> 19.04</t>
    </r>
    <r>
      <rPr>
        <sz val="10"/>
        <color theme="1"/>
        <rFont val="Arial"/>
        <family val="2"/>
      </rPr>
      <t xml:space="preserve"> FOR ITEMS WHERE THE ANSWER TO </t>
    </r>
    <r>
      <rPr>
        <sz val="10"/>
        <color theme="1"/>
        <rFont val="Arial Narrow"/>
        <family val="2"/>
      </rPr>
      <t>19.03</t>
    </r>
    <r>
      <rPr>
        <sz val="10"/>
        <color theme="1"/>
        <rFont val="Arial"/>
        <family val="2"/>
      </rPr>
      <t xml:space="preserve"> WAS YES</t>
    </r>
  </si>
  <si>
    <t>Which of the following was your employer for this job?</t>
  </si>
  <si>
    <t>Disability grants for adults (16 years and above)</t>
  </si>
  <si>
    <t>Other 2 (Specify:_______________)</t>
  </si>
  <si>
    <t xml:space="preserve">Firewood  </t>
  </si>
  <si>
    <t>2.07-a</t>
  </si>
  <si>
    <t>2.07-b</t>
  </si>
  <si>
    <t>2.07-a X</t>
  </si>
  <si>
    <t xml:space="preserve">2.07-b </t>
  </si>
  <si>
    <t>Minutes</t>
  </si>
  <si>
    <t>7.01-a</t>
  </si>
  <si>
    <t>7.01-a1</t>
  </si>
  <si>
    <t>7.01a-2</t>
  </si>
  <si>
    <t>Does your household either collect or sell firewood?</t>
  </si>
  <si>
    <t>If yes, what is the estimated total value of firewood collected in the past 12 months</t>
  </si>
  <si>
    <t>What was the value of sales of firewood in the past 12 months?</t>
  </si>
  <si>
    <t>ENTER 0 IF NO FIREWOOD SOLD</t>
  </si>
  <si>
    <t xml:space="preserve">Has this household or any household member grown or collected from nature any produce/ crops for  own consumption or for sale in the past 12 months? </t>
  </si>
  <si>
    <t xml:space="preserve">IF 'No' IN 7.01 &amp; 7.01-A </t>
  </si>
  <si>
    <t xml:space="preserve">► </t>
  </si>
  <si>
    <r>
      <rPr>
        <b/>
        <sz val="9"/>
        <color theme="1"/>
        <rFont val="Arial Narrow"/>
        <family val="2"/>
      </rPr>
      <t>f) Building materials NOT included in (a) or (b)</t>
    </r>
    <r>
      <rPr>
        <sz val="8"/>
        <color theme="1"/>
        <rFont val="Arial Narrow"/>
        <family val="2"/>
      </rPr>
      <t xml:space="preserve"> (e.g. for building houses) 
</t>
    </r>
  </si>
  <si>
    <t xml:space="preserve">Are any household members covered by medical aid/ insurance schemes or medical provident schemes? </t>
  </si>
  <si>
    <r>
      <t xml:space="preserve">What was the amount your household </t>
    </r>
    <r>
      <rPr>
        <b/>
        <u/>
        <sz val="8"/>
        <rFont val="Arial Narrow"/>
        <family val="2"/>
      </rPr>
      <t>spent</t>
    </r>
    <r>
      <rPr>
        <b/>
        <sz val="8"/>
        <rFont val="Arial Narrow"/>
        <family val="2"/>
      </rPr>
      <t xml:space="preserve"> on/contributed towards [ITEM/ SERVICE] in private sector and which went to public sector?</t>
    </r>
  </si>
  <si>
    <t>15.07-a</t>
  </si>
  <si>
    <t>For those household members not covered by medical aid scheme whichof the following services were used  in the past 12 months?        MULTIPLE  ANSWERS POSSIBLE   (ITEM/ SERVICE)</t>
  </si>
  <si>
    <t>For members covered by the medical aid scheme, which of following servcies were used in the past 12 months?        MULTIPLE ANSWERS POSSIBLE     (ITEM/ SERVICE)</t>
  </si>
  <si>
    <t>What was the amount that your household spent on/contributed towards [ITEM/ SERVICE] in the private sector and which went to public sector in the past 12 months?</t>
  </si>
  <si>
    <t>15.11-a</t>
  </si>
  <si>
    <t>Have you or any household member or an employer made payment towards the following [ITEM/ SERVICE]  during the past 12 months?</t>
  </si>
  <si>
    <t>What was the total contribution by you or any household member towards (ITEM/SERVICE) in the past 12 months for?</t>
  </si>
  <si>
    <t>Did you or any member make investments, or contribute to a savings account in the past 12 months?</t>
  </si>
  <si>
    <t>What was the total contribution by you or any household member towards (ITEM/SERVICE)  in the past 12 months?</t>
  </si>
  <si>
    <t>DWELLING  RENTED  OR OCCUPIED FREE OF RENT:</t>
  </si>
  <si>
    <t xml:space="preserve">e) Levy </t>
  </si>
  <si>
    <t xml:space="preserve">c) What is the estimated market value of monthly rent for this dwelling?
</t>
  </si>
  <si>
    <t>IF RENT IS NOT "0" ASK  b),d) &amp; e)</t>
  </si>
  <si>
    <t>IF RENT IN (a) IS "0" ASK c), d) &amp; e)</t>
  </si>
  <si>
    <t>TIMES</t>
  </si>
  <si>
    <r>
      <t xml:space="preserve">How many hours per day did (NAME) work on this job during the </t>
    </r>
    <r>
      <rPr>
        <u/>
        <sz val="8"/>
        <rFont val="Arial Narrow"/>
        <family val="2"/>
      </rPr>
      <t>past week</t>
    </r>
  </si>
  <si>
    <t>Did (NAME) work at another job in the past 12 months?</t>
  </si>
  <si>
    <r>
      <t xml:space="preserve">How many months did (NAME) work on this job during the </t>
    </r>
    <r>
      <rPr>
        <b/>
        <u/>
        <sz val="8"/>
        <rFont val="Arial Narrow"/>
        <family val="2"/>
      </rPr>
      <t>past 12 months</t>
    </r>
    <r>
      <rPr>
        <b/>
        <sz val="8"/>
        <rFont val="Arial Narrow"/>
        <family val="2"/>
      </rPr>
      <t>?    IF&lt;1MONTH WRITE ZERO</t>
    </r>
  </si>
  <si>
    <r>
      <t xml:space="preserve">Did (NAME) work on this job during the </t>
    </r>
    <r>
      <rPr>
        <b/>
        <u/>
        <sz val="8"/>
        <rFont val="Arial Narrow"/>
        <family val="2"/>
      </rPr>
      <t>past 7 days</t>
    </r>
    <r>
      <rPr>
        <b/>
        <sz val="8"/>
        <rFont val="Arial Narrow"/>
        <family val="2"/>
      </rPr>
      <t>?</t>
    </r>
  </si>
  <si>
    <t>Did (NAME) work on this job during the past week?</t>
  </si>
  <si>
    <t>Meat (mutton,  beef, goat, game, etc. …)</t>
  </si>
  <si>
    <t>How many people altogether work at the place where you do/did this job?  WORK PLACE IS BUILDING/BRANCH/UNIT/SCHOOL/CLINIC,ETC</t>
  </si>
  <si>
    <t>How often do you travel to and from home to work (for example, twice a day or once a week/month)? GOING TO WORK AND BACK IS 1 TRIP</t>
  </si>
  <si>
    <t>Do you have a building loan or mortgage on this dwelling? IF "YES" DON'T ASK 2.29</t>
  </si>
  <si>
    <t>IF KM ARE NOT KNOWN, WRITE 999 AND ►2.52, IF LESS THAN 1KM RECORD "0"</t>
  </si>
  <si>
    <r>
      <rPr>
        <b/>
        <sz val="8"/>
        <rFont val="Arial Narrow"/>
        <family val="2"/>
      </rPr>
      <t xml:space="preserve">a) </t>
    </r>
    <r>
      <rPr>
        <b/>
        <sz val="9"/>
        <rFont val="Arial Narrow"/>
        <family val="2"/>
      </rPr>
      <t>What was the monthly mortgage instalment for this dwelling last month?</t>
    </r>
    <r>
      <rPr>
        <b/>
        <sz val="8"/>
        <rFont val="Arial Narrow"/>
        <family val="2"/>
      </rPr>
      <t xml:space="preserve">  (Include: additional payments for immovable improvements, and voluntary additional monthly payment and allowance. Exclude insurance) </t>
    </r>
    <r>
      <rPr>
        <sz val="8"/>
        <rFont val="Arial Narrow"/>
        <family val="2"/>
      </rPr>
      <t xml:space="preserve">   IF AMOUNTS ARE NOT KNOWN,  ASK TO SEE MORTGAGE BOND STATEMENT. </t>
    </r>
  </si>
  <si>
    <t>Tablet - iPad, etc.</t>
  </si>
  <si>
    <t>What kind of privae vehicle did you or any member of your household spent money on in the past 12 months?                                                                                                        VEHICLE</t>
  </si>
  <si>
    <t xml:space="preserve"> Polishers (Clorox, Flash and others)</t>
  </si>
  <si>
    <t>How many [ITEM/SERVICE]  have you bought during the past 3 months?</t>
  </si>
  <si>
    <t>How many [ITEM/ SERVICE]  have you received free during the past 3 months?</t>
  </si>
  <si>
    <t>Items 821 and 823 were deleted from here</t>
  </si>
  <si>
    <t>Mother</t>
  </si>
  <si>
    <t>Father</t>
  </si>
  <si>
    <t>What is [NAME]'s biological father's name? RECORD PERSON'S NUMBER AGAINST CHILD</t>
  </si>
  <si>
    <t>What is [NAME]'s biological mother's name? RECORD PERSON'S NUMBER AGAINST CHILD</t>
  </si>
  <si>
    <t>What type of educational institution is [NAME} currently enrolled in (or was enrolled in) last year?</t>
  </si>
  <si>
    <t>From whom did [NAME] receive most of the scholarship or financial assistancelast year?</t>
  </si>
  <si>
    <r>
      <t>►</t>
    </r>
    <r>
      <rPr>
        <b/>
        <sz val="8"/>
        <rFont val="Arial Narrow"/>
        <family val="2"/>
      </rPr>
      <t xml:space="preserve"> NEXT PERSON (Q1.04)</t>
    </r>
  </si>
  <si>
    <r>
      <t xml:space="preserve">IF SPOUSE IS NOT A HOUSEHOLD MEMBER CODE </t>
    </r>
    <r>
      <rPr>
        <b/>
        <sz val="8"/>
        <rFont val="Arial Narrow"/>
        <family val="2"/>
      </rPr>
      <t>98</t>
    </r>
  </si>
  <si>
    <r>
      <t xml:space="preserve">Other (Specify_____)    </t>
    </r>
    <r>
      <rPr>
        <sz val="8"/>
        <color rgb="FFFF0000"/>
        <rFont val="Arial Narrow"/>
        <family val="2"/>
      </rPr>
      <t xml:space="preserve"> </t>
    </r>
    <r>
      <rPr>
        <sz val="8"/>
        <rFont val="Arial Narrow"/>
        <family val="2"/>
      </rPr>
      <t xml:space="preserve">             </t>
    </r>
  </si>
  <si>
    <r>
      <t>13  ►</t>
    </r>
    <r>
      <rPr>
        <b/>
        <sz val="10"/>
        <rFont val="Arial Narrow"/>
        <family val="2"/>
      </rPr>
      <t xml:space="preserve"> 2.12</t>
    </r>
  </si>
  <si>
    <r>
      <t xml:space="preserve">14  ► </t>
    </r>
    <r>
      <rPr>
        <b/>
        <sz val="10"/>
        <rFont val="Arial Narrow"/>
        <family val="2"/>
      </rPr>
      <t>2.12</t>
    </r>
  </si>
  <si>
    <r>
      <t xml:space="preserve">03  ► </t>
    </r>
    <r>
      <rPr>
        <b/>
        <sz val="10"/>
        <rFont val="Arial Narrow"/>
        <family val="2"/>
      </rPr>
      <t>2.12</t>
    </r>
  </si>
  <si>
    <r>
      <t xml:space="preserve">05  ► </t>
    </r>
    <r>
      <rPr>
        <b/>
        <sz val="10"/>
        <rFont val="Arial Narrow"/>
        <family val="2"/>
      </rPr>
      <t>2.12</t>
    </r>
  </si>
  <si>
    <r>
      <t xml:space="preserve">06  ► </t>
    </r>
    <r>
      <rPr>
        <b/>
        <sz val="10"/>
        <rFont val="Arial Narrow"/>
        <family val="2"/>
      </rPr>
      <t>2.12</t>
    </r>
  </si>
  <si>
    <r>
      <t>07  ►</t>
    </r>
    <r>
      <rPr>
        <b/>
        <sz val="10"/>
        <rFont val="Arial Narrow"/>
        <family val="2"/>
      </rPr>
      <t>2.12</t>
    </r>
  </si>
  <si>
    <r>
      <t>08  ►</t>
    </r>
    <r>
      <rPr>
        <b/>
        <sz val="10"/>
        <rFont val="Arial Narrow"/>
        <family val="2"/>
      </rPr>
      <t xml:space="preserve">2.12 </t>
    </r>
  </si>
  <si>
    <r>
      <t>09  ►</t>
    </r>
    <r>
      <rPr>
        <b/>
        <sz val="10"/>
        <rFont val="Arial Narrow"/>
        <family val="2"/>
      </rPr>
      <t>2.12</t>
    </r>
  </si>
  <si>
    <t xml:space="preserve">The last time [NAME OF YOUNGEST CHILD UNDER 3 YEARS]ONLY </t>
  </si>
  <si>
    <t xml:space="preserve"> passed stools, what was done to dispose off the stools? </t>
  </si>
  <si>
    <t>Unknown Place/ Don't know</t>
  </si>
  <si>
    <t xml:space="preserve">d)  Rent paid for garage and/or domestic worker's room, if rented separately </t>
  </si>
  <si>
    <t xml:space="preserve"> How much  did you or any household member pay in monthly rental in the past month?</t>
  </si>
  <si>
    <t xml:space="preserve">    Certificate</t>
  </si>
  <si>
    <t xml:space="preserve">        Septic Tank</t>
  </si>
  <si>
    <t>WAGE/SALARY ACTIVITIES</t>
  </si>
  <si>
    <t>Which paid leave(s) is (NAME) entitled to/benefit from in this job?                SELECT AT LEAST ONE KIND OF LEAVE</t>
  </si>
  <si>
    <t>In the past week, how many hours per day did (NAME) work on this job?</t>
  </si>
  <si>
    <t>Does  your household  or any member of the household have access to the internet?</t>
  </si>
  <si>
    <t>Internet access elsewhere</t>
  </si>
  <si>
    <t xml:space="preserve">No Internet access </t>
  </si>
  <si>
    <t>4-5 Months ago</t>
  </si>
  <si>
    <t>0-1 Month ago</t>
  </si>
  <si>
    <t>0 -1 Month ago</t>
  </si>
  <si>
    <t xml:space="preserve">What was the negotiated price when the vehicle was bought? </t>
  </si>
  <si>
    <t>ENTER MINUTES</t>
  </si>
  <si>
    <t>Have not used any</t>
  </si>
  <si>
    <t>What types of other income has been earned by you or any  household member</t>
  </si>
  <si>
    <t xml:space="preserve"> during the past 12 months?</t>
  </si>
  <si>
    <t>Who usually goes to collect fireword for the household?</t>
  </si>
  <si>
    <t>INCLUDE KITCHENS, SITTING ROOMS, BATHROOMS, HALLWAYS OR VERANDAS IF USED FOR SLEEPING</t>
  </si>
  <si>
    <t>READ ALL RESPONSES AND SELECT ALL THAT APPLY</t>
  </si>
  <si>
    <r>
      <t>Did you pay a levy on this dwelling last month?</t>
    </r>
    <r>
      <rPr>
        <sz val="9"/>
        <rFont val="Arial Narrow"/>
        <family val="2"/>
      </rPr>
      <t xml:space="preserve"> (for dwelling units under sectional title or shareholding/block scheme, excluding insurance ). ASK IF SUBSIDY IS NOT INCLUDED IN 2.26 a).</t>
    </r>
  </si>
  <si>
    <t>SEE LANGUAGE CODES IN THE CODE LIST</t>
  </si>
  <si>
    <r>
      <t xml:space="preserve">During the </t>
    </r>
    <r>
      <rPr>
        <b/>
        <u/>
        <sz val="9"/>
        <color theme="1"/>
        <rFont val="Arial Narrow"/>
        <family val="2"/>
      </rPr>
      <t>past 7 days</t>
    </r>
    <r>
      <rPr>
        <b/>
        <sz val="9"/>
        <color theme="1"/>
        <rFont val="Arial Narrow"/>
        <family val="2"/>
      </rPr>
      <t>, have the members of this household eaten …[CROP OR PRODUCT].. at home?</t>
    </r>
  </si>
  <si>
    <t>How many days in the past 7 days has your household eaten …[CROP OR PRODUCT].. at home?</t>
  </si>
  <si>
    <t>Is [NAME] currently attending school or university or attended in the last 12 months?</t>
  </si>
  <si>
    <t>What class and level is [NAME] currently attending (or attended) in the last 12 months?</t>
  </si>
  <si>
    <t>Riding horse/donkey/mule</t>
  </si>
  <si>
    <t>Animal-drawn vehicle</t>
  </si>
  <si>
    <t>Boat/Ship/Canoe           10</t>
  </si>
  <si>
    <t>Other (Specify               11</t>
  </si>
  <si>
    <t xml:space="preserve">IF KMS ARE KNOWN, DO NOT HAVE TO ASK MINUTES                 </t>
  </si>
  <si>
    <t>IF DISTANCE IS LESS THAN 1 KM, WRITE ZERO</t>
  </si>
  <si>
    <t>How many days did [NAME] go to school during the past month? (Or, if not now attending, ask the last month attended in the last school term)                                                 EXCLUDING WEEKENDS</t>
  </si>
  <si>
    <t>How much did this household spend on [NAME's] education in the past 12 months for …</t>
  </si>
  <si>
    <t>How many does your household own of [ITEM]?</t>
  </si>
  <si>
    <r>
      <rPr>
        <sz val="8"/>
        <rFont val="Arial Narrow"/>
        <family val="2"/>
      </rPr>
      <t>INTERVIEWER: FOR ITEMS NOT OWNED, ASK:</t>
    </r>
    <r>
      <rPr>
        <b/>
        <sz val="8"/>
        <rFont val="Arial Narrow"/>
        <family val="2"/>
      </rPr>
      <t xml:space="preserve">  </t>
    </r>
    <r>
      <rPr>
        <b/>
        <sz val="9"/>
        <rFont val="Arial Narrow"/>
        <family val="2"/>
      </rPr>
      <t>Although your household does not own, does your household have access to [ITEM]?</t>
    </r>
  </si>
  <si>
    <t>TOTAL VALUE:</t>
  </si>
  <si>
    <r>
      <t>In the p</t>
    </r>
    <r>
      <rPr>
        <b/>
        <u/>
        <sz val="8"/>
        <rFont val="Arial Narrow"/>
        <family val="2"/>
      </rPr>
      <t>ast 7 days</t>
    </r>
    <r>
      <rPr>
        <b/>
        <sz val="8"/>
        <rFont val="Arial Narrow"/>
        <family val="2"/>
      </rPr>
      <t>, did you do any work for pay or any payment in-kind (including paid domestic work) for at least one hour?</t>
    </r>
  </si>
  <si>
    <t>Even though you did not do any kind of work in the past 7 days, did you have work (not including farming), from which you were temporarily absent because of vacation, illness, layoff,  etc., and to which you will definitely return?</t>
  </si>
  <si>
    <t>If there was an opportunity for work in the past 7 days, would you have been available to start work within the  next 2 weeks?</t>
  </si>
  <si>
    <t>1.-   PROBE FOR SELF-EMPLOYMENT ACTIVITIES, SUCH  AS SEWING AND EMBROIDERY,  HAIR STYLING, HANDICRAFTS, ETC.</t>
  </si>
  <si>
    <t>Please tell me about any work or jobs (NAME) have done in the past 12 months, beginning with the most important, based on the time spent.</t>
  </si>
  <si>
    <t>► NEXT PERSON Q6.01              ► IF LAST PERSON Q6.24</t>
  </si>
  <si>
    <t>INTERVIEWER: SEE SECTOR/INDUSTRY CODES IN THE CODELIST</t>
  </si>
  <si>
    <r>
      <t xml:space="preserve">How much in total have you or any household member  received in </t>
    </r>
    <r>
      <rPr>
        <b/>
        <sz val="8"/>
        <rFont val="Arial Black"/>
        <family val="2"/>
      </rPr>
      <t xml:space="preserve">cash </t>
    </r>
    <r>
      <rPr>
        <b/>
        <sz val="8"/>
        <rFont val="Arial Narrow"/>
        <family val="2"/>
      </rPr>
      <t>during the last 12 months from individuals who are not members of this household, for [REMITTANCE PURPOSE]?</t>
    </r>
  </si>
  <si>
    <r>
      <t xml:space="preserve">What is the total value of all goods that have been received </t>
    </r>
    <r>
      <rPr>
        <b/>
        <sz val="8"/>
        <rFont val="Arial Black"/>
        <family val="2"/>
      </rPr>
      <t>in-kind</t>
    </r>
    <r>
      <rPr>
        <b/>
        <sz val="8"/>
        <rFont val="Arial Narrow"/>
        <family val="2"/>
      </rPr>
      <t xml:space="preserve"> during the last 12 months from individuals who are not members of this household, for [REMITTANCE PURPOSE]?</t>
    </r>
  </si>
  <si>
    <r>
      <t xml:space="preserve">During the last 12 months, have you or any household member sent </t>
    </r>
    <r>
      <rPr>
        <b/>
        <sz val="8"/>
        <rFont val="Arial Black"/>
        <family val="2"/>
      </rPr>
      <t>cash</t>
    </r>
    <r>
      <rPr>
        <b/>
        <sz val="8"/>
        <rFont val="Arial Narrow"/>
        <family val="2"/>
      </rPr>
      <t xml:space="preserve"> or goods for [REMITTANCE PURPOSE] to individuals who are not members of this household (non-household members living in Namibia or abroad)?</t>
    </r>
    <r>
      <rPr>
        <sz val="8"/>
        <rFont val="Arial Narrow"/>
        <family val="2"/>
      </rPr>
      <t xml:space="preserve"> INCLUDING ALIMONY AND CHILD SUPPORT PAYMENTS</t>
    </r>
  </si>
  <si>
    <r>
      <t xml:space="preserve">How much in total have you or any household member sent in </t>
    </r>
    <r>
      <rPr>
        <b/>
        <sz val="8"/>
        <rFont val="Arial Black"/>
        <family val="2"/>
      </rPr>
      <t>cash</t>
    </r>
    <r>
      <rPr>
        <b/>
        <sz val="8"/>
        <rFont val="Arial Narrow"/>
        <family val="2"/>
      </rPr>
      <t xml:space="preserve"> during the last 12 months to individuals who are not members of this household, for [REMITTANCE PURPOSE]?</t>
    </r>
  </si>
  <si>
    <r>
      <t xml:space="preserve">What is the total value of all goods that have been sent </t>
    </r>
    <r>
      <rPr>
        <b/>
        <sz val="8"/>
        <rFont val="Arial Black"/>
        <family val="2"/>
      </rPr>
      <t>in-kind</t>
    </r>
    <r>
      <rPr>
        <b/>
        <sz val="8"/>
        <rFont val="Arial Narrow"/>
        <family val="2"/>
      </rPr>
      <t xml:space="preserve"> during the last 12 months to individuals who are not members of this household, for [REMITTANCE PURPOSE]?</t>
    </r>
  </si>
  <si>
    <t>How much money is still owing on this loan today (including interest)?</t>
  </si>
  <si>
    <t>How much did [NAME] receive in the past 12 months for alimony or maintenance  payments?</t>
  </si>
  <si>
    <t>a)</t>
  </si>
  <si>
    <t>b)</t>
  </si>
  <si>
    <t>c)</t>
  </si>
  <si>
    <t>d)</t>
  </si>
  <si>
    <t>e)</t>
  </si>
  <si>
    <t>f)</t>
  </si>
  <si>
    <t>Miscellaneous Expenses</t>
  </si>
  <si>
    <t>Grand Total (N$)</t>
  </si>
  <si>
    <t>ASK QUESTION 14.03 FOR ALL ITEMS FIRST, AND THEN ASK QUESTIONS14.04-14.06 FOR ITEMS WHERE THE ANSWER TO 14.03 WAS YES</t>
  </si>
  <si>
    <t>IF 0 ► 14.05</t>
  </si>
  <si>
    <r>
      <t xml:space="preserve">No               </t>
    </r>
    <r>
      <rPr>
        <b/>
        <sz val="10"/>
        <rFont val="Arial Narrow"/>
        <family val="2"/>
      </rPr>
      <t>3    ►15.08</t>
    </r>
  </si>
  <si>
    <r>
      <t xml:space="preserve">Yes, all members         </t>
    </r>
    <r>
      <rPr>
        <b/>
        <sz val="10"/>
        <rFont val="Arial Narrow"/>
        <family val="2"/>
      </rPr>
      <t>1</t>
    </r>
  </si>
  <si>
    <r>
      <t xml:space="preserve">Yes, some  members  </t>
    </r>
    <r>
      <rPr>
        <b/>
        <sz val="10"/>
        <rFont val="Arial Narrow"/>
        <family val="2"/>
      </rPr>
      <t xml:space="preserve"> 2</t>
    </r>
  </si>
  <si>
    <t xml:space="preserve">               ► NEXT ITEM</t>
  </si>
  <si>
    <t xml:space="preserve">Personal Documents Expenses (Passport, Personal ID Card, Family Card, Certificates,  etc.) </t>
  </si>
  <si>
    <t>How many rooms are in this dwelling?                              Do not include kitchens, sitting rooms, bathrooms, hallways, or verandas. Do not count rooms used exclusively for a household business.</t>
  </si>
  <si>
    <t>Did [NAME] receive a scholarship or financial assistance from outside the household in the last 12 months?</t>
  </si>
  <si>
    <t xml:space="preserve">What is the total value of all scholarship and financial assistance [NAME] has received in the last 12 months? </t>
  </si>
  <si>
    <t xml:space="preserve">How long does it take to go there, collect firewood, and come back? </t>
  </si>
  <si>
    <t xml:space="preserve">Internet access at home &amp; elsewhere               </t>
  </si>
  <si>
    <t xml:space="preserve">Internet access at home                </t>
  </si>
  <si>
    <t>SEE REGION AND COUNTRY CODES IN THE CODE LIST</t>
  </si>
  <si>
    <t>How much did  [NAME] receive   for the following social welfare services in the past 12 months?</t>
  </si>
  <si>
    <t>AMOUNTS REPORTED PER MONTH, SHOULD BE CALCULATED FOR THE PERIOD OF 12 MONTHS.</t>
  </si>
  <si>
    <t xml:space="preserve">NON-WAGE/SALARY ACTIVITIES </t>
  </si>
  <si>
    <r>
      <t>b) Water</t>
    </r>
    <r>
      <rPr>
        <sz val="8"/>
        <rFont val="Arial Narrow"/>
        <family val="2"/>
      </rPr>
      <t xml:space="preserve"> (including basic levies, water bought from tankers, kiosks and from neighbours).</t>
    </r>
    <r>
      <rPr>
        <b/>
        <sz val="8"/>
        <rFont val="Arial Narrow"/>
        <family val="2"/>
      </rPr>
      <t xml:space="preserve"> </t>
    </r>
  </si>
  <si>
    <t xml:space="preserve">a) Assessment rates and taxes </t>
  </si>
  <si>
    <r>
      <t>c) Water</t>
    </r>
    <r>
      <rPr>
        <sz val="8"/>
        <rFont val="Arial Narrow"/>
        <family val="2"/>
      </rPr>
      <t>(pre-paid meters)</t>
    </r>
  </si>
  <si>
    <r>
      <t xml:space="preserve">e) Electricity </t>
    </r>
    <r>
      <rPr>
        <sz val="8"/>
        <rFont val="Arial Narrow"/>
        <family val="2"/>
      </rPr>
      <t xml:space="preserve">(pre-payment cards, "Koopkrag", E-cards, specify) </t>
    </r>
  </si>
  <si>
    <r>
      <rPr>
        <b/>
        <sz val="8"/>
        <rFont val="Arial Narrow"/>
        <family val="2"/>
      </rPr>
      <t xml:space="preserve">f) Sanitary service </t>
    </r>
    <r>
      <rPr>
        <sz val="8"/>
        <rFont val="Arial Narrow"/>
        <family val="2"/>
      </rPr>
      <t xml:space="preserve">
</t>
    </r>
  </si>
  <si>
    <r>
      <rPr>
        <b/>
        <sz val="8"/>
        <rFont val="Arial Narrow"/>
        <family val="2"/>
      </rPr>
      <t>g) Waste managem</t>
    </r>
    <r>
      <rPr>
        <sz val="8"/>
        <rFont val="Arial Narrow"/>
        <family val="2"/>
      </rPr>
      <t>e</t>
    </r>
    <r>
      <rPr>
        <b/>
        <sz val="8"/>
        <rFont val="Arial Narrow"/>
        <family val="2"/>
      </rPr>
      <t>nt</t>
    </r>
  </si>
  <si>
    <t>h) Refuse removal</t>
  </si>
  <si>
    <t>i) Gas bottle</t>
  </si>
  <si>
    <t>j) Other housing services (Specify)</t>
  </si>
  <si>
    <t>IF DON'T SMOKE/SNIFF AT ALL, ENTER 0.</t>
  </si>
  <si>
    <t xml:space="preserve"> What was the amount spent on the following?  IF PAYMENT IS IN-KIND, ESTIMATE VALUE</t>
  </si>
  <si>
    <t xml:space="preserve"> What was the amount spent on the following?   IF PAYMENT IS IN-KIND, ESTIMATE VALUE</t>
  </si>
  <si>
    <t>Sticks, mud, clay and/or cow-dung</t>
  </si>
  <si>
    <t>Cement blocks/Bricks/Stones</t>
  </si>
  <si>
    <t xml:space="preserve">01  </t>
  </si>
  <si>
    <t>► 2.14</t>
  </si>
  <si>
    <t xml:space="preserve">02  </t>
  </si>
  <si>
    <t xml:space="preserve">04  </t>
  </si>
  <si>
    <t xml:space="preserve">10  </t>
  </si>
  <si>
    <t>►2.14</t>
  </si>
  <si>
    <t xml:space="preserve">11  </t>
  </si>
  <si>
    <t xml:space="preserve">12  </t>
  </si>
  <si>
    <t>Boil</t>
  </si>
  <si>
    <t>k) Total Annual Cost (a to j):</t>
  </si>
  <si>
    <r>
      <rPr>
        <b/>
        <sz val="9"/>
        <rFont val="Arial Narrow"/>
        <family val="2"/>
      </rPr>
      <t xml:space="preserve">a)  Capital payments </t>
    </r>
    <r>
      <rPr>
        <sz val="9"/>
        <rFont val="Arial Narrow"/>
        <family val="2"/>
      </rPr>
      <t>(including deposit) 
…………………………………………………………………..</t>
    </r>
  </si>
  <si>
    <r>
      <rPr>
        <b/>
        <sz val="9"/>
        <rFont val="Arial Narrow"/>
        <family val="2"/>
      </rPr>
      <t>d)</t>
    </r>
    <r>
      <rPr>
        <sz val="9"/>
        <rFont val="Arial Narrow"/>
        <family val="2"/>
      </rPr>
      <t xml:space="preserve"> Payment for right to </t>
    </r>
    <r>
      <rPr>
        <b/>
        <sz val="9"/>
        <rFont val="Arial Narrow"/>
        <family val="2"/>
      </rPr>
      <t>access a piece of land</t>
    </r>
    <r>
      <rPr>
        <sz val="9"/>
        <rFont val="Arial Narrow"/>
        <family val="2"/>
      </rPr>
      <t xml:space="preserve"> (tribal/shacks) 
……………………………………………………………………………</t>
    </r>
  </si>
  <si>
    <t>Dwelling Number</t>
  </si>
  <si>
    <t>Charcoal</t>
  </si>
  <si>
    <t>Natural disaster (flooding, etc.)</t>
  </si>
  <si>
    <r>
      <rPr>
        <b/>
        <sz val="9"/>
        <rFont val="Arial Narrow"/>
        <family val="2"/>
      </rPr>
      <t>What type of illness or accident did you/ [NAME] suffer from during the last 30 days?</t>
    </r>
    <r>
      <rPr>
        <sz val="9"/>
        <rFont val="Arial Narrow"/>
        <family val="2"/>
      </rPr>
      <t xml:space="preserve">
WRITE UP TO THREE ILLNESSES/ ACCIDENTS BEGINNING WITH THE MOST SEVERE </t>
    </r>
  </si>
  <si>
    <r>
      <rPr>
        <b/>
        <sz val="9"/>
        <rFont val="Arial Narrow"/>
        <family val="2"/>
      </rPr>
      <t>Do you/ [NAME] suffer from any of the following chronic illnesses?</t>
    </r>
    <r>
      <rPr>
        <sz val="9"/>
        <rFont val="Arial Narrow"/>
        <family val="2"/>
      </rPr>
      <t xml:space="preserve"> WRITE UP TO THREE  CHRONIC ILLNESSES BEGINNING WITH THE MOST SEVERE </t>
    </r>
  </si>
  <si>
    <t>How old were you [NAME] when you became chronically ill? REFER TO THE MOST SERIOUS (1st Column)</t>
  </si>
  <si>
    <r>
      <t xml:space="preserve">Using your usual (customary) language, do you/ [NAME] have difficulty </t>
    </r>
    <r>
      <rPr>
        <b/>
        <u/>
        <sz val="9"/>
        <rFont val="Arial Narrow"/>
        <family val="2"/>
      </rPr>
      <t>communicating</t>
    </r>
    <r>
      <rPr>
        <b/>
        <sz val="9"/>
        <rFont val="Arial Narrow"/>
        <family val="2"/>
      </rPr>
      <t xml:space="preserve">, for example understanding or being understood? </t>
    </r>
    <r>
      <rPr>
        <b/>
        <sz val="8"/>
        <rFont val="Arial Narrow"/>
        <family val="2"/>
      </rPr>
      <t>PERSONS 4 YEARS AND ABOVE</t>
    </r>
  </si>
  <si>
    <t>How many months did (NAME) work on this job during the past 12 months?    IF &lt; 1MONTH WRITE ZERO</t>
  </si>
  <si>
    <t>How far is the work in km or how long does it take you to get to this work from home?</t>
  </si>
  <si>
    <t>► NEXT WAGE/SALARY JOB.     IF NO OTHER WAGE/SALARY JOB ► NEXT PERSON, Q6.01</t>
  </si>
  <si>
    <t>State special maintenance grants (Disability under 16 years)</t>
  </si>
  <si>
    <r>
      <t>Radios (including vehicle radios), tape recorders, CD players, iPods and similar equipment.</t>
    </r>
    <r>
      <rPr>
        <sz val="9"/>
        <color rgb="FFFF0000"/>
        <rFont val="Arial Narrow"/>
        <family val="2"/>
      </rPr>
      <t xml:space="preserve"> </t>
    </r>
  </si>
  <si>
    <r>
      <rPr>
        <sz val="9"/>
        <rFont val="Arial Narrow"/>
        <family val="2"/>
      </rPr>
      <t>Magnetic tapes</t>
    </r>
    <r>
      <rPr>
        <sz val="9"/>
        <color theme="1"/>
        <rFont val="Arial Narrow"/>
        <family val="2"/>
      </rPr>
      <t xml:space="preserve"> and CD's.</t>
    </r>
  </si>
  <si>
    <t>Subscription to pay TV channels/subscription or payment for Netflix, iTunes, other internet sites, etc.</t>
  </si>
  <si>
    <t>Training courses for persons not attending education full-time, and adult education classes</t>
  </si>
  <si>
    <t>Parking fees (including vehicle watch)</t>
  </si>
  <si>
    <t>Installation of vehicle air-conditioning</t>
  </si>
  <si>
    <t>Installation of vehicle security systems</t>
  </si>
  <si>
    <t>Gifts for persons who are not members of this household (including cash gifts)</t>
  </si>
  <si>
    <t>|__|__|__|</t>
  </si>
  <si>
    <t xml:space="preserve">b) Cash subsidy or value of subsidy (value of reduced rent) 
</t>
  </si>
  <si>
    <t>Boat/Ship/
Canoe           10</t>
  </si>
  <si>
    <t>Other (Specify) 11</t>
  </si>
  <si>
    <t>Riding horse/</t>
  </si>
  <si>
    <t>donkey/mule</t>
  </si>
  <si>
    <t>Constituency Name</t>
  </si>
  <si>
    <t>Household Number</t>
  </si>
  <si>
    <t>Wild fruits, 
vegetables, tubers</t>
  </si>
  <si>
    <t>SEE REGION CODES FROM CODE LIST</t>
  </si>
  <si>
    <t>In the past 7 days, were there times when you or any household member did not have enough food or money to have food?</t>
  </si>
  <si>
    <t>SEE CODES FROM CODE LIST</t>
  </si>
  <si>
    <r>
      <t xml:space="preserve">What´s the total number of years [NAME] has studied (including repetitions ) ?               </t>
    </r>
    <r>
      <rPr>
        <sz val="9"/>
        <rFont val="Arial Narrow"/>
        <family val="2"/>
      </rPr>
      <t xml:space="preserve">   DO NOT COUNT THE CURRENT SCHOOL YEAR</t>
    </r>
  </si>
  <si>
    <t xml:space="preserve"> How far is the school or university in km, or how long does it take [NAME] to get to this school or university by the method used, one way?</t>
  </si>
  <si>
    <r>
      <t xml:space="preserve">Do you/ [NAME] have difficulty </t>
    </r>
    <r>
      <rPr>
        <b/>
        <u/>
        <sz val="9"/>
        <rFont val="Arial Narrow"/>
        <family val="2"/>
      </rPr>
      <t>seeing</t>
    </r>
    <r>
      <rPr>
        <b/>
        <sz val="9"/>
        <rFont val="Arial Narrow"/>
        <family val="2"/>
      </rPr>
      <t xml:space="preserve">, even if wearing glasses or contact lenses? </t>
    </r>
  </si>
  <si>
    <t>IF LESS THAN ONE PER DAY WRITE "0"</t>
  </si>
  <si>
    <t>Have you acquired or made payment on [ITEM/ SERVICE] during the past 3 months?</t>
  </si>
  <si>
    <t>► 2.08</t>
  </si>
  <si>
    <t>ASK QUESTION 13.03 FOR ALL ITEMS FIRST, AND THEN ASK QUESTIONS 13.04 - 13.07 FOR ITEMS WHERE THE ANSWER TO 13.03 WAS YES</t>
  </si>
  <si>
    <t>Other Crop or Product (Specify)……</t>
  </si>
  <si>
    <t>Hourly</t>
  </si>
  <si>
    <t>Weekly</t>
  </si>
  <si>
    <t>Fortnightly</t>
  </si>
  <si>
    <t>Monthly</t>
  </si>
  <si>
    <t>What were the annual housing costs for all dwellings occupied by this household, over the past 12 months, for the following ……? If your household has moved in the past 12 months or occupied more than one dwelling, please record the costs of all dwellings in the past 12 months.</t>
  </si>
  <si>
    <r>
      <rPr>
        <b/>
        <sz val="9"/>
        <rFont val="Arial Narrow"/>
        <family val="2"/>
      </rPr>
      <t>b) Additions and alterations</t>
    </r>
    <r>
      <rPr>
        <sz val="8"/>
        <rFont val="Arial Narrow"/>
        <family val="2"/>
      </rPr>
      <t xml:space="preserve"> (including installation of built-in furniture, solar energy systems, swimming pools, steps and garden lay-outs, tiles, wall-to-all carpets)  
</t>
    </r>
  </si>
  <si>
    <r>
      <rPr>
        <b/>
        <sz val="9"/>
        <rFont val="Arial Narrow"/>
        <family val="2"/>
      </rPr>
      <t>e) Security services</t>
    </r>
    <r>
      <rPr>
        <sz val="8"/>
        <rFont val="Arial Narrow"/>
        <family val="2"/>
      </rPr>
      <t xml:space="preserve"> (including reaction services, security systems, and neighbourhood watch) 
</t>
    </r>
  </si>
  <si>
    <t>Segment</t>
  </si>
  <si>
    <t>Did  the household cope with not enough food, or money to buy food in the past 7 days by [COPING OPTION]...?</t>
  </si>
  <si>
    <r>
      <t>►</t>
    </r>
    <r>
      <rPr>
        <b/>
        <sz val="9"/>
        <rFont val="Arial Narrow"/>
        <family val="2"/>
      </rPr>
      <t xml:space="preserve"> 2.19</t>
    </r>
  </si>
  <si>
    <t>a) Which time period does (NAME) get paid in his/her job?</t>
  </si>
  <si>
    <t>b) How much is (NAME)’s gross income in his/her main job? (WRITE AMOUNT IN N$ PER MONTH)</t>
  </si>
  <si>
    <t>b) What is the value of those payments?  (WRITE AMOUNT IN N$ PER MONTH)</t>
  </si>
  <si>
    <t>a) Which time period did this payment cover?</t>
  </si>
  <si>
    <r>
      <t>How much have you or any household member paid for the [ITEM/ SERVICE] that you have bought or paid for</t>
    </r>
    <r>
      <rPr>
        <b/>
        <u/>
        <sz val="8"/>
        <rFont val="Arial Narrow"/>
        <family val="2"/>
      </rPr>
      <t xml:space="preserve"> in the past month</t>
    </r>
    <r>
      <rPr>
        <b/>
        <sz val="8"/>
        <rFont val="Arial Narrow"/>
        <family val="2"/>
      </rPr>
      <t>?</t>
    </r>
  </si>
  <si>
    <r>
      <t>How much have you or any househod member paid for the [ITEM/ SERVICE] that you have bought or paid for</t>
    </r>
    <r>
      <rPr>
        <b/>
        <u/>
        <sz val="8"/>
        <rFont val="Arial Narrow"/>
        <family val="2"/>
      </rPr>
      <t xml:space="preserve"> in the past 12 months</t>
    </r>
    <r>
      <rPr>
        <b/>
        <sz val="8"/>
        <rFont val="Arial Narrow"/>
        <family val="2"/>
      </rPr>
      <t>?</t>
    </r>
  </si>
  <si>
    <t>d) Total Annual Cost (a to c):</t>
  </si>
  <si>
    <t xml:space="preserve">
</t>
  </si>
  <si>
    <t xml:space="preserve">c)Additional single amount paid to bank/building society regarding your mortgage bond:
</t>
  </si>
  <si>
    <t>What was the main source of this …[FOOD]...?</t>
  </si>
  <si>
    <t xml:space="preserve">ASK FOR YOUNGEST CHILD, IF MORE THAN ONE ASK FOR ONE </t>
  </si>
  <si>
    <t>What are the names, starting with the household head, of all the people who usually live in this household including new borns and people temporarily absent (ABSENT LESS THAN SIX MONTHS)             WRITE DOWN THE FIRST NAME AND SURNAME OF EACH MEMBER OF THE HOUSEHOLD, STARTING WITH THE HEAD</t>
  </si>
  <si>
    <t>NOT A HOUSEHOLD MEMBER</t>
  </si>
  <si>
    <t>From Employer</t>
  </si>
  <si>
    <r>
      <t xml:space="preserve">Do you/ [NAME] have difficulty </t>
    </r>
    <r>
      <rPr>
        <b/>
        <u/>
        <sz val="9"/>
        <rFont val="Arial Narrow"/>
        <family val="2"/>
      </rPr>
      <t>hearing</t>
    </r>
    <r>
      <rPr>
        <b/>
        <sz val="9"/>
        <rFont val="Arial Narrow"/>
        <family val="2"/>
      </rPr>
      <t>, even if using a hearing aid?    PERSONS 2 YEARS AND ABOVE</t>
    </r>
  </si>
  <si>
    <r>
      <t xml:space="preserve"> Do you/ [NAME] have difficulty </t>
    </r>
    <r>
      <rPr>
        <b/>
        <u/>
        <sz val="9"/>
        <rFont val="Arial Narrow"/>
        <family val="2"/>
      </rPr>
      <t>remembering or concentrating</t>
    </r>
    <r>
      <rPr>
        <b/>
        <sz val="9"/>
        <rFont val="Arial Narrow"/>
        <family val="2"/>
      </rPr>
      <t>? PERSONS 2 YEARS AND ABOVE</t>
    </r>
  </si>
  <si>
    <t>Estimate the value of private use of a company or similar vehicle (this  could include taking children to school, fetching water or food for the household, or other uses of a vehicle for private purposes not linked to work).  Please estimate the cost if the household were to hire a car or run a private care for these uses.</t>
  </si>
  <si>
    <t xml:space="preserve"> IF AMOUNT UNKNOWN ENTER 999</t>
  </si>
  <si>
    <r>
      <t xml:space="preserve">How much was </t>
    </r>
    <r>
      <rPr>
        <b/>
        <u/>
        <sz val="8"/>
        <rFont val="Arial Narrow"/>
        <family val="2"/>
      </rPr>
      <t>contributed by an employer</t>
    </r>
    <r>
      <rPr>
        <b/>
        <sz val="8"/>
        <rFont val="Arial Narrow"/>
        <family val="2"/>
      </rPr>
      <t xml:space="preserve"> for</t>
    </r>
    <r>
      <rPr>
        <b/>
        <u/>
        <sz val="8"/>
        <rFont val="Arial Narrow"/>
        <family val="2"/>
      </rPr>
      <t xml:space="preserve"> subscriptions and premiums </t>
    </r>
    <r>
      <rPr>
        <b/>
        <sz val="8"/>
        <rFont val="Arial Narrow"/>
        <family val="2"/>
      </rPr>
      <t>for household members in the last 12 months? IF DON'T KNOW ENTER 999</t>
    </r>
  </si>
  <si>
    <t xml:space="preserve">Is this dwelling owned, whether fully paid off or NOT by this household? </t>
  </si>
  <si>
    <t>How much of [CROP] did the household or any household member possess in the past 12 months?</t>
  </si>
  <si>
    <t>How much of the [CROP] possessed was used for your household consumption in the past 12 months?</t>
  </si>
  <si>
    <t>How much of the [CROP] possessed was given away in the past 12 months?</t>
  </si>
  <si>
    <t xml:space="preserve">FOR PERSONS &lt;18 YEARS </t>
  </si>
  <si>
    <t>Why could [NAME] no longer attend school ? FOR PERSONS WHO DROPPED OUT  BEFORE FINISHING GRADE 12,  RECORD UP TO TWO REASONS (WHERE APPLICABLE)</t>
  </si>
  <si>
    <t>Sedan</t>
  </si>
  <si>
    <t>Work In Household Agriculture</t>
  </si>
  <si>
    <t>Work In Non-Agriculture  Household Enterprise</t>
  </si>
  <si>
    <t>Other Relative (Specify___)</t>
  </si>
  <si>
    <t>Back /Joint/ Neck Pain</t>
  </si>
  <si>
    <t>Attended school/ university or training courses</t>
  </si>
  <si>
    <t>A private company, enterprise, commercial farm or cooperative?</t>
  </si>
  <si>
    <t>Tiles</t>
  </si>
  <si>
    <t>Battery lamp / Torch / Cell phone</t>
  </si>
  <si>
    <t>Other Personal Services Expenses &amp; Goods (Specify)</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</si>
</sst>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0.00_-;_-* #,##0.00\-;_-* &quot;-&quot;??_-;_-@_-"/>
    <numFmt numFmtId="165" formatCode="00"/>
    <numFmt numFmtId="166" formatCode="0.00_);\(0.00\)"/>
    <numFmt numFmtId="167" formatCode="0_);\(0\)"/>
    <numFmt numFmtId="168" formatCode="_-&quot;fl&quot;\ * #,##0_-;_-&quot;fl&quot;\ * #,##0\-;_-&quot;fl&quot;\ * &quot;-&quot;_-;_-@_-"/>
    <numFmt numFmtId="169" formatCode="_-&quot;fl&quot;\ * #,##0.00_-;_-&quot;fl&quot;\ * #,##0.00\-;_-&quot;fl&quot;\ * &quot;-&quot;??_-;_-@_-"/>
    <numFmt numFmtId="170" formatCode="[$-409]General"/>
  </numFmts>
  <fonts count="14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sz val="8"/>
      <name val="Arial"/>
      <family val="2"/>
    </font>
    <font>
      <b/>
      <sz val="10"/>
      <name val="Arial"/>
      <family val="2"/>
    </font>
    <font>
      <b/>
      <sz val="14"/>
      <name val="Arial"/>
      <family val="2"/>
    </font>
    <font>
      <sz val="12"/>
      <name val="Arial"/>
      <family val="2"/>
    </font>
    <font>
      <sz val="14"/>
      <name val="Arial"/>
      <family val="2"/>
    </font>
    <font>
      <sz val="8"/>
      <name val="Arial Narrow"/>
      <family val="2"/>
    </font>
    <font>
      <b/>
      <sz val="8"/>
      <name val="Arial Narrow"/>
      <family val="2"/>
    </font>
    <font>
      <i/>
      <sz val="8"/>
      <name val="Arial Narrow"/>
      <family val="2"/>
    </font>
    <font>
      <b/>
      <sz val="12"/>
      <color indexed="9"/>
      <name val="Arial"/>
      <family val="2"/>
    </font>
    <font>
      <u/>
      <sz val="8"/>
      <name val="Arial Narrow"/>
      <family val="2"/>
    </font>
    <font>
      <b/>
      <u/>
      <sz val="8"/>
      <name val="Arial Narrow"/>
      <family val="2"/>
    </font>
    <font>
      <sz val="10"/>
      <name val="Arial Narrow"/>
      <family val="2"/>
    </font>
    <font>
      <sz val="9"/>
      <name val="Arial"/>
      <family val="2"/>
    </font>
    <font>
      <b/>
      <sz val="10"/>
      <name val="Arial Narrow"/>
      <family val="2"/>
    </font>
    <font>
      <i/>
      <sz val="10"/>
      <name val="Arial"/>
      <family val="2"/>
    </font>
    <font>
      <sz val="10"/>
      <name val="Calibri"/>
      <family val="2"/>
    </font>
    <font>
      <sz val="12"/>
      <name val="Arial Narrow"/>
      <family val="2"/>
    </font>
    <font>
      <b/>
      <sz val="10"/>
      <color indexed="9"/>
      <name val="Arial Narrow"/>
      <family val="2"/>
    </font>
    <font>
      <sz val="11"/>
      <name val="Arial"/>
      <family val="2"/>
    </font>
    <font>
      <b/>
      <sz val="20"/>
      <name val="Calibri"/>
      <family val="2"/>
    </font>
    <font>
      <sz val="7"/>
      <name val="Arial Narrow"/>
      <family val="2"/>
    </font>
    <font>
      <b/>
      <sz val="9"/>
      <name val="Arial Narrow"/>
      <family val="2"/>
    </font>
    <font>
      <sz val="9"/>
      <name val="Arial Narrow"/>
      <family val="2"/>
    </font>
    <font>
      <sz val="10"/>
      <name val="Verdana"/>
      <family val="2"/>
    </font>
    <font>
      <sz val="8"/>
      <color indexed="60"/>
      <name val="Arial Narrow"/>
      <family val="2"/>
    </font>
    <font>
      <sz val="8"/>
      <color rgb="FFFF0000"/>
      <name val="Arial Narrow"/>
      <family val="2"/>
    </font>
    <font>
      <b/>
      <sz val="10"/>
      <color theme="0"/>
      <name val="Arial Narrow"/>
      <family val="2"/>
    </font>
    <font>
      <sz val="8"/>
      <color rgb="FF00B050"/>
      <name val="Arial Narrow"/>
      <family val="2"/>
    </font>
    <font>
      <sz val="9"/>
      <name val="Times New Roman"/>
      <family val="1"/>
    </font>
    <font>
      <sz val="10"/>
      <name val="Times New Roman"/>
      <family val="1"/>
    </font>
    <font>
      <b/>
      <sz val="8"/>
      <name val="Arial"/>
      <family val="2"/>
    </font>
    <font>
      <b/>
      <sz val="10"/>
      <name val="Times New Roman"/>
      <family val="1"/>
    </font>
    <font>
      <sz val="8"/>
      <color theme="1"/>
      <name val="Arial Narrow"/>
      <family val="2"/>
    </font>
    <font>
      <sz val="11"/>
      <color theme="1"/>
      <name val="Arial Narrow"/>
      <family val="2"/>
    </font>
    <font>
      <sz val="8"/>
      <name val="Courier New"/>
      <family val="3"/>
    </font>
    <font>
      <b/>
      <sz val="11"/>
      <color indexed="63"/>
      <name val="Calibri"/>
      <family val="2"/>
    </font>
    <font>
      <b/>
      <sz val="11"/>
      <color indexed="52"/>
      <name val="Calibri"/>
      <family val="2"/>
    </font>
    <font>
      <sz val="11"/>
      <color indexed="62"/>
      <name val="Calibri"/>
      <family val="2"/>
    </font>
    <font>
      <b/>
      <sz val="11"/>
      <color indexed="8"/>
      <name val="Calibri"/>
      <family val="2"/>
    </font>
    <font>
      <b/>
      <u/>
      <sz val="11"/>
      <name val="Arial"/>
      <family val="2"/>
    </font>
    <font>
      <u/>
      <sz val="9"/>
      <name val="Arial Narrow"/>
      <family val="2"/>
    </font>
    <font>
      <sz val="10"/>
      <color rgb="FF222222"/>
      <name val="Tahoma"/>
      <family val="2"/>
    </font>
    <font>
      <sz val="10"/>
      <color rgb="FF500050"/>
      <name val="Tahoma"/>
      <family val="2"/>
    </font>
    <font>
      <b/>
      <sz val="14"/>
      <name val="Arial Narrow"/>
      <family val="2"/>
    </font>
    <font>
      <b/>
      <sz val="12"/>
      <name val="Arial Narrow"/>
      <family val="2"/>
    </font>
    <font>
      <sz val="11"/>
      <color theme="1"/>
      <name val="Calibri"/>
      <family val="2"/>
      <charset val="178"/>
      <scheme val="minor"/>
    </font>
    <font>
      <sz val="11"/>
      <color theme="1"/>
      <name val="Calibri"/>
      <family val="2"/>
    </font>
    <font>
      <sz val="10"/>
      <name val="Arial"/>
      <family val="2"/>
    </font>
    <font>
      <b/>
      <sz val="9"/>
      <name val="Arial"/>
      <family val="2"/>
    </font>
    <font>
      <b/>
      <sz val="11"/>
      <name val="Arial Narrow"/>
      <family val="2"/>
    </font>
    <font>
      <sz val="11"/>
      <name val="Arial Narrow"/>
      <family val="2"/>
    </font>
    <font>
      <sz val="6"/>
      <name val="Arial Narrow"/>
      <family val="2"/>
    </font>
    <font>
      <b/>
      <sz val="7"/>
      <name val="Arial Narrow"/>
      <family val="2"/>
    </font>
    <font>
      <b/>
      <sz val="10.5"/>
      <color rgb="FF000000"/>
      <name val="Arial"/>
      <family val="2"/>
    </font>
    <font>
      <b/>
      <sz val="11"/>
      <color indexed="9"/>
      <name val="Calibri"/>
      <family val="2"/>
    </font>
    <font>
      <sz val="8"/>
      <color rgb="FF000000"/>
      <name val="Arial Narrow"/>
      <family val="2"/>
    </font>
    <font>
      <sz val="11"/>
      <color indexed="52"/>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0"/>
      <name val="Calibri"/>
      <family val="2"/>
    </font>
    <font>
      <sz val="11"/>
      <color indexed="20"/>
      <name val="Calibri"/>
      <family val="2"/>
    </font>
    <font>
      <b/>
      <sz val="18"/>
      <color indexed="56"/>
      <name val="Cambria"/>
      <family val="2"/>
    </font>
    <font>
      <i/>
      <sz val="11"/>
      <color indexed="23"/>
      <name val="Calibri"/>
      <family val="2"/>
    </font>
    <font>
      <sz val="11"/>
      <color indexed="10"/>
      <name val="Calibri"/>
      <family val="2"/>
    </font>
    <font>
      <sz val="10"/>
      <color theme="1"/>
      <name val="Arial"/>
      <family val="2"/>
    </font>
    <font>
      <sz val="10"/>
      <name val="AL-Jabr Font Title"/>
      <charset val="178"/>
    </font>
    <font>
      <sz val="8"/>
      <name val="MCS Erwah S_U normal."/>
      <charset val="178"/>
    </font>
    <font>
      <b/>
      <sz val="10"/>
      <name val="AL-Jabr Font Title"/>
      <charset val="178"/>
    </font>
    <font>
      <b/>
      <sz val="10"/>
      <name val="Arial"/>
      <family val="2"/>
      <charset val="178"/>
    </font>
    <font>
      <b/>
      <sz val="12"/>
      <name val="AL-Jabr Font Title"/>
      <charset val="178"/>
    </font>
    <font>
      <b/>
      <sz val="8"/>
      <color rgb="FFFF0000"/>
      <name val="Arial Narrow"/>
      <family val="2"/>
    </font>
    <font>
      <sz val="11"/>
      <name val="MCS Erwah S_U normal."/>
      <charset val="178"/>
    </font>
    <font>
      <sz val="10"/>
      <name val="MCS Erwah S_U normal."/>
      <charset val="178"/>
    </font>
    <font>
      <b/>
      <sz val="11"/>
      <name val="Arial"/>
      <family val="2"/>
      <charset val="178"/>
    </font>
    <font>
      <sz val="11"/>
      <name val="mohammad bold art 1"/>
    </font>
    <font>
      <b/>
      <sz val="18"/>
      <name val="Arial"/>
      <family val="2"/>
    </font>
    <font>
      <u/>
      <sz val="8"/>
      <name val="Arial"/>
      <family val="2"/>
    </font>
    <font>
      <sz val="11"/>
      <color theme="1"/>
      <name val="Arial"/>
      <family val="2"/>
    </font>
    <font>
      <sz val="9"/>
      <color theme="1"/>
      <name val="Arial"/>
      <family val="2"/>
    </font>
    <font>
      <sz val="8"/>
      <color theme="1"/>
      <name val="Arial"/>
      <family val="2"/>
    </font>
    <font>
      <b/>
      <i/>
      <sz val="9"/>
      <name val="Arial"/>
      <family val="2"/>
    </font>
    <font>
      <b/>
      <i/>
      <sz val="12"/>
      <name val="Arial Narrow"/>
      <family val="2"/>
    </font>
    <font>
      <sz val="7"/>
      <color indexed="8"/>
      <name val="Arial Narrow"/>
      <family val="2"/>
    </font>
    <font>
      <sz val="13"/>
      <name val="Arial Narrow"/>
      <family val="2"/>
    </font>
    <font>
      <b/>
      <u/>
      <sz val="7"/>
      <name val="Arial Narrow"/>
      <family val="2"/>
    </font>
    <font>
      <sz val="11"/>
      <color indexed="8"/>
      <name val="Calibri"/>
      <family val="2"/>
    </font>
    <font>
      <sz val="11"/>
      <color indexed="9"/>
      <name val="Calibri"/>
      <family val="2"/>
    </font>
    <font>
      <i/>
      <sz val="9"/>
      <name val="Arial Narrow"/>
      <family val="2"/>
    </font>
    <font>
      <b/>
      <sz val="9"/>
      <color theme="1"/>
      <name val="Arial"/>
      <family val="2"/>
    </font>
    <font>
      <i/>
      <sz val="8"/>
      <color theme="1"/>
      <name val="Arial"/>
      <family val="2"/>
    </font>
    <font>
      <sz val="9"/>
      <color theme="1"/>
      <name val="Arial Narrow"/>
      <family val="2"/>
    </font>
    <font>
      <i/>
      <sz val="9"/>
      <name val="Arial"/>
      <family val="2"/>
    </font>
    <font>
      <sz val="10"/>
      <color theme="1"/>
      <name val="Arial Narrow"/>
      <family val="2"/>
    </font>
    <font>
      <b/>
      <sz val="12"/>
      <color theme="1"/>
      <name val="Arial Narrow"/>
      <family val="2"/>
    </font>
    <font>
      <u/>
      <sz val="8"/>
      <color theme="1"/>
      <name val="Arial Narrow"/>
      <family val="2"/>
    </font>
    <font>
      <i/>
      <sz val="10"/>
      <name val="Arial Narrow"/>
      <family val="2"/>
    </font>
    <font>
      <b/>
      <sz val="8"/>
      <color theme="1"/>
      <name val="Arial Narrow"/>
      <family val="2"/>
    </font>
    <font>
      <b/>
      <u/>
      <sz val="10"/>
      <name val="Arial"/>
      <family val="2"/>
    </font>
    <font>
      <u/>
      <sz val="7"/>
      <name val="Arial Narrow"/>
      <family val="2"/>
    </font>
    <font>
      <sz val="11"/>
      <color rgb="FF1F497D"/>
      <name val="Calibri"/>
      <family val="2"/>
    </font>
    <font>
      <sz val="11"/>
      <color rgb="FFE36C0A"/>
      <name val="Calibri"/>
      <family val="2"/>
    </font>
    <font>
      <sz val="11"/>
      <color rgb="FF222222"/>
      <name val="Calibri"/>
      <family val="2"/>
    </font>
    <font>
      <b/>
      <i/>
      <sz val="7"/>
      <name val="Arial"/>
      <family val="2"/>
    </font>
    <font>
      <i/>
      <sz val="7"/>
      <name val="Arial Narrow"/>
      <family val="2"/>
    </font>
    <font>
      <sz val="9"/>
      <color rgb="FFFF0000"/>
      <name val="Arial Narrow"/>
      <family val="2"/>
    </font>
    <font>
      <sz val="11"/>
      <name val="Calibri"/>
      <family val="2"/>
    </font>
    <font>
      <b/>
      <u/>
      <sz val="9"/>
      <name val="Arial Narrow"/>
      <family val="2"/>
    </font>
    <font>
      <b/>
      <sz val="12"/>
      <color theme="1"/>
      <name val="Arial"/>
      <family val="2"/>
    </font>
    <font>
      <b/>
      <sz val="10"/>
      <name val="Calibri"/>
      <family val="2"/>
    </font>
    <font>
      <b/>
      <sz val="13"/>
      <name val="Arial"/>
      <family val="2"/>
    </font>
    <font>
      <b/>
      <sz val="11"/>
      <color theme="1"/>
      <name val="Calibri"/>
      <family val="2"/>
      <scheme val="minor"/>
    </font>
    <font>
      <i/>
      <sz val="11"/>
      <color theme="1"/>
      <name val="Calibri"/>
      <family val="2"/>
      <scheme val="minor"/>
    </font>
    <font>
      <b/>
      <sz val="9"/>
      <color theme="1"/>
      <name val="Arial Narrow"/>
      <family val="2"/>
    </font>
    <font>
      <b/>
      <i/>
      <sz val="8"/>
      <color theme="1"/>
      <name val="Arial Narrow"/>
      <family val="2"/>
    </font>
    <font>
      <sz val="9"/>
      <color indexed="81"/>
      <name val="Tahoma"/>
      <family val="2"/>
    </font>
    <font>
      <b/>
      <sz val="9"/>
      <color indexed="81"/>
      <name val="Tahoma"/>
      <family val="2"/>
    </font>
    <font>
      <b/>
      <sz val="10"/>
      <color theme="1"/>
      <name val="Arial Narrow"/>
      <family val="2"/>
    </font>
    <font>
      <b/>
      <u/>
      <sz val="9"/>
      <color theme="1"/>
      <name val="Arial Narrow"/>
      <family val="2"/>
    </font>
    <font>
      <sz val="8"/>
      <color indexed="8"/>
      <name val="Arial Narrow"/>
      <family val="2"/>
    </font>
    <font>
      <b/>
      <sz val="8"/>
      <color indexed="9"/>
      <name val="Arial"/>
      <family val="2"/>
    </font>
    <font>
      <b/>
      <sz val="11"/>
      <name val="Arial"/>
      <family val="2"/>
    </font>
    <font>
      <b/>
      <sz val="11"/>
      <color indexed="9"/>
      <name val="Arial"/>
      <family val="2"/>
    </font>
    <font>
      <b/>
      <sz val="8"/>
      <name val="Arial Black"/>
      <family val="2"/>
    </font>
  </fonts>
  <fills count="47">
    <fill>
      <patternFill patternType="none"/>
    </fill>
    <fill>
      <patternFill patternType="gray125"/>
    </fill>
    <fill>
      <patternFill patternType="solid">
        <fgColor indexed="9"/>
        <bgColor indexed="64"/>
      </patternFill>
    </fill>
    <fill>
      <patternFill patternType="solid">
        <fgColor indexed="55"/>
        <bgColor indexed="64"/>
      </patternFill>
    </fill>
    <fill>
      <patternFill patternType="solid">
        <fgColor indexed="26"/>
        <bgColor indexed="64"/>
      </patternFill>
    </fill>
    <fill>
      <patternFill patternType="solid">
        <fgColor indexed="23"/>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22"/>
      </patternFill>
    </fill>
    <fill>
      <patternFill patternType="solid">
        <fgColor indexed="47"/>
      </patternFill>
    </fill>
    <fill>
      <patternFill patternType="solid">
        <fgColor indexed="26"/>
      </patternFill>
    </fill>
    <fill>
      <patternFill patternType="solid">
        <fgColor theme="9" tint="0.59999389629810485"/>
        <bgColor indexed="64"/>
      </patternFill>
    </fill>
    <fill>
      <patternFill patternType="solid">
        <fgColor indexed="55"/>
      </patternFill>
    </fill>
    <fill>
      <patternFill patternType="solid">
        <fgColor indexed="42"/>
      </patternFill>
    </fill>
    <fill>
      <patternFill patternType="solid">
        <fgColor indexed="43"/>
      </patternFill>
    </fill>
    <fill>
      <patternFill patternType="solid">
        <fgColor indexed="45"/>
      </patternFill>
    </fill>
    <fill>
      <patternFill patternType="solid">
        <fgColor theme="4" tint="0.79998168889431442"/>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rgb="FF9DF1F1"/>
        <bgColor indexed="64"/>
      </patternFill>
    </fill>
    <fill>
      <patternFill patternType="solid">
        <fgColor theme="0" tint="-4.9989318521683403E-2"/>
        <bgColor indexed="64"/>
      </patternFill>
    </fill>
    <fill>
      <patternFill patternType="solid">
        <fgColor indexed="31"/>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theme="9" tint="0.39997558519241921"/>
        <bgColor indexed="64"/>
      </patternFill>
    </fill>
    <fill>
      <patternFill patternType="solid">
        <fgColor theme="9" tint="0.79998168889431442"/>
        <bgColor indexed="64"/>
      </patternFill>
    </fill>
    <fill>
      <patternFill patternType="solid">
        <fgColor theme="6" tint="0.59996337778862885"/>
        <bgColor indexed="64"/>
      </patternFill>
    </fill>
    <fill>
      <patternFill patternType="solid">
        <fgColor rgb="FF92D050"/>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rgb="FFC00000"/>
        <bgColor indexed="64"/>
      </patternFill>
    </fill>
    <fill>
      <patternFill patternType="solid">
        <fgColor theme="3" tint="0.79998168889431442"/>
        <bgColor indexed="64"/>
      </patternFill>
    </fill>
    <fill>
      <patternFill patternType="solid">
        <fgColor theme="2"/>
        <bgColor indexed="64"/>
      </patternFill>
    </fill>
  </fills>
  <borders count="432">
    <border>
      <left/>
      <right/>
      <top/>
      <bottom/>
      <diagonal/>
    </border>
    <border>
      <left style="thin">
        <color indexed="64"/>
      </left>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hair">
        <color indexed="64"/>
      </left>
      <right/>
      <top style="thin">
        <color indexed="64"/>
      </top>
      <bottom style="thin">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hair">
        <color auto="1"/>
      </top>
      <bottom/>
      <diagonal/>
    </border>
    <border>
      <left/>
      <right/>
      <top/>
      <bottom style="hair">
        <color auto="1"/>
      </bottom>
      <diagonal/>
    </border>
    <border>
      <left/>
      <right style="thin">
        <color indexed="64"/>
      </right>
      <top/>
      <bottom style="hair">
        <color auto="1"/>
      </bottom>
      <diagonal/>
    </border>
    <border>
      <left/>
      <right/>
      <top style="hair">
        <color auto="1"/>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right/>
      <top style="thin">
        <color indexed="64"/>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top style="hair">
        <color auto="1"/>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auto="1"/>
      </bottom>
      <diagonal/>
    </border>
    <border>
      <left/>
      <right/>
      <top style="hair">
        <color auto="1"/>
      </top>
      <bottom style="hair">
        <color auto="1"/>
      </bottom>
      <diagonal/>
    </border>
    <border>
      <left/>
      <right/>
      <top style="hair">
        <color indexed="64"/>
      </top>
      <bottom style="hair">
        <color indexed="64"/>
      </bottom>
      <diagonal/>
    </border>
    <border>
      <left/>
      <right style="thin">
        <color indexed="64"/>
      </right>
      <top/>
      <bottom style="hair">
        <color indexed="64"/>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style="thick">
        <color indexed="64"/>
      </right>
      <top style="medium">
        <color indexed="64"/>
      </top>
      <bottom style="medium">
        <color indexed="64"/>
      </bottom>
      <diagonal/>
    </border>
    <border>
      <left/>
      <right style="thick">
        <color indexed="64"/>
      </right>
      <top/>
      <bottom/>
      <diagonal/>
    </border>
    <border>
      <left/>
      <right style="thick">
        <color indexed="64"/>
      </right>
      <top/>
      <bottom style="hair">
        <color indexed="64"/>
      </bottom>
      <diagonal/>
    </border>
    <border>
      <left/>
      <right style="thick">
        <color indexed="64"/>
      </right>
      <top style="hair">
        <color indexed="64"/>
      </top>
      <bottom style="hair">
        <color indexed="64"/>
      </bottom>
      <diagonal/>
    </border>
    <border>
      <left/>
      <right/>
      <top/>
      <bottom style="medium">
        <color auto="1"/>
      </bottom>
      <diagonal/>
    </border>
    <border>
      <left/>
      <right style="thick">
        <color indexed="64"/>
      </right>
      <top/>
      <bottom style="medium">
        <color indexed="64"/>
      </bottom>
      <diagonal/>
    </border>
    <border>
      <left/>
      <right style="thick">
        <color indexed="64"/>
      </right>
      <top style="thin">
        <color indexed="64"/>
      </top>
      <bottom style="thin">
        <color indexed="64"/>
      </bottom>
      <diagonal/>
    </border>
    <border>
      <left/>
      <right style="thick">
        <color indexed="64"/>
      </right>
      <top style="thin">
        <color indexed="64"/>
      </top>
      <bottom/>
      <diagonal/>
    </border>
    <border>
      <left/>
      <right style="thick">
        <color indexed="64"/>
      </right>
      <top style="thin">
        <color indexed="64"/>
      </top>
      <bottom style="medium">
        <color indexed="64"/>
      </bottom>
      <diagonal/>
    </border>
    <border>
      <left/>
      <right style="thick">
        <color indexed="64"/>
      </right>
      <top style="medium">
        <color indexed="64"/>
      </top>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bottom/>
      <diagonal/>
    </border>
    <border>
      <left/>
      <right style="thick">
        <color indexed="64"/>
      </right>
      <top style="medium">
        <color indexed="64"/>
      </top>
      <bottom style="thin">
        <color indexed="64"/>
      </bottom>
      <diagonal/>
    </border>
    <border>
      <left/>
      <right style="thick">
        <color indexed="64"/>
      </right>
      <top style="hair">
        <color indexed="64"/>
      </top>
      <bottom/>
      <diagonal/>
    </border>
    <border>
      <left/>
      <right style="hair">
        <color indexed="64"/>
      </right>
      <top style="thin">
        <color indexed="64"/>
      </top>
      <bottom style="thin">
        <color indexed="64"/>
      </bottom>
      <diagonal/>
    </border>
    <border>
      <left/>
      <right style="thin">
        <color indexed="64"/>
      </right>
      <top/>
      <bottom style="medium">
        <color auto="1"/>
      </bottom>
      <diagonal/>
    </border>
    <border>
      <left style="thin">
        <color indexed="64"/>
      </left>
      <right/>
      <top/>
      <bottom style="medium">
        <color auto="1"/>
      </bottom>
      <diagonal/>
    </border>
    <border>
      <left/>
      <right style="medium">
        <color indexed="64"/>
      </right>
      <top/>
      <bottom style="medium">
        <color indexed="64"/>
      </bottom>
      <diagonal/>
    </border>
    <border>
      <left/>
      <right/>
      <top style="thin">
        <color auto="1"/>
      </top>
      <bottom/>
      <diagonal/>
    </border>
    <border>
      <left/>
      <right style="thin">
        <color auto="1"/>
      </right>
      <top style="thin">
        <color auto="1"/>
      </top>
      <bottom/>
      <diagonal/>
    </border>
    <border>
      <left style="double">
        <color indexed="64"/>
      </left>
      <right/>
      <top style="double">
        <color indexed="64"/>
      </top>
      <bottom/>
      <diagonal/>
    </border>
    <border>
      <left style="double">
        <color indexed="64"/>
      </left>
      <right/>
      <top/>
      <bottom/>
      <diagonal/>
    </border>
    <border>
      <left/>
      <right style="double">
        <color indexed="64"/>
      </right>
      <top style="double">
        <color indexed="64"/>
      </top>
      <bottom/>
      <diagonal/>
    </border>
    <border>
      <left/>
      <right/>
      <top style="double">
        <color indexed="64"/>
      </top>
      <bottom/>
      <diagonal/>
    </border>
    <border>
      <left/>
      <right style="double">
        <color indexed="64"/>
      </right>
      <top/>
      <bottom/>
      <diagonal/>
    </border>
    <border>
      <left style="thin">
        <color indexed="64"/>
      </left>
      <right style="medium">
        <color indexed="64"/>
      </right>
      <top style="hair">
        <color indexed="64"/>
      </top>
      <bottom style="hair">
        <color indexed="64"/>
      </bottom>
      <diagonal/>
    </border>
    <border>
      <left style="hair">
        <color indexed="64"/>
      </left>
      <right/>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style="medium">
        <color indexed="64"/>
      </right>
      <top style="medium">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style="medium">
        <color indexed="64"/>
      </bottom>
      <diagonal/>
    </border>
    <border>
      <left style="hair">
        <color indexed="64"/>
      </left>
      <right style="hair">
        <color indexed="64"/>
      </right>
      <top style="medium">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hair">
        <color auto="1"/>
      </top>
      <bottom style="hair">
        <color auto="1"/>
      </bottom>
      <diagonal/>
    </border>
    <border>
      <left/>
      <right style="thin">
        <color indexed="64"/>
      </right>
      <top/>
      <bottom style="hair">
        <color indexed="64"/>
      </bottom>
      <diagonal/>
    </border>
    <border>
      <left style="hair">
        <color indexed="64"/>
      </left>
      <right style="thin">
        <color indexed="64"/>
      </right>
      <top style="thin">
        <color indexed="64"/>
      </top>
      <bottom style="thin">
        <color indexed="64"/>
      </bottom>
      <diagonal/>
    </border>
    <border>
      <left style="thin">
        <color indexed="64"/>
      </left>
      <right/>
      <top/>
      <bottom style="hair">
        <color auto="1"/>
      </bottom>
      <diagonal/>
    </border>
    <border>
      <left/>
      <right style="thin">
        <color auto="1"/>
      </right>
      <top style="hair">
        <color auto="1"/>
      </top>
      <bottom style="hair">
        <color auto="1"/>
      </bottom>
      <diagonal/>
    </border>
    <border>
      <left/>
      <right style="medium">
        <color indexed="64"/>
      </right>
      <top style="thin">
        <color indexed="64"/>
      </top>
      <bottom/>
      <diagonal/>
    </border>
    <border>
      <left/>
      <right/>
      <top style="hair">
        <color indexed="12"/>
      </top>
      <bottom/>
      <diagonal/>
    </border>
    <border>
      <left style="thin">
        <color indexed="64"/>
      </left>
      <right/>
      <top style="hair">
        <color indexed="64"/>
      </top>
      <bottom/>
      <diagonal/>
    </border>
    <border>
      <left style="double">
        <color indexed="64"/>
      </left>
      <right/>
      <top style="thin">
        <color indexed="64"/>
      </top>
      <bottom style="thin">
        <color indexed="64"/>
      </bottom>
      <diagonal/>
    </border>
    <border>
      <left/>
      <right/>
      <top style="hair">
        <color auto="1"/>
      </top>
      <bottom style="hair">
        <color auto="1"/>
      </bottom>
      <diagonal/>
    </border>
    <border>
      <left/>
      <right/>
      <top/>
      <bottom style="hair">
        <color indexed="64"/>
      </bottom>
      <diagonal/>
    </border>
    <border>
      <left style="medium">
        <color indexed="64"/>
      </left>
      <right style="medium">
        <color indexed="64"/>
      </right>
      <top style="thin">
        <color indexed="64"/>
      </top>
      <bottom/>
      <diagonal/>
    </border>
    <border>
      <left style="thin">
        <color auto="1"/>
      </left>
      <right/>
      <top style="hair">
        <color auto="1"/>
      </top>
      <bottom style="hair">
        <color auto="1"/>
      </bottom>
      <diagonal/>
    </border>
    <border>
      <left/>
      <right style="thin">
        <color indexed="64"/>
      </right>
      <top style="hair">
        <color indexed="64"/>
      </top>
      <bottom style="hair">
        <color indexed="64"/>
      </bottom>
      <diagonal/>
    </border>
    <border>
      <left style="medium">
        <color indexed="64"/>
      </left>
      <right/>
      <top/>
      <bottom style="hair">
        <color auto="1"/>
      </bottom>
      <diagonal/>
    </border>
    <border>
      <left style="thin">
        <color indexed="64"/>
      </left>
      <right style="medium">
        <color indexed="64"/>
      </right>
      <top style="medium">
        <color indexed="64"/>
      </top>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auto="1"/>
      </left>
      <right/>
      <top style="hair">
        <color auto="1"/>
      </top>
      <bottom style="hair">
        <color auto="1"/>
      </bottom>
      <diagonal/>
    </border>
    <border>
      <left style="hair">
        <color indexed="64"/>
      </left>
      <right/>
      <top style="thin">
        <color indexed="64"/>
      </top>
      <bottom style="medium">
        <color indexed="64"/>
      </bottom>
      <diagonal/>
    </border>
    <border>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right/>
      <top style="hair">
        <color indexed="64"/>
      </top>
      <bottom style="hair">
        <color indexed="64"/>
      </bottom>
      <diagonal/>
    </border>
    <border>
      <left style="thin">
        <color indexed="64"/>
      </left>
      <right/>
      <top style="hair">
        <color indexed="64"/>
      </top>
      <bottom/>
      <diagonal/>
    </border>
    <border>
      <left style="hair">
        <color indexed="64"/>
      </left>
      <right/>
      <top style="medium">
        <color indexed="64"/>
      </top>
      <bottom style="thin">
        <color indexed="64"/>
      </bottom>
      <diagonal/>
    </border>
    <border>
      <left/>
      <right style="hair">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thin">
        <color indexed="64"/>
      </left>
      <right style="thin">
        <color indexed="64"/>
      </right>
      <top style="hair">
        <color auto="1"/>
      </top>
      <bottom/>
      <diagonal/>
    </border>
    <border>
      <left style="thin">
        <color indexed="64"/>
      </left>
      <right style="medium">
        <color indexed="64"/>
      </right>
      <top style="hair">
        <color auto="1"/>
      </top>
      <bottom/>
      <diagonal/>
    </border>
    <border>
      <left/>
      <right style="thin">
        <color indexed="64"/>
      </right>
      <top style="hair">
        <color indexed="12"/>
      </top>
      <bottom/>
      <diagonal/>
    </border>
    <border>
      <left style="thin">
        <color indexed="64"/>
      </left>
      <right/>
      <top style="hair">
        <color indexed="12"/>
      </top>
      <bottom/>
      <diagonal/>
    </border>
    <border>
      <left/>
      <right style="thin">
        <color indexed="64"/>
      </right>
      <top style="hair">
        <color indexed="64"/>
      </top>
      <bottom/>
      <diagonal/>
    </border>
    <border>
      <left style="thin">
        <color indexed="64"/>
      </left>
      <right/>
      <top style="hair">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thin">
        <color indexed="64"/>
      </bottom>
      <diagonal/>
    </border>
    <border>
      <left/>
      <right/>
      <top/>
      <bottom style="double">
        <color indexed="64"/>
      </bottom>
      <diagonal/>
    </border>
    <border>
      <left style="double">
        <color indexed="64"/>
      </left>
      <right/>
      <top/>
      <bottom style="double">
        <color indexed="64"/>
      </bottom>
      <diagonal/>
    </border>
    <border>
      <left/>
      <right style="medium">
        <color indexed="64"/>
      </right>
      <top/>
      <bottom style="hair">
        <color auto="1"/>
      </bottom>
      <diagonal/>
    </border>
    <border>
      <left/>
      <right style="medium">
        <color indexed="64"/>
      </right>
      <top style="thin">
        <color auto="1"/>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medium">
        <color indexed="64"/>
      </right>
      <top style="thin">
        <color indexed="64"/>
      </top>
      <bottom/>
      <diagonal/>
    </border>
    <border>
      <left style="medium">
        <color indexed="64"/>
      </left>
      <right style="hair">
        <color indexed="64"/>
      </right>
      <top style="double">
        <color indexed="64"/>
      </top>
      <bottom style="thin">
        <color indexed="64"/>
      </bottom>
      <diagonal/>
    </border>
    <border>
      <left style="hair">
        <color indexed="64"/>
      </left>
      <right style="hair">
        <color indexed="64"/>
      </right>
      <top style="double">
        <color indexed="64"/>
      </top>
      <bottom style="thin">
        <color indexed="64"/>
      </bottom>
      <diagonal/>
    </border>
    <border>
      <left style="hair">
        <color indexed="64"/>
      </left>
      <right style="medium">
        <color indexed="64"/>
      </right>
      <top style="double">
        <color indexed="64"/>
      </top>
      <bottom style="thin">
        <color indexed="64"/>
      </bottom>
      <diagonal/>
    </border>
    <border>
      <left style="medium">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medium">
        <color indexed="64"/>
      </right>
      <top style="thin">
        <color indexed="64"/>
      </top>
      <bottom style="double">
        <color indexed="64"/>
      </bottom>
      <diagonal/>
    </border>
    <border>
      <left style="medium">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medium">
        <color indexed="64"/>
      </right>
      <top/>
      <bottom style="thin">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hair">
        <color auto="1"/>
      </top>
      <bottom style="hair">
        <color auto="1"/>
      </bottom>
      <diagonal/>
    </border>
    <border>
      <left style="thin">
        <color indexed="64"/>
      </left>
      <right/>
      <top style="hair">
        <color indexed="64"/>
      </top>
      <bottom style="hair">
        <color auto="1"/>
      </bottom>
      <diagonal/>
    </border>
    <border>
      <left style="medium">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thin">
        <color indexed="64"/>
      </left>
      <right/>
      <top/>
      <bottom style="hair">
        <color indexed="12"/>
      </bottom>
      <diagonal/>
    </border>
    <border>
      <left/>
      <right/>
      <top/>
      <bottom style="hair">
        <color indexed="12"/>
      </bottom>
      <diagonal/>
    </border>
    <border>
      <left/>
      <right style="thin">
        <color indexed="64"/>
      </right>
      <top/>
      <bottom style="hair">
        <color indexed="12"/>
      </bottom>
      <diagonal/>
    </border>
    <border>
      <left style="thin">
        <color auto="1"/>
      </left>
      <right/>
      <top style="hair">
        <color auto="1"/>
      </top>
      <bottom style="hair">
        <color auto="1"/>
      </bottom>
      <diagonal/>
    </border>
    <border>
      <left style="thin">
        <color auto="1"/>
      </left>
      <right/>
      <top style="hair">
        <color auto="1"/>
      </top>
      <bottom style="hair">
        <color auto="1"/>
      </bottom>
      <diagonal/>
    </border>
    <border>
      <left style="thin">
        <color indexed="64"/>
      </left>
      <right/>
      <top style="hair">
        <color indexed="12"/>
      </top>
      <bottom style="hair">
        <color indexed="12"/>
      </bottom>
      <diagonal/>
    </border>
    <border>
      <left/>
      <right/>
      <top style="hair">
        <color indexed="12"/>
      </top>
      <bottom style="hair">
        <color indexed="12"/>
      </bottom>
      <diagonal/>
    </border>
    <border>
      <left/>
      <right style="thin">
        <color indexed="64"/>
      </right>
      <top style="hair">
        <color indexed="12"/>
      </top>
      <bottom style="hair">
        <color indexed="12"/>
      </bottom>
      <diagonal/>
    </border>
    <border>
      <left style="thin">
        <color auto="1"/>
      </left>
      <right/>
      <top style="hair">
        <color auto="1"/>
      </top>
      <bottom style="hair">
        <color auto="1"/>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12"/>
      </top>
      <bottom/>
      <diagonal/>
    </border>
    <border>
      <left/>
      <right style="thin">
        <color indexed="64"/>
      </right>
      <top style="hair">
        <color indexed="12"/>
      </top>
      <bottom/>
      <diagonal/>
    </border>
    <border>
      <left/>
      <right/>
      <top style="hair">
        <color indexed="12"/>
      </top>
      <bottom/>
      <diagonal/>
    </border>
    <border>
      <left style="thin">
        <color auto="1"/>
      </left>
      <right/>
      <top style="hair">
        <color auto="1"/>
      </top>
      <bottom style="hair">
        <color auto="1"/>
      </bottom>
      <diagonal/>
    </border>
    <border>
      <left style="thin">
        <color auto="1"/>
      </left>
      <right/>
      <top style="hair">
        <color auto="1"/>
      </top>
      <bottom style="hair">
        <color auto="1"/>
      </bottom>
      <diagonal/>
    </border>
    <border>
      <left/>
      <right/>
      <top style="hair">
        <color indexed="12"/>
      </top>
      <bottom/>
      <diagonal/>
    </border>
    <border>
      <left/>
      <right style="thin">
        <color indexed="64"/>
      </right>
      <top style="hair">
        <color indexed="12"/>
      </top>
      <bottom/>
      <diagonal/>
    </border>
    <border>
      <left style="thin">
        <color auto="1"/>
      </left>
      <right/>
      <top style="hair">
        <color auto="1"/>
      </top>
      <bottom style="hair">
        <color auto="1"/>
      </bottom>
      <diagonal/>
    </border>
    <border>
      <left style="thin">
        <color indexed="64"/>
      </left>
      <right/>
      <top style="hair">
        <color indexed="12"/>
      </top>
      <bottom style="hair">
        <color indexed="12"/>
      </bottom>
      <diagonal/>
    </border>
    <border>
      <left/>
      <right style="thin">
        <color indexed="64"/>
      </right>
      <top style="hair">
        <color indexed="12"/>
      </top>
      <bottom style="hair">
        <color indexed="12"/>
      </bottom>
      <diagonal/>
    </border>
    <border>
      <left style="thin">
        <color indexed="64"/>
      </left>
      <right/>
      <top style="hair">
        <color indexed="12"/>
      </top>
      <bottom/>
      <diagonal/>
    </border>
    <border>
      <left/>
      <right style="thin">
        <color indexed="64"/>
      </right>
      <top style="hair">
        <color indexed="12"/>
      </top>
      <bottom/>
      <diagonal/>
    </border>
    <border>
      <left style="thin">
        <color indexed="64"/>
      </left>
      <right/>
      <top style="hair">
        <color indexed="64"/>
      </top>
      <bottom/>
      <diagonal/>
    </border>
    <border>
      <left/>
      <right style="medium">
        <color indexed="64"/>
      </right>
      <top style="hair">
        <color auto="1"/>
      </top>
      <bottom style="hair">
        <color auto="1"/>
      </bottom>
      <diagonal/>
    </border>
    <border>
      <left style="thin">
        <color auto="1"/>
      </left>
      <right/>
      <top style="hair">
        <color auto="1"/>
      </top>
      <bottom style="hair">
        <color auto="1"/>
      </bottom>
      <diagonal/>
    </border>
    <border>
      <left style="thin">
        <color indexed="64"/>
      </left>
      <right/>
      <top style="hair">
        <color indexed="64"/>
      </top>
      <bottom style="hair">
        <color auto="1"/>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auto="1"/>
      </top>
      <bottom style="hair">
        <color auto="1"/>
      </bottom>
      <diagonal/>
    </border>
    <border>
      <left/>
      <right style="thin">
        <color indexed="64"/>
      </right>
      <top style="hair">
        <color auto="1"/>
      </top>
      <bottom style="hair">
        <color auto="1"/>
      </bottom>
      <diagonal/>
    </border>
    <border>
      <left/>
      <right style="thin">
        <color indexed="64"/>
      </right>
      <top style="hair">
        <color auto="1"/>
      </top>
      <bottom/>
      <diagonal/>
    </border>
    <border>
      <left style="thin">
        <color auto="1"/>
      </left>
      <right/>
      <top style="hair">
        <color auto="1"/>
      </top>
      <bottom style="hair">
        <color auto="1"/>
      </bottom>
      <diagonal/>
    </border>
    <border>
      <left/>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right style="thick">
        <color indexed="64"/>
      </right>
      <top/>
      <bottom style="hair">
        <color indexed="64"/>
      </bottom>
      <diagonal/>
    </border>
    <border>
      <left/>
      <right/>
      <top style="thin">
        <color indexed="64"/>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top style="hair">
        <color auto="1"/>
      </top>
      <bottom style="hair">
        <color auto="1"/>
      </bottom>
      <diagonal/>
    </border>
    <border>
      <left style="thin">
        <color indexed="64"/>
      </left>
      <right/>
      <top style="thin">
        <color indexed="64"/>
      </top>
      <bottom style="hair">
        <color indexed="64"/>
      </bottom>
      <diagonal/>
    </border>
    <border>
      <left/>
      <right style="thick">
        <color indexed="64"/>
      </right>
      <top style="thin">
        <color indexed="64"/>
      </top>
      <bottom style="hair">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hair">
        <color auto="1"/>
      </bottom>
      <diagonal/>
    </border>
    <border>
      <left/>
      <right/>
      <top/>
      <bottom style="hair">
        <color auto="1"/>
      </bottom>
      <diagonal/>
    </border>
    <border>
      <left/>
      <right style="thin">
        <color auto="1"/>
      </right>
      <top/>
      <bottom style="hair">
        <color auto="1"/>
      </bottom>
      <diagonal/>
    </border>
    <border>
      <left/>
      <right/>
      <top style="hair">
        <color indexed="12"/>
      </top>
      <bottom style="hair">
        <color indexed="12"/>
      </bottom>
      <diagonal/>
    </border>
    <border>
      <left/>
      <right/>
      <top style="hair">
        <color indexed="12"/>
      </top>
      <bottom/>
      <diagonal/>
    </border>
    <border>
      <left/>
      <right/>
      <top style="hair">
        <color auto="1"/>
      </top>
      <bottom/>
      <diagonal/>
    </border>
    <border>
      <left style="thin">
        <color indexed="64"/>
      </left>
      <right/>
      <top style="hair">
        <color auto="1"/>
      </top>
      <bottom style="hair">
        <color auto="1"/>
      </bottom>
      <diagonal/>
    </border>
    <border>
      <left/>
      <right style="thin">
        <color indexed="64"/>
      </right>
      <top style="hair">
        <color auto="1"/>
      </top>
      <bottom style="hair">
        <color auto="1"/>
      </bottom>
      <diagonal/>
    </border>
    <border>
      <left style="thin">
        <color indexed="64"/>
      </left>
      <right/>
      <top style="hair">
        <color auto="1"/>
      </top>
      <bottom/>
      <diagonal/>
    </border>
    <border>
      <left/>
      <right style="thin">
        <color indexed="64"/>
      </right>
      <top style="hair">
        <color auto="1"/>
      </top>
      <bottom/>
      <diagonal/>
    </border>
    <border>
      <left/>
      <right style="medium">
        <color indexed="64"/>
      </right>
      <top style="hair">
        <color auto="1"/>
      </top>
      <bottom/>
      <diagonal/>
    </border>
    <border>
      <left/>
      <right/>
      <top style="hair">
        <color auto="1"/>
      </top>
      <bottom style="hair">
        <color indexed="64"/>
      </bottom>
      <diagonal/>
    </border>
    <border>
      <left/>
      <right style="thin">
        <color indexed="64"/>
      </right>
      <top/>
      <bottom style="hair">
        <color auto="1"/>
      </bottom>
      <diagonal/>
    </border>
    <border>
      <left style="hair">
        <color indexed="64"/>
      </left>
      <right style="thin">
        <color indexed="64"/>
      </right>
      <top/>
      <bottom style="thin">
        <color indexed="64"/>
      </bottom>
      <diagonal/>
    </border>
    <border>
      <left/>
      <right/>
      <top style="hair">
        <color auto="1"/>
      </top>
      <bottom style="medium">
        <color auto="1"/>
      </bottom>
      <diagonal/>
    </border>
    <border>
      <left/>
      <right style="medium">
        <color indexed="64"/>
      </right>
      <top style="hair">
        <color auto="1"/>
      </top>
      <bottom style="hair">
        <color auto="1"/>
      </bottom>
      <diagonal/>
    </border>
    <border>
      <left/>
      <right style="thin">
        <color indexed="64"/>
      </right>
      <top style="hair">
        <color auto="1"/>
      </top>
      <bottom style="medium">
        <color auto="1"/>
      </bottom>
      <diagonal/>
    </border>
    <border>
      <left/>
      <right/>
      <top style="hair">
        <color indexed="64"/>
      </top>
      <bottom style="thin">
        <color indexed="64"/>
      </bottom>
      <diagonal/>
    </border>
    <border>
      <left style="hair">
        <color auto="1"/>
      </left>
      <right/>
      <top style="hair">
        <color auto="1"/>
      </top>
      <bottom/>
      <diagonal/>
    </border>
    <border>
      <left style="medium">
        <color indexed="64"/>
      </left>
      <right/>
      <top style="hair">
        <color auto="1"/>
      </top>
      <bottom style="hair">
        <color auto="1"/>
      </bottom>
      <diagonal/>
    </border>
    <border>
      <left style="medium">
        <color indexed="64"/>
      </left>
      <right/>
      <top style="hair">
        <color auto="1"/>
      </top>
      <bottom/>
      <diagonal/>
    </border>
    <border>
      <left/>
      <right style="medium">
        <color indexed="64"/>
      </right>
      <top style="hair">
        <color auto="1"/>
      </top>
      <bottom style="medium">
        <color indexed="64"/>
      </bottom>
      <diagonal/>
    </border>
    <border>
      <left style="thin">
        <color indexed="64"/>
      </left>
      <right/>
      <top style="hair">
        <color indexed="64"/>
      </top>
      <bottom style="hair">
        <color auto="1"/>
      </bottom>
      <diagonal/>
    </border>
    <border>
      <left style="thin">
        <color indexed="64"/>
      </left>
      <right/>
      <top/>
      <bottom style="hair">
        <color auto="1"/>
      </bottom>
      <diagonal/>
    </border>
    <border>
      <left/>
      <right style="medium">
        <color indexed="64"/>
      </right>
      <top/>
      <bottom style="hair">
        <color auto="1"/>
      </bottom>
      <diagonal/>
    </border>
    <border>
      <left style="hair">
        <color auto="1"/>
      </left>
      <right/>
      <top/>
      <bottom style="hair">
        <color auto="1"/>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medium">
        <color indexed="64"/>
      </left>
      <right/>
      <top style="hair">
        <color indexed="64"/>
      </top>
      <bottom style="medium">
        <color indexed="64"/>
      </bottom>
      <diagonal/>
    </border>
    <border>
      <left style="double">
        <color indexed="64"/>
      </left>
      <right/>
      <top style="medium">
        <color indexed="64"/>
      </top>
      <bottom style="thin">
        <color indexed="64"/>
      </bottom>
      <diagonal/>
    </border>
    <border>
      <left style="double">
        <color indexed="64"/>
      </left>
      <right/>
      <top style="thin">
        <color indexed="64"/>
      </top>
      <bottom style="medium">
        <color indexed="64"/>
      </bottom>
      <diagonal/>
    </border>
    <border>
      <left style="double">
        <color indexed="64"/>
      </left>
      <right/>
      <top style="medium">
        <color indexed="64"/>
      </top>
      <bottom/>
      <diagonal/>
    </border>
    <border>
      <left style="double">
        <color indexed="64"/>
      </left>
      <right/>
      <top/>
      <bottom style="hair">
        <color indexed="64"/>
      </bottom>
      <diagonal/>
    </border>
    <border>
      <left style="double">
        <color indexed="64"/>
      </left>
      <right/>
      <top/>
      <bottom style="medium">
        <color indexed="64"/>
      </bottom>
      <diagonal/>
    </border>
    <border>
      <left style="thin">
        <color indexed="64"/>
      </left>
      <right style="thin">
        <color indexed="64"/>
      </right>
      <top style="hair">
        <color auto="1"/>
      </top>
      <bottom style="hair">
        <color indexed="64"/>
      </bottom>
      <diagonal/>
    </border>
    <border>
      <left/>
      <right style="thin">
        <color indexed="64"/>
      </right>
      <top style="hair">
        <color indexed="64"/>
      </top>
      <bottom style="thin">
        <color indexed="64"/>
      </bottom>
      <diagonal/>
    </border>
    <border>
      <left style="thin">
        <color indexed="64"/>
      </left>
      <right/>
      <top style="hair">
        <color indexed="64"/>
      </top>
      <bottom/>
      <diagonal/>
    </border>
    <border>
      <left/>
      <right/>
      <top style="hair">
        <color auto="1"/>
      </top>
      <bottom style="hair">
        <color indexed="64"/>
      </bottom>
      <diagonal/>
    </border>
    <border>
      <left/>
      <right/>
      <top/>
      <bottom style="hair">
        <color indexed="64"/>
      </bottom>
      <diagonal/>
    </border>
    <border>
      <left/>
      <right style="thin">
        <color auto="1"/>
      </right>
      <top/>
      <bottom style="hair">
        <color indexed="64"/>
      </bottom>
      <diagonal/>
    </border>
    <border>
      <left/>
      <right/>
      <top style="hair">
        <color indexed="64"/>
      </top>
      <bottom style="hair">
        <color indexed="64"/>
      </bottom>
      <diagonal/>
    </border>
    <border>
      <left style="thin">
        <color indexed="64"/>
      </left>
      <right/>
      <top/>
      <bottom style="hair">
        <color indexed="64"/>
      </bottom>
      <diagonal/>
    </border>
    <border>
      <left style="thin">
        <color auto="1"/>
      </left>
      <right/>
      <top style="hair">
        <color auto="1"/>
      </top>
      <bottom style="hair">
        <color auto="1"/>
      </bottom>
      <diagonal/>
    </border>
    <border>
      <left/>
      <right style="thin">
        <color indexed="64"/>
      </right>
      <top style="hair">
        <color auto="1"/>
      </top>
      <bottom style="hair">
        <color auto="1"/>
      </bottom>
      <diagonal/>
    </border>
    <border>
      <left/>
      <right/>
      <top style="hair">
        <color auto="1"/>
      </top>
      <bottom style="hair">
        <color auto="1"/>
      </bottom>
      <diagonal/>
    </border>
    <border>
      <left/>
      <right style="medium">
        <color indexed="64"/>
      </right>
      <top/>
      <bottom style="hair">
        <color auto="1"/>
      </bottom>
      <diagonal/>
    </border>
    <border>
      <left style="medium">
        <color indexed="64"/>
      </left>
      <right/>
      <top style="hair">
        <color indexed="64"/>
      </top>
      <bottom style="hair">
        <color indexed="64"/>
      </bottom>
      <diagonal/>
    </border>
    <border>
      <left/>
      <right/>
      <top style="hair">
        <color auto="1"/>
      </top>
      <bottom style="medium">
        <color indexed="64"/>
      </bottom>
      <diagonal/>
    </border>
    <border>
      <left style="thin">
        <color indexed="64"/>
      </left>
      <right/>
      <top style="hair">
        <color indexed="64"/>
      </top>
      <bottom/>
      <diagonal/>
    </border>
    <border>
      <left/>
      <right/>
      <top style="hair">
        <color auto="1"/>
      </top>
      <bottom style="hair">
        <color auto="1"/>
      </bottom>
      <diagonal/>
    </border>
    <border>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style="hair">
        <color indexed="64"/>
      </left>
      <right/>
      <top style="thin">
        <color indexed="64"/>
      </top>
      <bottom/>
      <diagonal/>
    </border>
    <border>
      <left/>
      <right style="thin">
        <color indexed="64"/>
      </right>
      <top style="double">
        <color indexed="64"/>
      </top>
      <bottom/>
      <diagonal/>
    </border>
    <border>
      <left style="hair">
        <color indexed="64"/>
      </left>
      <right/>
      <top style="double">
        <color indexed="64"/>
      </top>
      <bottom style="thin">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hair">
        <color indexed="64"/>
      </left>
      <right/>
      <top style="thin">
        <color indexed="64"/>
      </top>
      <bottom style="double">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right style="hair">
        <color indexed="64"/>
      </right>
      <top/>
      <bottom style="thin">
        <color indexed="64"/>
      </bottom>
      <diagonal/>
    </border>
    <border>
      <left/>
      <right style="hair">
        <color indexed="64"/>
      </right>
      <top style="double">
        <color indexed="64"/>
      </top>
      <bottom style="thin">
        <color indexed="64"/>
      </bottom>
      <diagonal/>
    </border>
    <border>
      <left style="hair">
        <color indexed="64"/>
      </left>
      <right style="thin">
        <color indexed="64"/>
      </right>
      <top style="double">
        <color indexed="64"/>
      </top>
      <bottom style="thin">
        <color indexed="64"/>
      </bottom>
      <diagonal/>
    </border>
    <border>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ck">
        <color indexed="64"/>
      </left>
      <right/>
      <top/>
      <bottom style="thin">
        <color indexed="64"/>
      </bottom>
      <diagonal/>
    </border>
    <border>
      <left style="medium">
        <color indexed="64"/>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right style="medium">
        <color indexed="64"/>
      </right>
      <top style="hair">
        <color auto="1"/>
      </top>
      <bottom/>
      <diagonal/>
    </border>
    <border>
      <left/>
      <right style="medium">
        <color indexed="64"/>
      </right>
      <top/>
      <bottom style="hair">
        <color auto="1"/>
      </bottom>
      <diagonal/>
    </border>
    <border>
      <left/>
      <right/>
      <top style="hair">
        <color auto="1"/>
      </top>
      <bottom style="hair">
        <color indexed="64"/>
      </bottom>
      <diagonal/>
    </border>
    <border>
      <left style="medium">
        <color indexed="64"/>
      </left>
      <right/>
      <top style="hair">
        <color indexed="64"/>
      </top>
      <bottom/>
      <diagonal/>
    </border>
    <border>
      <left style="medium">
        <color indexed="64"/>
      </left>
      <right/>
      <top/>
      <bottom style="hair">
        <color auto="1"/>
      </bottom>
      <diagonal/>
    </border>
    <border>
      <left/>
      <right/>
      <top style="hair">
        <color auto="1"/>
      </top>
      <bottom/>
      <diagonal/>
    </border>
    <border>
      <left/>
      <right/>
      <top/>
      <bottom style="hair">
        <color indexed="64"/>
      </bottom>
      <diagonal/>
    </border>
    <border>
      <left/>
      <right style="medium">
        <color indexed="64"/>
      </right>
      <top style="hair">
        <color auto="1"/>
      </top>
      <bottom style="hair">
        <color indexed="64"/>
      </bottom>
      <diagonal/>
    </border>
    <border>
      <left style="thin">
        <color indexed="64"/>
      </left>
      <right style="thin">
        <color indexed="64"/>
      </right>
      <top style="hair">
        <color auto="1"/>
      </top>
      <bottom/>
      <diagonal/>
    </border>
    <border>
      <left style="thin">
        <color indexed="64"/>
      </left>
      <right style="thin">
        <color indexed="64"/>
      </right>
      <top/>
      <bottom style="hair">
        <color indexed="64"/>
      </bottom>
      <diagonal/>
    </border>
    <border>
      <left style="medium">
        <color indexed="64"/>
      </left>
      <right style="hair">
        <color indexed="64"/>
      </right>
      <top/>
      <bottom style="medium">
        <color rgb="FF000000"/>
      </bottom>
      <diagonal/>
    </border>
    <border>
      <left style="hair">
        <color indexed="64"/>
      </left>
      <right style="hair">
        <color indexed="64"/>
      </right>
      <top/>
      <bottom style="medium">
        <color rgb="FF000000"/>
      </bottom>
      <diagonal/>
    </border>
    <border>
      <left style="hair">
        <color indexed="64"/>
      </left>
      <right style="medium">
        <color indexed="64"/>
      </right>
      <top/>
      <bottom style="medium">
        <color rgb="FF000000"/>
      </bottom>
      <diagonal/>
    </border>
    <border>
      <left style="medium">
        <color indexed="64"/>
      </left>
      <right style="thin">
        <color indexed="64"/>
      </right>
      <top/>
      <bottom style="double">
        <color indexed="64"/>
      </bottom>
      <diagonal/>
    </border>
    <border>
      <left/>
      <right/>
      <top/>
      <bottom style="hair">
        <color auto="1"/>
      </bottom>
      <diagonal/>
    </border>
    <border>
      <left/>
      <right style="medium">
        <color indexed="64"/>
      </right>
      <top/>
      <bottom style="medium">
        <color indexed="64"/>
      </bottom>
      <diagonal/>
    </border>
    <border>
      <left style="thin">
        <color indexed="64"/>
      </left>
      <right/>
      <top style="hair">
        <color indexed="64"/>
      </top>
      <bottom/>
      <diagonal/>
    </border>
    <border>
      <left style="double">
        <color indexed="64"/>
      </left>
      <right/>
      <top style="double">
        <color indexed="64"/>
      </top>
      <bottom style="medium">
        <color indexed="64"/>
      </bottom>
      <diagonal/>
    </border>
    <border>
      <left/>
      <right/>
      <top style="double">
        <color indexed="64"/>
      </top>
      <bottom style="medium">
        <color indexed="64"/>
      </bottom>
      <diagonal/>
    </border>
    <border>
      <left/>
      <right style="double">
        <color indexed="64"/>
      </right>
      <top style="double">
        <color indexed="64"/>
      </top>
      <bottom style="medium">
        <color indexed="64"/>
      </bottom>
      <diagonal/>
    </border>
    <border>
      <left style="hair">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double">
        <color indexed="64"/>
      </bottom>
      <diagonal/>
    </border>
    <border>
      <left style="thin">
        <color indexed="64"/>
      </left>
      <right/>
      <top/>
      <bottom style="medium">
        <color auto="1"/>
      </bottom>
      <diagonal/>
    </border>
    <border>
      <left/>
      <right style="thin">
        <color indexed="64"/>
      </right>
      <top style="hair">
        <color indexed="64"/>
      </top>
      <bottom style="medium">
        <color indexed="64"/>
      </bottom>
      <diagonal/>
    </border>
    <border>
      <left/>
      <right style="thick">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medium">
        <color indexed="64"/>
      </top>
      <bottom/>
      <diagonal/>
    </border>
    <border>
      <left style="thick">
        <color indexed="64"/>
      </left>
      <right style="thin">
        <color indexed="64"/>
      </right>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style="thin">
        <color indexed="64"/>
      </right>
      <top style="thin">
        <color indexed="64"/>
      </top>
      <bottom style="hair">
        <color indexed="64"/>
      </bottom>
      <diagonal/>
    </border>
    <border>
      <left/>
      <right style="double">
        <color indexed="64"/>
      </right>
      <top style="thin">
        <color indexed="64"/>
      </top>
      <bottom style="thin">
        <color indexed="64"/>
      </bottom>
      <diagonal/>
    </border>
    <border>
      <left/>
      <right/>
      <top/>
      <bottom style="hair">
        <color auto="1"/>
      </bottom>
      <diagonal/>
    </border>
    <border>
      <left/>
      <right style="thin">
        <color indexed="64"/>
      </right>
      <top/>
      <bottom style="hair">
        <color auto="1"/>
      </bottom>
      <diagonal/>
    </border>
    <border>
      <left style="thin">
        <color auto="1"/>
      </left>
      <right/>
      <top style="double">
        <color indexed="64"/>
      </top>
      <bottom/>
      <diagonal/>
    </border>
    <border>
      <left style="double">
        <color indexed="64"/>
      </left>
      <right/>
      <top/>
      <bottom style="thin">
        <color auto="1"/>
      </bottom>
      <diagonal/>
    </border>
    <border>
      <left style="hair">
        <color indexed="64"/>
      </left>
      <right/>
      <top style="medium">
        <color indexed="64"/>
      </top>
      <bottom/>
      <diagonal/>
    </border>
    <border>
      <left style="double">
        <color indexed="64"/>
      </left>
      <right/>
      <top style="hair">
        <color indexed="64"/>
      </top>
      <bottom/>
      <diagonal/>
    </border>
    <border>
      <left style="double">
        <color indexed="64"/>
      </left>
      <right/>
      <top style="hair">
        <color indexed="64"/>
      </top>
      <bottom style="hair">
        <color auto="1"/>
      </bottom>
      <diagonal/>
    </border>
    <border>
      <left style="thin">
        <color auto="1"/>
      </left>
      <right/>
      <top style="hair">
        <color indexed="12"/>
      </top>
      <bottom/>
      <diagonal/>
    </border>
    <border>
      <left/>
      <right style="thin">
        <color indexed="64"/>
      </right>
      <top style="hair">
        <color indexed="12"/>
      </top>
      <bottom/>
      <diagonal/>
    </border>
    <border>
      <left style="thin">
        <color auto="1"/>
      </left>
      <right/>
      <top style="hair">
        <color indexed="64"/>
      </top>
      <bottom/>
      <diagonal/>
    </border>
    <border>
      <left/>
      <right style="thin">
        <color indexed="64"/>
      </right>
      <top style="hair">
        <color indexed="64"/>
      </top>
      <bottom/>
      <diagonal/>
    </border>
    <border>
      <left style="thin">
        <color auto="1"/>
      </left>
      <right/>
      <top style="hair">
        <color auto="1"/>
      </top>
      <bottom style="hair">
        <color auto="1"/>
      </bottom>
      <diagonal/>
    </border>
    <border>
      <left/>
      <right style="thick">
        <color indexed="64"/>
      </right>
      <top style="hair">
        <color indexed="64"/>
      </top>
      <bottom style="hair">
        <color indexed="64"/>
      </bottom>
      <diagonal/>
    </border>
    <border>
      <left style="thick">
        <color indexed="64"/>
      </left>
      <right/>
      <top style="thin">
        <color indexed="64"/>
      </top>
      <bottom style="thin">
        <color indexed="64"/>
      </bottom>
      <diagonal/>
    </border>
    <border>
      <left style="thick">
        <color indexed="64"/>
      </left>
      <right/>
      <top style="thin">
        <color indexed="64"/>
      </top>
      <bottom/>
      <diagonal/>
    </border>
    <border>
      <left style="thick">
        <color indexed="64"/>
      </left>
      <right/>
      <top/>
      <bottom/>
      <diagonal/>
    </border>
    <border>
      <left style="thick">
        <color indexed="64"/>
      </left>
      <right/>
      <top style="hair">
        <color auto="1"/>
      </top>
      <bottom style="hair">
        <color auto="1"/>
      </bottom>
      <diagonal/>
    </border>
    <border>
      <left style="thick">
        <color indexed="64"/>
      </left>
      <right/>
      <top style="hair">
        <color auto="1"/>
      </top>
      <bottom/>
      <diagonal/>
    </border>
    <border>
      <left style="thick">
        <color indexed="64"/>
      </left>
      <right/>
      <top style="medium">
        <color indexed="64"/>
      </top>
      <bottom style="thin">
        <color indexed="64"/>
      </bottom>
      <diagonal/>
    </border>
    <border>
      <left style="thick">
        <color indexed="64"/>
      </left>
      <right/>
      <top style="double">
        <color indexed="64"/>
      </top>
      <bottom style="thin">
        <color indexed="64"/>
      </bottom>
      <diagonal/>
    </border>
    <border>
      <left style="thick">
        <color indexed="64"/>
      </left>
      <right/>
      <top style="thin">
        <color indexed="64"/>
      </top>
      <bottom style="double">
        <color indexed="64"/>
      </bottom>
      <diagonal/>
    </border>
    <border>
      <left style="thick">
        <color indexed="64"/>
      </left>
      <right/>
      <top style="thin">
        <color indexed="64"/>
      </top>
      <bottom style="medium">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double">
        <color indexed="64"/>
      </bottom>
      <diagonal/>
    </border>
    <border>
      <left style="thin">
        <color indexed="64"/>
      </left>
      <right/>
      <top/>
      <bottom style="hair">
        <color theme="3" tint="-0.24994659260841701"/>
      </bottom>
      <diagonal/>
    </border>
    <border>
      <left/>
      <right/>
      <top/>
      <bottom style="hair">
        <color theme="3" tint="-0.24994659260841701"/>
      </bottom>
      <diagonal/>
    </border>
    <border>
      <left style="thin">
        <color indexed="64"/>
      </left>
      <right/>
      <top style="hair">
        <color theme="3" tint="-0.24994659260841701"/>
      </top>
      <bottom/>
      <diagonal/>
    </border>
    <border>
      <left/>
      <right/>
      <top style="hair">
        <color theme="3" tint="-0.24994659260841701"/>
      </top>
      <bottom/>
      <diagonal/>
    </border>
    <border>
      <left style="thin">
        <color indexed="64"/>
      </left>
      <right/>
      <top style="hair">
        <color theme="3" tint="-0.24994659260841701"/>
      </top>
      <bottom style="hair">
        <color theme="3" tint="-0.24994659260841701"/>
      </bottom>
      <diagonal/>
    </border>
    <border>
      <left/>
      <right/>
      <top style="hair">
        <color theme="3" tint="-0.24994659260841701"/>
      </top>
      <bottom style="hair">
        <color theme="3" tint="-0.24994659260841701"/>
      </bottom>
      <diagonal/>
    </border>
    <border>
      <left style="thin">
        <color indexed="64"/>
      </left>
      <right/>
      <top style="hair">
        <color theme="3" tint="-0.24994659260841701"/>
      </top>
      <bottom style="hair">
        <color indexed="64"/>
      </bottom>
      <diagonal/>
    </border>
    <border>
      <left/>
      <right/>
      <top style="hair">
        <color theme="3" tint="-0.24994659260841701"/>
      </top>
      <bottom style="hair">
        <color indexed="64"/>
      </bottom>
      <diagonal/>
    </border>
    <border>
      <left/>
      <right/>
      <top style="hair">
        <color indexed="12"/>
      </top>
      <bottom style="hair">
        <color indexed="12"/>
      </bottom>
      <diagonal/>
    </border>
    <border>
      <left/>
      <right style="medium">
        <color indexed="64"/>
      </right>
      <top/>
      <bottom style="hair">
        <color theme="3" tint="-0.24994659260841701"/>
      </bottom>
      <diagonal/>
    </border>
    <border>
      <left/>
      <right style="medium">
        <color indexed="64"/>
      </right>
      <top style="hair">
        <color theme="3" tint="-0.24994659260841701"/>
      </top>
      <bottom/>
      <diagonal/>
    </border>
    <border>
      <left/>
      <right style="medium">
        <color indexed="64"/>
      </right>
      <top style="hair">
        <color theme="3" tint="-0.24994659260841701"/>
      </top>
      <bottom style="hair">
        <color theme="3" tint="-0.24994659260841701"/>
      </bottom>
      <diagonal/>
    </border>
    <border>
      <left style="thin">
        <color auto="1"/>
      </left>
      <right/>
      <top style="hair">
        <color auto="1"/>
      </top>
      <bottom style="hair">
        <color auto="1"/>
      </bottom>
      <diagonal/>
    </border>
    <border>
      <left/>
      <right/>
      <top style="hair">
        <color auto="1"/>
      </top>
      <bottom style="hair">
        <color indexed="64"/>
      </bottom>
      <diagonal/>
    </border>
    <border>
      <left/>
      <right style="thin">
        <color indexed="64"/>
      </right>
      <top style="hair">
        <color indexed="64"/>
      </top>
      <bottom style="hair">
        <color indexed="64"/>
      </bottom>
      <diagonal/>
    </border>
    <border>
      <left/>
      <right style="medium">
        <color indexed="64"/>
      </right>
      <top style="hair">
        <color theme="3" tint="-0.24994659260841701"/>
      </top>
      <bottom style="hair">
        <color indexed="64"/>
      </bottom>
      <diagonal/>
    </border>
    <border>
      <left/>
      <right style="medium">
        <color indexed="64"/>
      </right>
      <top style="hair">
        <color indexed="64"/>
      </top>
      <bottom style="hair">
        <color indexed="64"/>
      </bottom>
      <diagonal/>
    </border>
    <border>
      <left/>
      <right/>
      <top/>
      <bottom style="medium">
        <color indexed="64"/>
      </bottom>
      <diagonal/>
    </border>
    <border>
      <left/>
      <right style="thin">
        <color indexed="64"/>
      </right>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top style="hair">
        <color indexed="12"/>
      </top>
      <bottom style="hair">
        <color indexed="12"/>
      </bottom>
      <diagonal/>
    </border>
    <border>
      <left/>
      <right/>
      <top style="hair">
        <color indexed="12"/>
      </top>
      <bottom style="medium">
        <color indexed="64"/>
      </bottom>
      <diagonal/>
    </border>
    <border>
      <left style="thin">
        <color indexed="64"/>
      </left>
      <right/>
      <top style="hair">
        <color indexed="64"/>
      </top>
      <bottom/>
      <diagonal/>
    </border>
    <border>
      <left/>
      <right style="medium">
        <color indexed="64"/>
      </right>
      <top style="hair">
        <color auto="1"/>
      </top>
      <bottom style="hair">
        <color auto="1"/>
      </bottom>
      <diagonal/>
    </border>
    <border>
      <left style="medium">
        <color indexed="64"/>
      </left>
      <right/>
      <top style="hair">
        <color indexed="64"/>
      </top>
      <bottom/>
      <diagonal/>
    </border>
    <border>
      <left style="medium">
        <color indexed="64"/>
      </left>
      <right/>
      <top style="hair">
        <color indexed="64"/>
      </top>
      <bottom style="hair">
        <color indexed="64"/>
      </bottom>
      <diagonal/>
    </border>
    <border diagonalUp="1">
      <left style="thin">
        <color indexed="64"/>
      </left>
      <right/>
      <top style="hair">
        <color auto="1"/>
      </top>
      <bottom style="hair">
        <color indexed="64"/>
      </bottom>
      <diagonal style="hair">
        <color theme="0"/>
      </diagonal>
    </border>
    <border diagonalUp="1">
      <left/>
      <right style="thin">
        <color indexed="64"/>
      </right>
      <top style="hair">
        <color auto="1"/>
      </top>
      <bottom style="hair">
        <color indexed="64"/>
      </bottom>
      <diagonal style="hair">
        <color theme="0"/>
      </diagonal>
    </border>
    <border>
      <left style="thin">
        <color auto="1"/>
      </left>
      <right/>
      <top style="hair">
        <color auto="1"/>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top style="hair">
        <color auto="1"/>
      </top>
      <bottom style="thin">
        <color indexed="64"/>
      </bottom>
      <diagonal/>
    </border>
    <border>
      <left style="medium">
        <color indexed="64"/>
      </left>
      <right/>
      <top style="hair">
        <color auto="1"/>
      </top>
      <bottom style="hair">
        <color indexed="64"/>
      </bottom>
      <diagonal/>
    </border>
    <border>
      <left/>
      <right/>
      <top style="hair">
        <color auto="1"/>
      </top>
      <bottom style="hair">
        <color indexed="64"/>
      </bottom>
      <diagonal/>
    </border>
    <border>
      <left/>
      <right/>
      <top style="hair">
        <color auto="1"/>
      </top>
      <bottom style="hair">
        <color auto="1"/>
      </bottom>
      <diagonal/>
    </border>
    <border>
      <left style="medium">
        <color indexed="64"/>
      </left>
      <right/>
      <top/>
      <bottom style="hair">
        <color auto="1"/>
      </bottom>
      <diagonal/>
    </border>
    <border>
      <left/>
      <right style="medium">
        <color indexed="64"/>
      </right>
      <top style="hair">
        <color auto="1"/>
      </top>
      <bottom/>
      <diagonal/>
    </border>
    <border>
      <left/>
      <right style="hair">
        <color indexed="64"/>
      </right>
      <top/>
      <bottom/>
      <diagonal/>
    </border>
    <border>
      <left/>
      <right style="hair">
        <color indexed="64"/>
      </right>
      <top/>
      <bottom style="medium">
        <color indexed="64"/>
      </bottom>
      <diagonal/>
    </border>
    <border>
      <left/>
      <right style="hair">
        <color indexed="64"/>
      </right>
      <top style="hair">
        <color indexed="64"/>
      </top>
      <bottom style="thin">
        <color indexed="64"/>
      </bottom>
      <diagonal/>
    </border>
    <border>
      <left style="thin">
        <color indexed="64"/>
      </left>
      <right/>
      <top/>
      <bottom style="hair">
        <color auto="1"/>
      </bottom>
      <diagonal/>
    </border>
    <border>
      <left style="thin">
        <color auto="1"/>
      </left>
      <right/>
      <top style="hair">
        <color auto="1"/>
      </top>
      <bottom style="thin">
        <color indexed="64"/>
      </bottom>
      <diagonal/>
    </border>
    <border>
      <left/>
      <right style="hair">
        <color indexed="64"/>
      </right>
      <top style="hair">
        <color auto="1"/>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diagonalUp="1">
      <left/>
      <right/>
      <top style="hair">
        <color auto="1"/>
      </top>
      <bottom style="hair">
        <color indexed="64"/>
      </bottom>
      <diagonal style="hair">
        <color theme="0"/>
      </diagonal>
    </border>
  </borders>
  <cellStyleXfs count="683">
    <xf numFmtId="0" fontId="0" fillId="0" borderId="0"/>
    <xf numFmtId="0" fontId="42" fillId="0" borderId="0"/>
    <xf numFmtId="0" fontId="17" fillId="0" borderId="0"/>
    <xf numFmtId="0" fontId="17" fillId="0" borderId="0"/>
    <xf numFmtId="0" fontId="17" fillId="0" borderId="0"/>
    <xf numFmtId="0" fontId="17" fillId="0" borderId="0"/>
    <xf numFmtId="0" fontId="16" fillId="0" borderId="0"/>
    <xf numFmtId="0" fontId="17" fillId="0" borderId="0"/>
    <xf numFmtId="0" fontId="53" fillId="0" borderId="0" applyNumberFormat="0" applyFill="0" applyBorder="0" applyProtection="0">
      <alignment vertical="center"/>
    </xf>
    <xf numFmtId="0" fontId="54" fillId="10" borderId="58" applyNumberFormat="0" applyAlignment="0" applyProtection="0"/>
    <xf numFmtId="0" fontId="55" fillId="10" borderId="59" applyNumberFormat="0" applyAlignment="0" applyProtection="0"/>
    <xf numFmtId="0" fontId="56" fillId="11" borderId="59" applyNumberFormat="0" applyAlignment="0" applyProtection="0"/>
    <xf numFmtId="0" fontId="57" fillId="0" borderId="60" applyNumberFormat="0" applyFill="0" applyAlignment="0" applyProtection="0"/>
    <xf numFmtId="0" fontId="58" fillId="0" borderId="0" applyNumberFormat="0" applyFill="0" applyBorder="0" applyProtection="0">
      <alignment horizontal="left"/>
    </xf>
    <xf numFmtId="0" fontId="17" fillId="0" borderId="0" applyFont="0"/>
    <xf numFmtId="0" fontId="17" fillId="0" borderId="0"/>
    <xf numFmtId="0" fontId="17" fillId="0" borderId="0"/>
    <xf numFmtId="0" fontId="17" fillId="0" borderId="0"/>
    <xf numFmtId="0" fontId="1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pplyFont="0"/>
    <xf numFmtId="0" fontId="16" fillId="0" borderId="0"/>
    <xf numFmtId="0" fontId="16" fillId="0" borderId="0"/>
    <xf numFmtId="0" fontId="17" fillId="0" borderId="0"/>
    <xf numFmtId="0" fontId="17" fillId="12" borderId="61" applyNumberFormat="0" applyFont="0" applyAlignment="0" applyProtection="0"/>
    <xf numFmtId="0" fontId="31" fillId="0" borderId="0" applyNumberFormat="0" applyFill="0" applyBorder="0" applyProtection="0">
      <alignment vertical="top" wrapText="1"/>
    </xf>
    <xf numFmtId="0" fontId="31" fillId="0" borderId="0" applyNumberFormat="0" applyFill="0" applyBorder="0" applyProtection="0">
      <alignment vertical="top" wrapText="1"/>
    </xf>
    <xf numFmtId="0" fontId="31" fillId="0" borderId="0" applyNumberFormat="0" applyFill="0" applyBorder="0" applyProtection="0">
      <alignment vertical="top" wrapText="1"/>
    </xf>
    <xf numFmtId="0" fontId="31" fillId="0" borderId="0" applyNumberFormat="0" applyFill="0" applyBorder="0" applyProtection="0">
      <alignment vertical="top" wrapText="1"/>
    </xf>
    <xf numFmtId="0" fontId="31" fillId="0" borderId="0" applyNumberFormat="0" applyFill="0" applyBorder="0" applyProtection="0">
      <alignment vertical="top" wrapText="1"/>
    </xf>
    <xf numFmtId="0" fontId="31" fillId="0" borderId="0" applyNumberFormat="0" applyFill="0" applyBorder="0" applyProtection="0">
      <alignment vertical="top" wrapText="1"/>
    </xf>
    <xf numFmtId="0" fontId="31" fillId="0" borderId="0" applyNumberFormat="0" applyFill="0" applyBorder="0" applyProtection="0">
      <alignment vertical="top" wrapText="1"/>
    </xf>
    <xf numFmtId="0" fontId="31" fillId="0" borderId="0" applyNumberFormat="0" applyFill="0" applyBorder="0" applyProtection="0">
      <alignment vertical="top" wrapText="1"/>
    </xf>
    <xf numFmtId="0" fontId="31" fillId="0" borderId="0" applyNumberFormat="0" applyFill="0" applyBorder="0" applyProtection="0">
      <alignment vertical="top" wrapText="1"/>
    </xf>
    <xf numFmtId="0" fontId="31" fillId="0" borderId="0" applyNumberFormat="0" applyFill="0" applyBorder="0" applyProtection="0">
      <alignment vertical="top" wrapText="1"/>
    </xf>
    <xf numFmtId="0" fontId="31" fillId="0" borderId="0" applyNumberFormat="0" applyFill="0" applyBorder="0" applyProtection="0">
      <alignment vertical="top" wrapText="1"/>
    </xf>
    <xf numFmtId="0" fontId="31" fillId="0" borderId="0" applyNumberFormat="0" applyFill="0" applyBorder="0" applyProtection="0">
      <alignment vertical="top" wrapText="1"/>
    </xf>
    <xf numFmtId="0" fontId="31" fillId="0" borderId="0" applyNumberFormat="0" applyFill="0" applyBorder="0" applyProtection="0">
      <alignment vertical="top" wrapText="1"/>
    </xf>
    <xf numFmtId="0" fontId="17" fillId="0" borderId="0"/>
    <xf numFmtId="0" fontId="17" fillId="0" borderId="0"/>
    <xf numFmtId="0" fontId="17" fillId="0" borderId="0"/>
    <xf numFmtId="0" fontId="16" fillId="0" borderId="0"/>
    <xf numFmtId="0" fontId="19" fillId="0" borderId="0" applyNumberFormat="0" applyFill="0" applyBorder="0" applyProtection="0">
      <alignment vertical="center"/>
    </xf>
    <xf numFmtId="0" fontId="19" fillId="0" borderId="0" applyNumberFormat="0" applyFill="0" applyBorder="0" applyProtection="0">
      <alignment vertical="center"/>
    </xf>
    <xf numFmtId="0" fontId="19" fillId="0" borderId="0" applyNumberFormat="0" applyFill="0" applyBorder="0" applyProtection="0">
      <alignment vertical="center"/>
    </xf>
    <xf numFmtId="0" fontId="19" fillId="0" borderId="0" applyNumberFormat="0" applyFill="0" applyBorder="0" applyProtection="0">
      <alignment vertical="center"/>
    </xf>
    <xf numFmtId="0" fontId="19" fillId="0" borderId="0" applyNumberFormat="0" applyFill="0" applyBorder="0" applyProtection="0">
      <alignment vertical="center"/>
    </xf>
    <xf numFmtId="0" fontId="19" fillId="0" borderId="0" applyNumberFormat="0" applyFill="0" applyBorder="0" applyProtection="0">
      <alignment vertical="center"/>
    </xf>
    <xf numFmtId="0" fontId="19" fillId="0" borderId="0" applyNumberFormat="0" applyFill="0" applyBorder="0" applyProtection="0">
      <alignment vertical="center"/>
    </xf>
    <xf numFmtId="0" fontId="19" fillId="0" borderId="0" applyNumberFormat="0" applyFill="0" applyBorder="0" applyProtection="0">
      <alignment vertical="center"/>
    </xf>
    <xf numFmtId="0" fontId="19" fillId="0" borderId="0" applyNumberFormat="0" applyFill="0" applyBorder="0" applyProtection="0">
      <alignment vertical="center"/>
    </xf>
    <xf numFmtId="0" fontId="15" fillId="0" borderId="0"/>
    <xf numFmtId="0" fontId="14" fillId="0" borderId="0"/>
    <xf numFmtId="0" fontId="17" fillId="0" borderId="0"/>
    <xf numFmtId="164" fontId="64" fillId="0" borderId="0" applyFont="0" applyFill="0" applyBorder="0" applyAlignment="0" applyProtection="0"/>
    <xf numFmtId="0" fontId="17" fillId="0" borderId="0"/>
    <xf numFmtId="0" fontId="17" fillId="0" borderId="0"/>
    <xf numFmtId="0" fontId="65" fillId="0" borderId="0"/>
    <xf numFmtId="0" fontId="17" fillId="0" borderId="0"/>
    <xf numFmtId="0" fontId="17" fillId="0" borderId="0"/>
    <xf numFmtId="0" fontId="17" fillId="0" borderId="0"/>
    <xf numFmtId="168" fontId="17" fillId="0" borderId="0" applyFont="0" applyFill="0" applyBorder="0" applyAlignment="0" applyProtection="0"/>
    <xf numFmtId="169" fontId="17" fillId="0" borderId="0" applyFont="0" applyFill="0" applyBorder="0" applyAlignment="0" applyProtection="0"/>
    <xf numFmtId="0" fontId="17" fillId="0" borderId="0"/>
    <xf numFmtId="0" fontId="64" fillId="0" borderId="0"/>
    <xf numFmtId="0" fontId="64" fillId="0" borderId="0"/>
    <xf numFmtId="0" fontId="66" fillId="0" borderId="0"/>
    <xf numFmtId="0" fontId="55" fillId="10" borderId="59" applyNumberFormat="0" applyAlignment="0" applyProtection="0"/>
    <xf numFmtId="0" fontId="73" fillId="14" borderId="88" applyNumberFormat="0" applyAlignment="0" applyProtection="0"/>
    <xf numFmtId="170" fontId="74" fillId="0" borderId="0"/>
    <xf numFmtId="0" fontId="75" fillId="0" borderId="89" applyNumberFormat="0" applyFill="0" applyAlignment="0" applyProtection="0"/>
    <xf numFmtId="0" fontId="76" fillId="15" borderId="0" applyNumberFormat="0" applyBorder="0" applyAlignment="0" applyProtection="0"/>
    <xf numFmtId="0" fontId="56" fillId="11" borderId="59" applyNumberFormat="0" applyAlignment="0" applyProtection="0"/>
    <xf numFmtId="0" fontId="77" fillId="0" borderId="90" applyNumberFormat="0" applyFill="0" applyAlignment="0" applyProtection="0"/>
    <xf numFmtId="0" fontId="78" fillId="0" borderId="91" applyNumberFormat="0" applyFill="0" applyAlignment="0" applyProtection="0"/>
    <xf numFmtId="0" fontId="79" fillId="0" borderId="92" applyNumberFormat="0" applyFill="0" applyAlignment="0" applyProtection="0"/>
    <xf numFmtId="0" fontId="79" fillId="0" borderId="0" applyNumberFormat="0" applyFill="0" applyBorder="0" applyAlignment="0" applyProtection="0"/>
    <xf numFmtId="0" fontId="80" fillId="16" borderId="0" applyNumberFormat="0" applyBorder="0" applyAlignment="0" applyProtection="0"/>
    <xf numFmtId="0" fontId="51" fillId="0" borderId="0"/>
    <xf numFmtId="0" fontId="51" fillId="0" borderId="0"/>
    <xf numFmtId="0" fontId="51" fillId="0" borderId="0"/>
    <xf numFmtId="0" fontId="51" fillId="0" borderId="0"/>
    <xf numFmtId="0" fontId="51" fillId="0" borderId="0"/>
    <xf numFmtId="0" fontId="51" fillId="0" borderId="0"/>
    <xf numFmtId="0" fontId="17" fillId="0" borderId="0"/>
    <xf numFmtId="0" fontId="51" fillId="0" borderId="0"/>
    <xf numFmtId="0" fontId="13" fillId="0" borderId="0"/>
    <xf numFmtId="0" fontId="13" fillId="0" borderId="0"/>
    <xf numFmtId="0" fontId="17"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1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1" fillId="0" borderId="0"/>
    <xf numFmtId="0" fontId="51" fillId="0" borderId="0"/>
    <xf numFmtId="0" fontId="51" fillId="0" borderId="0"/>
    <xf numFmtId="0" fontId="51" fillId="0" borderId="0"/>
    <xf numFmtId="0" fontId="51" fillId="0" borderId="0"/>
    <xf numFmtId="0" fontId="17" fillId="12" borderId="61" applyNumberFormat="0" applyFont="0" applyAlignment="0" applyProtection="0"/>
    <xf numFmtId="0" fontId="81" fillId="17" borderId="0" applyNumberFormat="0" applyBorder="0" applyAlignment="0" applyProtection="0"/>
    <xf numFmtId="9" fontId="17" fillId="0" borderId="0" applyFont="0" applyFill="0" applyBorder="0" applyAlignment="0" applyProtection="0"/>
    <xf numFmtId="9" fontId="17" fillId="0" borderId="0" applyFont="0" applyFill="0" applyBorder="0" applyAlignment="0" applyProtection="0"/>
    <xf numFmtId="0" fontId="17" fillId="0" borderId="0"/>
    <xf numFmtId="0" fontId="13" fillId="0" borderId="0"/>
    <xf numFmtId="0" fontId="82" fillId="0" borderId="0" applyNumberFormat="0" applyFill="0" applyBorder="0" applyAlignment="0" applyProtection="0"/>
    <xf numFmtId="0" fontId="57" fillId="0" borderId="60" applyNumberFormat="0" applyFill="0" applyAlignment="0" applyProtection="0"/>
    <xf numFmtId="0" fontId="54" fillId="10" borderId="58" applyNumberFormat="0" applyAlignment="0" applyProtection="0"/>
    <xf numFmtId="0" fontId="83" fillId="0" borderId="0" applyNumberFormat="0" applyFill="0" applyBorder="0" applyAlignment="0" applyProtection="0"/>
    <xf numFmtId="0" fontId="84" fillId="0" borderId="0" applyNumberFormat="0" applyFill="0" applyBorder="0" applyAlignment="0" applyProtection="0"/>
    <xf numFmtId="0" fontId="48" fillId="0" borderId="0"/>
    <xf numFmtId="0" fontId="12" fillId="0" borderId="0"/>
    <xf numFmtId="0" fontId="11" fillId="0" borderId="0"/>
    <xf numFmtId="0" fontId="10" fillId="0" borderId="0"/>
    <xf numFmtId="0" fontId="9" fillId="0" borderId="0"/>
    <xf numFmtId="0" fontId="8" fillId="0" borderId="0"/>
    <xf numFmtId="0" fontId="7" fillId="0" borderId="0"/>
    <xf numFmtId="0" fontId="7" fillId="0" borderId="0"/>
    <xf numFmtId="0" fontId="7" fillId="0" borderId="0"/>
    <xf numFmtId="0" fontId="17" fillId="0" borderId="0"/>
    <xf numFmtId="0" fontId="19" fillId="0" borderId="0"/>
    <xf numFmtId="0" fontId="106" fillId="23" borderId="0" applyNumberFormat="0" applyBorder="0" applyAlignment="0" applyProtection="0"/>
    <xf numFmtId="0" fontId="106" fillId="17" borderId="0" applyNumberFormat="0" applyBorder="0" applyAlignment="0" applyProtection="0"/>
    <xf numFmtId="0" fontId="106" fillId="15" borderId="0" applyNumberFormat="0" applyBorder="0" applyAlignment="0" applyProtection="0"/>
    <xf numFmtId="0" fontId="106" fillId="24" borderId="0" applyNumberFormat="0" applyBorder="0" applyAlignment="0" applyProtection="0"/>
    <xf numFmtId="0" fontId="106" fillId="25" borderId="0" applyNumberFormat="0" applyBorder="0" applyAlignment="0" applyProtection="0"/>
    <xf numFmtId="0" fontId="106" fillId="11" borderId="0" applyNumberFormat="0" applyBorder="0" applyAlignment="0" applyProtection="0"/>
    <xf numFmtId="0" fontId="106" fillId="26" borderId="0" applyNumberFormat="0" applyBorder="0" applyAlignment="0" applyProtection="0"/>
    <xf numFmtId="0" fontId="106" fillId="27" borderId="0" applyNumberFormat="0" applyBorder="0" applyAlignment="0" applyProtection="0"/>
    <xf numFmtId="0" fontId="106" fillId="28" borderId="0" applyNumberFormat="0" applyBorder="0" applyAlignment="0" applyProtection="0"/>
    <xf numFmtId="0" fontId="106" fillId="24" borderId="0" applyNumberFormat="0" applyBorder="0" applyAlignment="0" applyProtection="0"/>
    <xf numFmtId="0" fontId="106" fillId="26" borderId="0" applyNumberFormat="0" applyBorder="0" applyAlignment="0" applyProtection="0"/>
    <xf numFmtId="0" fontId="106" fillId="29" borderId="0" applyNumberFormat="0" applyBorder="0" applyAlignment="0" applyProtection="0"/>
    <xf numFmtId="0" fontId="107" fillId="30" borderId="0" applyNumberFormat="0" applyBorder="0" applyAlignment="0" applyProtection="0"/>
    <xf numFmtId="0" fontId="107" fillId="27" borderId="0" applyNumberFormat="0" applyBorder="0" applyAlignment="0" applyProtection="0"/>
    <xf numFmtId="0" fontId="107" fillId="28" borderId="0" applyNumberFormat="0" applyBorder="0" applyAlignment="0" applyProtection="0"/>
    <xf numFmtId="0" fontId="107" fillId="31" borderId="0" applyNumberFormat="0" applyBorder="0" applyAlignment="0" applyProtection="0"/>
    <xf numFmtId="0" fontId="107" fillId="32" borderId="0" applyNumberFormat="0" applyBorder="0" applyAlignment="0" applyProtection="0"/>
    <xf numFmtId="0" fontId="107" fillId="33" borderId="0" applyNumberFormat="0" applyBorder="0" applyAlignment="0" applyProtection="0"/>
    <xf numFmtId="0" fontId="107" fillId="34" borderId="0" applyNumberFormat="0" applyBorder="0" applyAlignment="0" applyProtection="0"/>
    <xf numFmtId="0" fontId="107" fillId="35" borderId="0" applyNumberFormat="0" applyBorder="0" applyAlignment="0" applyProtection="0"/>
    <xf numFmtId="0" fontId="107" fillId="36" borderId="0" applyNumberFormat="0" applyBorder="0" applyAlignment="0" applyProtection="0"/>
    <xf numFmtId="0" fontId="107" fillId="31" borderId="0" applyNumberFormat="0" applyBorder="0" applyAlignment="0" applyProtection="0"/>
    <xf numFmtId="0" fontId="107" fillId="32" borderId="0" applyNumberFormat="0" applyBorder="0" applyAlignment="0" applyProtection="0"/>
    <xf numFmtId="0" fontId="107" fillId="37" borderId="0" applyNumberFormat="0" applyBorder="0" applyAlignment="0" applyProtection="0"/>
    <xf numFmtId="0" fontId="81" fillId="17" borderId="0" applyNumberFormat="0" applyBorder="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55" fillId="10" borderId="131" applyNumberFormat="0" applyAlignment="0" applyProtection="0"/>
    <xf numFmtId="0" fontId="73" fillId="14" borderId="88" applyNumberFormat="0" applyAlignment="0" applyProtection="0"/>
    <xf numFmtId="0" fontId="83" fillId="0" borderId="0" applyNumberFormat="0" applyFill="0" applyBorder="0" applyAlignment="0" applyProtection="0"/>
    <xf numFmtId="0" fontId="76" fillId="15" borderId="0" applyNumberFormat="0" applyBorder="0" applyAlignment="0" applyProtection="0"/>
    <xf numFmtId="0" fontId="77" fillId="0" borderId="90" applyNumberFormat="0" applyFill="0" applyAlignment="0" applyProtection="0"/>
    <xf numFmtId="0" fontId="78" fillId="0" borderId="91" applyNumberFormat="0" applyFill="0" applyAlignment="0" applyProtection="0"/>
    <xf numFmtId="0" fontId="79" fillId="0" borderId="92" applyNumberFormat="0" applyFill="0" applyAlignment="0" applyProtection="0"/>
    <xf numFmtId="0" fontId="79" fillId="0" borderId="0" applyNumberFormat="0" applyFill="0" applyBorder="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56" fillId="11" borderId="131" applyNumberFormat="0" applyAlignment="0" applyProtection="0"/>
    <xf numFmtId="0" fontId="75" fillId="0" borderId="89" applyNumberFormat="0" applyFill="0" applyAlignment="0" applyProtection="0"/>
    <xf numFmtId="0" fontId="80" fillId="16" borderId="0" applyNumberFormat="0" applyBorder="0" applyAlignment="0" applyProtection="0"/>
    <xf numFmtId="0" fontId="17"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17" fillId="12" borderId="132" applyNumberFormat="0" applyFon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54" fillId="10" borderId="133" applyNumberFormat="0" applyAlignment="0" applyProtection="0"/>
    <xf numFmtId="0" fontId="82" fillId="0" borderId="0" applyNumberFormat="0" applyFill="0" applyBorder="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57" fillId="0" borderId="134" applyNumberFormat="0" applyFill="0" applyAlignment="0" applyProtection="0"/>
    <xf numFmtId="0" fontId="84" fillId="0" borderId="0" applyNumberFormat="0" applyFill="0" applyBorder="0" applyAlignment="0" applyProtection="0"/>
    <xf numFmtId="0" fontId="6" fillId="0" borderId="0"/>
    <xf numFmtId="0" fontId="5" fillId="0" borderId="0"/>
    <xf numFmtId="0" fontId="4" fillId="0" borderId="0"/>
    <xf numFmtId="0" fontId="3" fillId="0" borderId="0"/>
    <xf numFmtId="0" fontId="2" fillId="0" borderId="0"/>
    <xf numFmtId="0" fontId="1" fillId="0" borderId="0"/>
    <xf numFmtId="0" fontId="54" fillId="10" borderId="133" applyNumberFormat="0" applyAlignment="0" applyProtection="0"/>
    <xf numFmtId="0" fontId="55" fillId="10" borderId="131" applyNumberFormat="0" applyAlignment="0" applyProtection="0"/>
    <xf numFmtId="0" fontId="56" fillId="11" borderId="131" applyNumberFormat="0" applyAlignment="0" applyProtection="0"/>
    <xf numFmtId="0" fontId="57"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12" borderId="132" applyNumberFormat="0" applyFont="0" applyAlignment="0" applyProtection="0"/>
    <xf numFmtId="0" fontId="1" fillId="0" borderId="0"/>
    <xf numFmtId="0" fontId="1" fillId="0" borderId="0"/>
    <xf numFmtId="0" fontId="1" fillId="0" borderId="0"/>
    <xf numFmtId="0" fontId="55" fillId="10" borderId="131" applyNumberFormat="0" applyAlignment="0" applyProtection="0"/>
    <xf numFmtId="0" fontId="56" fillId="11" borderId="131"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12" borderId="132" applyNumberFormat="0" applyFont="0" applyAlignment="0" applyProtection="0"/>
    <xf numFmtId="0" fontId="1" fillId="0" borderId="0"/>
    <xf numFmtId="0" fontId="57" fillId="0" borderId="134" applyNumberFormat="0" applyFill="0" applyAlignment="0" applyProtection="0"/>
    <xf numFmtId="0" fontId="54" fillId="10" borderId="133"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856">
    <xf numFmtId="0" fontId="0" fillId="0" borderId="0" xfId="0"/>
    <xf numFmtId="0" fontId="23" fillId="0" borderId="0" xfId="0" applyFont="1"/>
    <xf numFmtId="0" fontId="24" fillId="0" borderId="0" xfId="0" applyFont="1"/>
    <xf numFmtId="0" fontId="24" fillId="0" borderId="0" xfId="0" applyFont="1" applyFill="1" applyBorder="1"/>
    <xf numFmtId="0" fontId="24" fillId="0" borderId="0" xfId="0" applyFont="1" applyFill="1"/>
    <xf numFmtId="0" fontId="24" fillId="0" borderId="14" xfId="0" applyFont="1" applyBorder="1"/>
    <xf numFmtId="0" fontId="24" fillId="0" borderId="10" xfId="0" applyFont="1" applyBorder="1"/>
    <xf numFmtId="0" fontId="24" fillId="0" borderId="9" xfId="0" applyFont="1" applyBorder="1"/>
    <xf numFmtId="0" fontId="24" fillId="0" borderId="5" xfId="0" applyFont="1" applyBorder="1"/>
    <xf numFmtId="0" fontId="24" fillId="0" borderId="7" xfId="0" applyFont="1" applyBorder="1"/>
    <xf numFmtId="0" fontId="0" fillId="0" borderId="0" xfId="0" applyAlignment="1">
      <alignment vertical="center"/>
    </xf>
    <xf numFmtId="0" fontId="24" fillId="0" borderId="6" xfId="0" applyFont="1" applyBorder="1"/>
    <xf numFmtId="0" fontId="24" fillId="0" borderId="8" xfId="0" applyFont="1" applyBorder="1"/>
    <xf numFmtId="0" fontId="24" fillId="0" borderId="0" xfId="2" applyFont="1" applyAlignment="1"/>
    <xf numFmtId="0" fontId="24" fillId="0" borderId="0" xfId="2" applyFont="1" applyAlignment="1">
      <alignment vertical="center"/>
    </xf>
    <xf numFmtId="0" fontId="24" fillId="0" borderId="10" xfId="2" applyFont="1" applyBorder="1" applyAlignment="1"/>
    <xf numFmtId="0" fontId="24" fillId="0" borderId="8" xfId="2" applyFont="1" applyBorder="1" applyAlignment="1"/>
    <xf numFmtId="0" fontId="24" fillId="0" borderId="9" xfId="2" applyFont="1" applyBorder="1" applyAlignment="1"/>
    <xf numFmtId="0" fontId="17" fillId="0" borderId="0" xfId="2" applyFont="1" applyAlignment="1"/>
    <xf numFmtId="0" fontId="19" fillId="0" borderId="0" xfId="2" applyFont="1" applyAlignment="1"/>
    <xf numFmtId="0" fontId="0" fillId="0" borderId="0" xfId="0" applyFill="1"/>
    <xf numFmtId="0" fontId="34" fillId="0" borderId="0" xfId="0" applyFont="1" applyAlignment="1"/>
    <xf numFmtId="0" fontId="34" fillId="0" borderId="0" xfId="0" applyFont="1"/>
    <xf numFmtId="0" fontId="24" fillId="0" borderId="2" xfId="0" applyFont="1" applyFill="1" applyBorder="1"/>
    <xf numFmtId="0" fontId="24" fillId="0" borderId="1" xfId="0" applyFont="1" applyFill="1" applyBorder="1"/>
    <xf numFmtId="0" fontId="24" fillId="0" borderId="10" xfId="0" applyFont="1" applyFill="1" applyBorder="1"/>
    <xf numFmtId="0" fontId="24" fillId="0" borderId="2" xfId="2" applyFont="1" applyFill="1" applyBorder="1" applyAlignment="1">
      <alignment horizontal="center" vertical="top"/>
    </xf>
    <xf numFmtId="0" fontId="24" fillId="0" borderId="8" xfId="0" applyFont="1" applyFill="1" applyBorder="1"/>
    <xf numFmtId="0" fontId="19" fillId="0" borderId="0" xfId="2" applyFont="1" applyFill="1" applyBorder="1" applyAlignment="1">
      <alignment horizontal="left" vertical="center"/>
    </xf>
    <xf numFmtId="0" fontId="21" fillId="0" borderId="0" xfId="3" applyFont="1" applyFill="1" applyBorder="1" applyAlignment="1">
      <alignment horizontal="left"/>
    </xf>
    <xf numFmtId="0" fontId="24" fillId="0" borderId="0" xfId="3" applyFont="1"/>
    <xf numFmtId="0" fontId="17" fillId="0" borderId="0" xfId="3"/>
    <xf numFmtId="0" fontId="23" fillId="0" borderId="0" xfId="3" applyFont="1" applyFill="1" applyBorder="1"/>
    <xf numFmtId="0" fontId="23" fillId="0" borderId="0" xfId="3" applyFont="1"/>
    <xf numFmtId="165" fontId="21" fillId="0" borderId="0" xfId="3" applyNumberFormat="1" applyFont="1" applyFill="1" applyBorder="1" applyAlignment="1">
      <alignment horizontal="center"/>
    </xf>
    <xf numFmtId="0" fontId="24" fillId="0" borderId="0" xfId="3" applyFont="1" applyFill="1"/>
    <xf numFmtId="0" fontId="24" fillId="0" borderId="2" xfId="3" applyFont="1" applyFill="1" applyBorder="1"/>
    <xf numFmtId="0" fontId="24" fillId="0" borderId="1" xfId="3" applyFont="1" applyFill="1" applyBorder="1"/>
    <xf numFmtId="0" fontId="24" fillId="0" borderId="0" xfId="3" applyFont="1" applyFill="1" applyBorder="1"/>
    <xf numFmtId="0" fontId="24" fillId="0" borderId="15" xfId="3" applyFont="1" applyFill="1" applyBorder="1"/>
    <xf numFmtId="0" fontId="24" fillId="0" borderId="0" xfId="3" applyFont="1" applyAlignment="1">
      <alignment vertical="center"/>
    </xf>
    <xf numFmtId="0" fontId="24" fillId="0" borderId="5" xfId="3" applyFont="1" applyFill="1" applyBorder="1" applyAlignment="1">
      <alignment horizontal="center" wrapText="1"/>
    </xf>
    <xf numFmtId="0" fontId="24" fillId="0" borderId="7" xfId="3" applyFont="1" applyFill="1" applyBorder="1" applyAlignment="1">
      <alignment horizontal="center" wrapText="1"/>
    </xf>
    <xf numFmtId="0" fontId="24" fillId="0" borderId="14" xfId="3" applyFont="1" applyFill="1" applyBorder="1"/>
    <xf numFmtId="0" fontId="24" fillId="0" borderId="10" xfId="3" applyFont="1" applyBorder="1"/>
    <xf numFmtId="0" fontId="24" fillId="0" borderId="9" xfId="3" applyFont="1" applyBorder="1"/>
    <xf numFmtId="0" fontId="24" fillId="0" borderId="14" xfId="3" applyFont="1" applyBorder="1"/>
    <xf numFmtId="0" fontId="24" fillId="0" borderId="10" xfId="3" applyFont="1" applyFill="1" applyBorder="1" applyAlignment="1">
      <alignment horizontal="center" wrapText="1"/>
    </xf>
    <xf numFmtId="0" fontId="24" fillId="0" borderId="9" xfId="3" applyFont="1" applyFill="1" applyBorder="1" applyAlignment="1">
      <alignment horizontal="center" wrapText="1"/>
    </xf>
    <xf numFmtId="165" fontId="24" fillId="0" borderId="9" xfId="3" applyNumberFormat="1" applyFont="1" applyFill="1" applyBorder="1" applyAlignment="1">
      <alignment horizontal="center" wrapText="1"/>
    </xf>
    <xf numFmtId="165" fontId="24" fillId="0" borderId="2" xfId="3" applyNumberFormat="1" applyFont="1" applyFill="1" applyBorder="1" applyAlignment="1">
      <alignment horizontal="center" wrapText="1"/>
    </xf>
    <xf numFmtId="165" fontId="24" fillId="0" borderId="7" xfId="3" applyNumberFormat="1" applyFont="1" applyFill="1" applyBorder="1" applyAlignment="1">
      <alignment horizontal="center" wrapText="1"/>
    </xf>
    <xf numFmtId="165" fontId="17" fillId="0" borderId="0" xfId="3" applyNumberFormat="1" applyAlignment="1">
      <alignment horizontal="center"/>
    </xf>
    <xf numFmtId="0" fontId="21" fillId="0" borderId="0" xfId="0" applyFont="1" applyFill="1" applyBorder="1" applyAlignment="1">
      <alignment horizontal="left"/>
    </xf>
    <xf numFmtId="0" fontId="0" fillId="0" borderId="0" xfId="0" applyBorder="1"/>
    <xf numFmtId="0" fontId="0" fillId="0" borderId="0" xfId="0" applyAlignment="1"/>
    <xf numFmtId="0" fontId="24" fillId="0" borderId="8" xfId="3" applyFont="1" applyBorder="1"/>
    <xf numFmtId="0" fontId="24" fillId="0" borderId="0" xfId="15" applyFont="1" applyFill="1"/>
    <xf numFmtId="0" fontId="24" fillId="0" borderId="5" xfId="0" applyFont="1" applyFill="1" applyBorder="1" applyAlignment="1">
      <alignment horizontal="center"/>
    </xf>
    <xf numFmtId="0" fontId="24" fillId="0" borderId="7" xfId="0" applyFont="1" applyFill="1" applyBorder="1" applyAlignment="1">
      <alignment horizontal="center"/>
    </xf>
    <xf numFmtId="0" fontId="24" fillId="0" borderId="1" xfId="3" quotePrefix="1" applyFont="1" applyFill="1" applyBorder="1" applyAlignment="1">
      <alignment vertical="top" wrapText="1"/>
    </xf>
    <xf numFmtId="0" fontId="24" fillId="0" borderId="2" xfId="3" quotePrefix="1" applyFont="1" applyFill="1" applyBorder="1" applyAlignment="1">
      <alignment vertical="top" wrapText="1"/>
    </xf>
    <xf numFmtId="0" fontId="24" fillId="0" borderId="5" xfId="2" applyFont="1" applyBorder="1"/>
    <xf numFmtId="0" fontId="24" fillId="0" borderId="6" xfId="2" applyFont="1" applyBorder="1"/>
    <xf numFmtId="0" fontId="24" fillId="0" borderId="1" xfId="2" applyFont="1" applyBorder="1"/>
    <xf numFmtId="0" fontId="24" fillId="0" borderId="1" xfId="2" applyFont="1" applyBorder="1" applyAlignment="1">
      <alignment horizontal="center"/>
    </xf>
    <xf numFmtId="0" fontId="24" fillId="0" borderId="10" xfId="2" applyFont="1" applyFill="1" applyBorder="1" applyAlignment="1">
      <alignment horizontal="left" vertical="center"/>
    </xf>
    <xf numFmtId="0" fontId="24" fillId="0" borderId="9" xfId="2" applyFont="1" applyFill="1" applyBorder="1" applyAlignment="1">
      <alignment horizontal="left" vertical="center"/>
    </xf>
    <xf numFmtId="166" fontId="21" fillId="0" borderId="0" xfId="91" applyNumberFormat="1" applyFont="1" applyFill="1" applyBorder="1" applyAlignment="1">
      <alignment horizontal="left"/>
    </xf>
    <xf numFmtId="0" fontId="24" fillId="0" borderId="0" xfId="91" applyFont="1" applyAlignment="1"/>
    <xf numFmtId="0" fontId="24" fillId="0" borderId="0" xfId="91" applyFont="1" applyBorder="1" applyAlignment="1"/>
    <xf numFmtId="0" fontId="24" fillId="0" borderId="2" xfId="91" applyFont="1" applyBorder="1" applyAlignment="1"/>
    <xf numFmtId="0" fontId="24" fillId="0" borderId="6" xfId="91" applyFont="1" applyBorder="1" applyAlignment="1"/>
    <xf numFmtId="0" fontId="24" fillId="0" borderId="7" xfId="91" applyFont="1" applyBorder="1" applyAlignment="1"/>
    <xf numFmtId="0" fontId="17" fillId="0" borderId="0" xfId="91" applyFont="1" applyAlignment="1"/>
    <xf numFmtId="166" fontId="17" fillId="0" borderId="0" xfId="91" applyNumberFormat="1" applyFont="1" applyAlignment="1">
      <alignment horizontal="left"/>
    </xf>
    <xf numFmtId="0" fontId="19" fillId="0" borderId="0" xfId="91" applyFont="1" applyAlignment="1"/>
    <xf numFmtId="0" fontId="24" fillId="0" borderId="0" xfId="2" applyFont="1" applyFill="1" applyBorder="1" applyAlignment="1">
      <alignment horizontal="right" vertical="center"/>
    </xf>
    <xf numFmtId="0" fontId="24" fillId="0" borderId="0" xfId="2" applyFont="1" applyFill="1" applyBorder="1" applyAlignment="1">
      <alignment horizontal="left" vertical="center"/>
    </xf>
    <xf numFmtId="0" fontId="0" fillId="0" borderId="0" xfId="0"/>
    <xf numFmtId="0" fontId="24" fillId="0" borderId="2" xfId="0" applyFont="1" applyFill="1" applyBorder="1" applyAlignment="1">
      <alignment horizontal="center"/>
    </xf>
    <xf numFmtId="0" fontId="17" fillId="0" borderId="0" xfId="0" applyFont="1" applyFill="1" applyBorder="1" applyAlignment="1">
      <alignment horizontal="center"/>
    </xf>
    <xf numFmtId="0" fontId="67" fillId="13" borderId="0" xfId="3" applyFont="1" applyFill="1" applyAlignment="1">
      <alignment vertical="center"/>
    </xf>
    <xf numFmtId="0" fontId="24" fillId="0" borderId="0" xfId="2" applyFont="1" applyFill="1" applyBorder="1" applyAlignment="1"/>
    <xf numFmtId="0" fontId="24" fillId="0" borderId="2" xfId="2" applyFont="1" applyFill="1" applyBorder="1" applyAlignment="1"/>
    <xf numFmtId="0" fontId="34" fillId="0" borderId="0" xfId="0" applyFont="1" applyAlignment="1">
      <alignment horizontal="center"/>
    </xf>
    <xf numFmtId="0" fontId="24" fillId="0" borderId="2" xfId="3" applyFont="1" applyFill="1" applyBorder="1" applyAlignment="1">
      <alignment vertical="top" wrapText="1"/>
    </xf>
    <xf numFmtId="165" fontId="24" fillId="0" borderId="7" xfId="3" applyNumberFormat="1" applyFont="1" applyFill="1" applyBorder="1" applyAlignment="1">
      <alignment horizontal="center" vertical="top"/>
    </xf>
    <xf numFmtId="166" fontId="45" fillId="7" borderId="10" xfId="3" applyNumberFormat="1" applyFont="1" applyFill="1" applyBorder="1" applyAlignment="1"/>
    <xf numFmtId="166" fontId="45" fillId="7" borderId="8" xfId="3" applyNumberFormat="1" applyFont="1" applyFill="1" applyBorder="1" applyAlignment="1"/>
    <xf numFmtId="0" fontId="19" fillId="0" borderId="0" xfId="4" applyFont="1" applyFill="1"/>
    <xf numFmtId="0" fontId="24" fillId="0" borderId="0" xfId="78" applyFont="1" applyFill="1" applyBorder="1" applyAlignment="1">
      <alignment vertical="center" readingOrder="2"/>
    </xf>
    <xf numFmtId="0" fontId="24" fillId="0" borderId="0" xfId="78" applyFont="1" applyFill="1" applyAlignment="1">
      <alignment vertical="center" readingOrder="2"/>
    </xf>
    <xf numFmtId="0" fontId="86" fillId="0" borderId="0" xfId="78" applyFont="1" applyFill="1" applyAlignment="1">
      <alignment vertical="center" readingOrder="2"/>
    </xf>
    <xf numFmtId="0" fontId="24" fillId="0" borderId="0" xfId="4" applyNumberFormat="1" applyFont="1" applyFill="1" applyAlignment="1">
      <alignment horizontal="center" vertical="center"/>
    </xf>
    <xf numFmtId="0" fontId="24" fillId="0" borderId="12" xfId="4" applyFont="1" applyFill="1" applyBorder="1" applyAlignment="1">
      <alignment wrapText="1"/>
    </xf>
    <xf numFmtId="0" fontId="87" fillId="0" borderId="0" xfId="4" applyFont="1" applyFill="1"/>
    <xf numFmtId="0" fontId="24" fillId="0" borderId="15" xfId="4" applyFont="1" applyFill="1" applyBorder="1" applyAlignment="1">
      <alignment wrapText="1"/>
    </xf>
    <xf numFmtId="0" fontId="24" fillId="0" borderId="56" xfId="4" applyFont="1" applyFill="1" applyBorder="1" applyAlignment="1">
      <alignment horizontal="center" wrapText="1"/>
    </xf>
    <xf numFmtId="0" fontId="24" fillId="0" borderId="39" xfId="4" applyFont="1" applyFill="1" applyBorder="1" applyAlignment="1">
      <alignment horizontal="center" vertical="top" wrapText="1"/>
    </xf>
    <xf numFmtId="0" fontId="24" fillId="0" borderId="9" xfId="4" applyFont="1" applyFill="1" applyBorder="1" applyAlignment="1"/>
    <xf numFmtId="0" fontId="24" fillId="0" borderId="10" xfId="78" applyFont="1" applyFill="1" applyBorder="1" applyAlignment="1">
      <alignment horizontal="left" vertical="center" shrinkToFit="1"/>
    </xf>
    <xf numFmtId="0" fontId="24" fillId="0" borderId="37" xfId="78" applyFont="1" applyFill="1" applyBorder="1" applyAlignment="1">
      <alignment horizontal="left" vertical="center" shrinkToFit="1"/>
    </xf>
    <xf numFmtId="0" fontId="24" fillId="0" borderId="10" xfId="78" quotePrefix="1" applyFont="1" applyFill="1" applyBorder="1" applyAlignment="1">
      <alignment horizontal="left" vertical="center" shrinkToFit="1"/>
    </xf>
    <xf numFmtId="0" fontId="24" fillId="0" borderId="37" xfId="78" quotePrefix="1" applyFont="1" applyFill="1" applyBorder="1" applyAlignment="1">
      <alignment horizontal="left" vertical="center" shrinkToFit="1"/>
    </xf>
    <xf numFmtId="0" fontId="24" fillId="0" borderId="9" xfId="4" applyFont="1" applyFill="1" applyBorder="1" applyAlignment="1">
      <alignment horizontal="center"/>
    </xf>
    <xf numFmtId="0" fontId="24" fillId="0" borderId="12" xfId="78" applyFont="1" applyFill="1" applyBorder="1" applyAlignment="1">
      <alignment horizontal="left" vertical="center" shrinkToFit="1"/>
    </xf>
    <xf numFmtId="0" fontId="24" fillId="0" borderId="0" xfId="4" applyFont="1" applyFill="1" applyAlignment="1">
      <alignment horizontal="left"/>
    </xf>
    <xf numFmtId="0" fontId="88" fillId="0" borderId="0" xfId="78" quotePrefix="1" applyFont="1" applyFill="1" applyAlignment="1">
      <alignment vertical="center" readingOrder="2"/>
    </xf>
    <xf numFmtId="0" fontId="17" fillId="0" borderId="0" xfId="78" applyFill="1" applyAlignment="1">
      <alignment vertical="center" readingOrder="2"/>
    </xf>
    <xf numFmtId="0" fontId="17" fillId="0" borderId="0" xfId="78" applyFill="1" applyBorder="1" applyAlignment="1">
      <alignment vertical="center" shrinkToFit="1" readingOrder="2"/>
    </xf>
    <xf numFmtId="0" fontId="89" fillId="0" borderId="0" xfId="78" applyFont="1" applyFill="1" applyBorder="1" applyAlignment="1">
      <alignment horizontal="left" vertical="center" readingOrder="2"/>
    </xf>
    <xf numFmtId="0" fontId="17" fillId="0" borderId="0" xfId="78" applyFill="1" applyBorder="1" applyAlignment="1">
      <alignment vertical="center" readingOrder="2"/>
    </xf>
    <xf numFmtId="0" fontId="90" fillId="0" borderId="0" xfId="4" applyFont="1" applyFill="1" applyBorder="1" applyAlignment="1">
      <alignment vertical="center" readingOrder="2"/>
    </xf>
    <xf numFmtId="0" fontId="37" fillId="0" borderId="0" xfId="78" applyFont="1" applyFill="1" applyAlignment="1">
      <alignment vertical="center" readingOrder="2"/>
    </xf>
    <xf numFmtId="0" fontId="92" fillId="0" borderId="0" xfId="78" applyFont="1" applyFill="1" applyAlignment="1">
      <alignment vertical="center" readingOrder="2"/>
    </xf>
    <xf numFmtId="0" fontId="24" fillId="0" borderId="94" xfId="4" applyFont="1" applyFill="1" applyBorder="1" applyAlignment="1">
      <alignment horizontal="center" vertical="top" wrapText="1"/>
    </xf>
    <xf numFmtId="0" fontId="24" fillId="0" borderId="97" xfId="4" applyFont="1" applyFill="1" applyBorder="1" applyAlignment="1">
      <alignment horizontal="left"/>
    </xf>
    <xf numFmtId="0" fontId="24" fillId="0" borderId="98" xfId="4" applyFont="1" applyFill="1" applyBorder="1" applyAlignment="1">
      <alignment horizontal="left" wrapText="1"/>
    </xf>
    <xf numFmtId="0" fontId="24" fillId="0" borderId="75" xfId="78" applyFont="1" applyFill="1" applyBorder="1" applyAlignment="1">
      <alignment horizontal="center" vertical="center" wrapText="1" readingOrder="2"/>
    </xf>
    <xf numFmtId="0" fontId="93" fillId="0" borderId="0" xfId="78" applyFont="1" applyFill="1" applyAlignment="1">
      <alignment vertical="center" readingOrder="2"/>
    </xf>
    <xf numFmtId="0" fontId="24" fillId="0" borderId="0" xfId="78" applyFont="1" applyFill="1" applyAlignment="1">
      <alignment vertical="center"/>
    </xf>
    <xf numFmtId="0" fontId="17" fillId="0" borderId="0" xfId="78" applyFill="1" applyAlignment="1">
      <alignment vertical="center"/>
    </xf>
    <xf numFmtId="0" fontId="17" fillId="0" borderId="0" xfId="78" applyFill="1"/>
    <xf numFmtId="0" fontId="24" fillId="0" borderId="14" xfId="78" applyNumberFormat="1" applyFont="1" applyFill="1" applyBorder="1" applyAlignment="1">
      <alignment horizontal="center" vertical="center"/>
    </xf>
    <xf numFmtId="0" fontId="24" fillId="0" borderId="14" xfId="78" applyFont="1" applyFill="1" applyBorder="1" applyAlignment="1">
      <alignment horizontal="left" vertical="center" wrapText="1"/>
    </xf>
    <xf numFmtId="0" fontId="24" fillId="0" borderId="42" xfId="78" applyFont="1" applyFill="1" applyBorder="1" applyAlignment="1">
      <alignment horizontal="center" vertical="center"/>
    </xf>
    <xf numFmtId="0" fontId="24" fillId="0" borderId="9" xfId="78" applyFont="1" applyFill="1" applyBorder="1"/>
    <xf numFmtId="0" fontId="24" fillId="0" borderId="67" xfId="78" applyFont="1" applyFill="1" applyBorder="1"/>
    <xf numFmtId="0" fontId="24" fillId="0" borderId="66" xfId="78" applyFont="1" applyFill="1" applyBorder="1"/>
    <xf numFmtId="0" fontId="24" fillId="0" borderId="0" xfId="78" applyFont="1" applyFill="1" applyBorder="1" applyAlignment="1">
      <alignment vertical="center"/>
    </xf>
    <xf numFmtId="0" fontId="24" fillId="0" borderId="9" xfId="78" applyFont="1" applyFill="1" applyBorder="1" applyAlignment="1">
      <alignment vertical="center"/>
    </xf>
    <xf numFmtId="0" fontId="24" fillId="0" borderId="66" xfId="78" applyFont="1" applyFill="1" applyBorder="1" applyAlignment="1">
      <alignment vertical="center"/>
    </xf>
    <xf numFmtId="0" fontId="24" fillId="0" borderId="14" xfId="78" applyFont="1" applyFill="1" applyBorder="1"/>
    <xf numFmtId="0" fontId="24" fillId="0" borderId="0" xfId="78" applyFont="1" applyFill="1" applyAlignment="1">
      <alignment vertical="center" shrinkToFit="1" readingOrder="2"/>
    </xf>
    <xf numFmtId="0" fontId="24" fillId="0" borderId="0" xfId="78" applyFont="1" applyFill="1" applyAlignment="1">
      <alignment horizontal="left" vertical="center" readingOrder="2"/>
    </xf>
    <xf numFmtId="0" fontId="24" fillId="0" borderId="1" xfId="78" applyFont="1" applyFill="1" applyBorder="1" applyAlignment="1">
      <alignment vertical="center" readingOrder="2"/>
    </xf>
    <xf numFmtId="0" fontId="17" fillId="0" borderId="1" xfId="78" applyFill="1" applyBorder="1" applyAlignment="1">
      <alignment vertical="center" readingOrder="2"/>
    </xf>
    <xf numFmtId="0" fontId="17" fillId="0" borderId="0" xfId="78" applyFill="1" applyAlignment="1">
      <alignment vertical="center" shrinkToFit="1" readingOrder="2"/>
    </xf>
    <xf numFmtId="0" fontId="17" fillId="0" borderId="0" xfId="78" applyFill="1" applyAlignment="1">
      <alignment horizontal="left" vertical="center" readingOrder="2"/>
    </xf>
    <xf numFmtId="0" fontId="93" fillId="0" borderId="0" xfId="78" applyFont="1" applyFill="1"/>
    <xf numFmtId="0" fontId="30" fillId="0" borderId="0" xfId="78" applyFont="1" applyFill="1" applyAlignment="1">
      <alignment vertical="center" readingOrder="2"/>
    </xf>
    <xf numFmtId="0" fontId="17" fillId="0" borderId="0" xfId="78" applyFont="1" applyFill="1" applyAlignment="1">
      <alignment vertical="center" readingOrder="2"/>
    </xf>
    <xf numFmtId="0" fontId="24" fillId="0" borderId="10" xfId="78" applyFont="1" applyFill="1" applyBorder="1" applyAlignment="1">
      <alignment horizontal="center"/>
    </xf>
    <xf numFmtId="0" fontId="24" fillId="0" borderId="99" xfId="78" applyFont="1" applyFill="1" applyBorder="1" applyAlignment="1">
      <alignment horizontal="center"/>
    </xf>
    <xf numFmtId="49" fontId="25" fillId="0" borderId="0" xfId="78" applyNumberFormat="1" applyFont="1" applyFill="1" applyBorder="1" applyAlignment="1">
      <alignment horizontal="center" vertical="center"/>
    </xf>
    <xf numFmtId="0" fontId="25" fillId="0" borderId="0" xfId="78" applyFont="1" applyFill="1" applyBorder="1" applyAlignment="1">
      <alignment horizontal="right" vertical="center"/>
    </xf>
    <xf numFmtId="0" fontId="25" fillId="0" borderId="0" xfId="78" applyFont="1" applyFill="1" applyBorder="1" applyAlignment="1">
      <alignment horizontal="center" vertical="center"/>
    </xf>
    <xf numFmtId="0" fontId="24" fillId="0" borderId="103" xfId="78" applyFont="1" applyFill="1" applyBorder="1" applyAlignment="1">
      <alignment horizontal="center" vertical="center"/>
    </xf>
    <xf numFmtId="0" fontId="24" fillId="0" borderId="83" xfId="4" applyFont="1" applyFill="1" applyBorder="1" applyAlignment="1">
      <alignment horizontal="center" vertical="center" wrapText="1"/>
    </xf>
    <xf numFmtId="0" fontId="24" fillId="0" borderId="81" xfId="4" applyFont="1" applyFill="1" applyBorder="1" applyAlignment="1">
      <alignment horizontal="center" vertical="center" wrapText="1"/>
    </xf>
    <xf numFmtId="0" fontId="24" fillId="0" borderId="0" xfId="78" applyFont="1" applyFill="1" applyBorder="1" applyAlignment="1">
      <alignment horizontal="right" vertical="center" shrinkToFit="1" readingOrder="2"/>
    </xf>
    <xf numFmtId="0" fontId="24" fillId="0" borderId="99" xfId="78" applyFont="1" applyFill="1" applyBorder="1" applyAlignment="1">
      <alignment horizontal="center" vertical="center"/>
    </xf>
    <xf numFmtId="0" fontId="24" fillId="0" borderId="0" xfId="78" applyFont="1" applyFill="1" applyBorder="1" applyAlignment="1">
      <alignment horizontal="right" vertical="center" shrinkToFit="1" readingOrder="2"/>
    </xf>
    <xf numFmtId="0" fontId="51" fillId="0" borderId="10" xfId="173" applyFont="1" applyFill="1" applyBorder="1"/>
    <xf numFmtId="0" fontId="51" fillId="0" borderId="99" xfId="173" applyFont="1" applyFill="1" applyBorder="1"/>
    <xf numFmtId="0" fontId="51" fillId="0" borderId="14" xfId="173" applyFont="1" applyFill="1" applyBorder="1"/>
    <xf numFmtId="49" fontId="94" fillId="21" borderId="49" xfId="78" applyNumberFormat="1" applyFont="1" applyFill="1" applyBorder="1" applyAlignment="1">
      <alignment horizontal="center" vertical="center"/>
    </xf>
    <xf numFmtId="0" fontId="24" fillId="0" borderId="82" xfId="78" applyFont="1" applyFill="1" applyBorder="1" applyAlignment="1">
      <alignment horizontal="center" vertical="center" readingOrder="2"/>
    </xf>
    <xf numFmtId="0" fontId="24" fillId="0" borderId="29" xfId="78" applyFont="1" applyFill="1" applyBorder="1" applyAlignment="1">
      <alignment horizontal="center" vertical="center" readingOrder="2"/>
    </xf>
    <xf numFmtId="0" fontId="25" fillId="0" borderId="74" xfId="78" applyNumberFormat="1" applyFont="1" applyFill="1" applyBorder="1" applyAlignment="1">
      <alignment horizontal="center" vertical="center" readingOrder="2"/>
    </xf>
    <xf numFmtId="0" fontId="25" fillId="0" borderId="73" xfId="78" applyNumberFormat="1" applyFont="1" applyFill="1" applyBorder="1" applyAlignment="1">
      <alignment horizontal="center" vertical="center" readingOrder="2"/>
    </xf>
    <xf numFmtId="0" fontId="25" fillId="0" borderId="29" xfId="78" applyNumberFormat="1" applyFont="1" applyFill="1" applyBorder="1" applyAlignment="1">
      <alignment horizontal="center" vertical="center" readingOrder="2"/>
    </xf>
    <xf numFmtId="0" fontId="25" fillId="0" borderId="79" xfId="78" applyNumberFormat="1" applyFont="1" applyFill="1" applyBorder="1" applyAlignment="1">
      <alignment horizontal="center" vertical="center" readingOrder="2"/>
    </xf>
    <xf numFmtId="0" fontId="24" fillId="0" borderId="15" xfId="78" applyFont="1" applyFill="1" applyBorder="1" applyAlignment="1">
      <alignment horizontal="center" vertical="center" wrapText="1" readingOrder="1"/>
    </xf>
    <xf numFmtId="0" fontId="17" fillId="0" borderId="15" xfId="78" applyFont="1" applyFill="1" applyBorder="1" applyAlignment="1">
      <alignment vertical="center" wrapText="1" readingOrder="1"/>
    </xf>
    <xf numFmtId="0" fontId="24" fillId="0" borderId="56" xfId="78" applyFont="1" applyFill="1" applyBorder="1" applyAlignment="1">
      <alignment horizontal="center" vertical="center" wrapText="1" readingOrder="1"/>
    </xf>
    <xf numFmtId="0" fontId="17" fillId="0" borderId="56" xfId="78" applyFont="1" applyFill="1" applyBorder="1" applyAlignment="1">
      <alignment horizontal="center" vertical="center" wrapText="1" readingOrder="1"/>
    </xf>
    <xf numFmtId="0" fontId="32" fillId="0" borderId="74" xfId="78" applyNumberFormat="1" applyFont="1" applyFill="1" applyBorder="1" applyAlignment="1">
      <alignment horizontal="center" vertical="center" readingOrder="2"/>
    </xf>
    <xf numFmtId="0" fontId="32" fillId="0" borderId="29" xfId="78" applyNumberFormat="1" applyFont="1" applyFill="1" applyBorder="1" applyAlignment="1">
      <alignment horizontal="center" vertical="center" readingOrder="2"/>
    </xf>
    <xf numFmtId="0" fontId="24" fillId="0" borderId="106" xfId="4" applyFont="1" applyFill="1" applyBorder="1" applyAlignment="1">
      <alignment horizontal="center" wrapText="1"/>
    </xf>
    <xf numFmtId="0" fontId="24" fillId="0" borderId="98" xfId="4" applyFont="1" applyFill="1" applyBorder="1" applyAlignment="1">
      <alignment horizontal="center"/>
    </xf>
    <xf numFmtId="0" fontId="24" fillId="0" borderId="14" xfId="78" applyFont="1" applyFill="1" applyBorder="1" applyAlignment="1">
      <alignment horizontal="center"/>
    </xf>
    <xf numFmtId="0" fontId="24" fillId="0" borderId="8" xfId="2" applyFont="1" applyFill="1" applyBorder="1" applyAlignment="1"/>
    <xf numFmtId="0" fontId="24" fillId="0" borderId="15" xfId="3" quotePrefix="1" applyFont="1" applyFill="1" applyBorder="1" applyAlignment="1">
      <alignment vertical="top" wrapText="1"/>
    </xf>
    <xf numFmtId="0" fontId="24" fillId="0" borderId="1" xfId="2" applyFont="1" applyFill="1" applyBorder="1" applyAlignment="1">
      <alignment vertical="center" wrapText="1"/>
    </xf>
    <xf numFmtId="165" fontId="24" fillId="0" borderId="2" xfId="3" applyNumberFormat="1" applyFont="1" applyFill="1" applyBorder="1" applyAlignment="1">
      <alignment horizontal="center" vertical="top" wrapText="1"/>
    </xf>
    <xf numFmtId="0" fontId="41" fillId="0" borderId="5" xfId="3" applyFont="1" applyFill="1" applyBorder="1" applyAlignment="1">
      <alignment vertical="top"/>
    </xf>
    <xf numFmtId="0" fontId="24" fillId="0" borderId="0" xfId="15" applyFont="1" applyFill="1" applyBorder="1" applyAlignment="1">
      <alignment horizontal="center" vertical="center"/>
    </xf>
    <xf numFmtId="49" fontId="95" fillId="20" borderId="77" xfId="171" applyNumberFormat="1" applyFont="1" applyFill="1" applyBorder="1" applyAlignment="1">
      <alignment horizontal="center" vertical="center" shrinkToFit="1"/>
    </xf>
    <xf numFmtId="0" fontId="24" fillId="0" borderId="14" xfId="0" applyFont="1" applyFill="1" applyBorder="1" applyAlignment="1">
      <alignment horizontal="center"/>
    </xf>
    <xf numFmtId="0" fontId="0" fillId="0" borderId="0" xfId="0" applyFill="1" applyBorder="1"/>
    <xf numFmtId="0" fontId="17" fillId="0" borderId="0" xfId="0" applyFont="1" applyAlignment="1" applyProtection="1">
      <alignment readingOrder="1"/>
      <protection locked="0"/>
    </xf>
    <xf numFmtId="0" fontId="17" fillId="0" borderId="0" xfId="0" applyFont="1" applyAlignment="1" applyProtection="1">
      <alignment vertical="center" readingOrder="1"/>
      <protection locked="0"/>
    </xf>
    <xf numFmtId="0" fontId="17" fillId="0" borderId="0" xfId="0" applyFont="1" applyBorder="1" applyAlignment="1" applyProtection="1">
      <alignment vertical="center" readingOrder="1"/>
      <protection locked="0"/>
    </xf>
    <xf numFmtId="0" fontId="17" fillId="0" borderId="0" xfId="0" applyFont="1" applyFill="1" applyBorder="1" applyAlignment="1" applyProtection="1">
      <alignment vertical="center" readingOrder="1"/>
      <protection locked="0"/>
    </xf>
    <xf numFmtId="0" fontId="20" fillId="0" borderId="0" xfId="0" applyFont="1" applyFill="1" applyBorder="1" applyAlignment="1" applyProtection="1">
      <alignment vertical="center" readingOrder="1"/>
      <protection locked="0"/>
    </xf>
    <xf numFmtId="0" fontId="49" fillId="0" borderId="0" xfId="0" applyFont="1" applyFill="1" applyBorder="1" applyAlignment="1" applyProtection="1">
      <alignment readingOrder="1"/>
      <protection locked="0"/>
    </xf>
    <xf numFmtId="0" fontId="19" fillId="0" borderId="0" xfId="0" applyFont="1" applyFill="1" applyBorder="1" applyAlignment="1" applyProtection="1">
      <alignment readingOrder="1"/>
      <protection locked="0"/>
    </xf>
    <xf numFmtId="0" fontId="37" fillId="0" borderId="0" xfId="0" applyFont="1" applyBorder="1" applyAlignment="1" applyProtection="1">
      <alignment vertical="center" readingOrder="1"/>
      <protection locked="0"/>
    </xf>
    <xf numFmtId="0" fontId="17" fillId="0" borderId="0" xfId="0" applyFont="1" applyBorder="1" applyAlignment="1" applyProtection="1">
      <alignment readingOrder="1"/>
      <protection locked="0"/>
    </xf>
    <xf numFmtId="0" fontId="17" fillId="0" borderId="0" xfId="0" applyFont="1" applyFill="1" applyBorder="1" applyAlignment="1" applyProtection="1">
      <alignment horizontal="center" vertical="center" readingOrder="1"/>
      <protection locked="0"/>
    </xf>
    <xf numFmtId="0" fontId="17" fillId="0" borderId="0" xfId="0" applyFont="1" applyFill="1" applyBorder="1" applyAlignment="1" applyProtection="1">
      <alignment readingOrder="1"/>
      <protection locked="0"/>
    </xf>
    <xf numFmtId="0" fontId="17" fillId="0" borderId="113" xfId="0" applyFont="1" applyBorder="1" applyAlignment="1" applyProtection="1">
      <alignment readingOrder="1"/>
      <protection locked="0"/>
    </xf>
    <xf numFmtId="0" fontId="0" fillId="0" borderId="114" xfId="0" applyBorder="1" applyAlignment="1">
      <alignment vertical="center"/>
    </xf>
    <xf numFmtId="0" fontId="0" fillId="0" borderId="111" xfId="0" applyBorder="1" applyAlignment="1"/>
    <xf numFmtId="0" fontId="0" fillId="0" borderId="111" xfId="0" applyBorder="1" applyAlignment="1">
      <alignment vertical="center"/>
    </xf>
    <xf numFmtId="0" fontId="0" fillId="0" borderId="112" xfId="0" applyBorder="1" applyAlignment="1">
      <alignment vertical="center"/>
    </xf>
    <xf numFmtId="0" fontId="0" fillId="0" borderId="6" xfId="0" applyBorder="1" applyAlignment="1"/>
    <xf numFmtId="0" fontId="0" fillId="0" borderId="6" xfId="0" applyBorder="1" applyAlignment="1">
      <alignment vertical="center"/>
    </xf>
    <xf numFmtId="0" fontId="0" fillId="0" borderId="7" xfId="0" applyBorder="1" applyAlignment="1">
      <alignment vertical="center"/>
    </xf>
    <xf numFmtId="0" fontId="20" fillId="0" borderId="0" xfId="0" applyFont="1" applyAlignment="1">
      <alignment horizontal="left"/>
    </xf>
    <xf numFmtId="0" fontId="20" fillId="0" borderId="0" xfId="0" applyFont="1" applyAlignment="1">
      <alignment horizontal="left" vertical="center"/>
    </xf>
    <xf numFmtId="0" fontId="20" fillId="0" borderId="0" xfId="15" applyFont="1"/>
    <xf numFmtId="0" fontId="85" fillId="0" borderId="0" xfId="177" applyFont="1"/>
    <xf numFmtId="0" fontId="98" fillId="0" borderId="0" xfId="177" applyFont="1"/>
    <xf numFmtId="0" fontId="85" fillId="0" borderId="0" xfId="177" applyFont="1" applyBorder="1"/>
    <xf numFmtId="0" fontId="98" fillId="0" borderId="0" xfId="177" applyFont="1" applyBorder="1"/>
    <xf numFmtId="0" fontId="99" fillId="0" borderId="1" xfId="177" applyFont="1" applyBorder="1"/>
    <xf numFmtId="0" fontId="99" fillId="0" borderId="0" xfId="177" applyFont="1" applyBorder="1"/>
    <xf numFmtId="0" fontId="99" fillId="0" borderId="5" xfId="177" applyFont="1" applyBorder="1"/>
    <xf numFmtId="0" fontId="99" fillId="0" borderId="6" xfId="177" applyFont="1" applyBorder="1"/>
    <xf numFmtId="0" fontId="99" fillId="0" borderId="7" xfId="177" applyFont="1" applyBorder="1"/>
    <xf numFmtId="0" fontId="99" fillId="0" borderId="10" xfId="177" applyFont="1" applyBorder="1"/>
    <xf numFmtId="0" fontId="67" fillId="0" borderId="0" xfId="15" applyFont="1" applyBorder="1" applyAlignment="1">
      <alignment vertical="top"/>
    </xf>
    <xf numFmtId="0" fontId="50" fillId="0" borderId="0" xfId="15" applyFont="1" applyBorder="1" applyAlignment="1">
      <alignment vertical="top"/>
    </xf>
    <xf numFmtId="0" fontId="98" fillId="0" borderId="9" xfId="177" applyFont="1" applyBorder="1"/>
    <xf numFmtId="0" fontId="98" fillId="0" borderId="1" xfId="177" applyFont="1" applyBorder="1"/>
    <xf numFmtId="0" fontId="31" fillId="0" borderId="0" xfId="15" applyFont="1" applyBorder="1" applyAlignment="1">
      <alignment vertical="center" wrapText="1"/>
    </xf>
    <xf numFmtId="0" fontId="62" fillId="0" borderId="0" xfId="15" applyFont="1" applyFill="1" applyAlignment="1">
      <alignment vertical="center"/>
    </xf>
    <xf numFmtId="0" fontId="32" fillId="0" borderId="0" xfId="15" applyFont="1" applyFill="1" applyAlignment="1">
      <alignment vertical="center"/>
    </xf>
    <xf numFmtId="0" fontId="32" fillId="0" borderId="0" xfId="15" applyFont="1" applyFill="1" applyBorder="1" applyAlignment="1">
      <alignment vertical="center"/>
    </xf>
    <xf numFmtId="0" fontId="32" fillId="0" borderId="0" xfId="15" applyFont="1" applyFill="1" applyBorder="1"/>
    <xf numFmtId="0" fontId="32" fillId="0" borderId="0" xfId="15" applyFont="1" applyFill="1" applyBorder="1" applyAlignment="1">
      <alignment horizontal="center"/>
    </xf>
    <xf numFmtId="0" fontId="24" fillId="0" borderId="0" xfId="15" applyFont="1" applyFill="1" applyBorder="1" applyAlignment="1">
      <alignment horizontal="center"/>
    </xf>
    <xf numFmtId="0" fontId="30" fillId="0" borderId="0" xfId="15" applyFont="1" applyFill="1"/>
    <xf numFmtId="0" fontId="30" fillId="0" borderId="2" xfId="15" applyFont="1" applyFill="1" applyBorder="1"/>
    <xf numFmtId="0" fontId="24" fillId="0" borderId="2" xfId="15" applyFont="1" applyFill="1" applyBorder="1" applyAlignment="1">
      <alignment vertical="center" wrapText="1"/>
    </xf>
    <xf numFmtId="0" fontId="24" fillId="0" borderId="0" xfId="15" applyFont="1" applyFill="1" applyBorder="1" applyAlignment="1">
      <alignment vertical="center" wrapText="1"/>
    </xf>
    <xf numFmtId="0" fontId="30" fillId="0" borderId="21" xfId="15" applyFont="1" applyFill="1" applyBorder="1"/>
    <xf numFmtId="0" fontId="30" fillId="0" borderId="0" xfId="15" applyFont="1" applyFill="1" applyBorder="1"/>
    <xf numFmtId="0" fontId="24" fillId="0" borderId="1" xfId="15" applyFont="1" applyFill="1" applyBorder="1" applyAlignment="1">
      <alignment horizontal="center"/>
    </xf>
    <xf numFmtId="0" fontId="24" fillId="0" borderId="1" xfId="15" applyFont="1" applyFill="1" applyBorder="1" applyAlignment="1">
      <alignment horizontal="left" vertical="top"/>
    </xf>
    <xf numFmtId="0" fontId="24" fillId="0" borderId="0" xfId="15" applyFont="1" applyFill="1" applyBorder="1" applyAlignment="1">
      <alignment horizontal="left" vertical="top"/>
    </xf>
    <xf numFmtId="0" fontId="24" fillId="0" borderId="2" xfId="15" applyFont="1" applyFill="1" applyBorder="1"/>
    <xf numFmtId="0" fontId="24" fillId="0" borderId="0" xfId="15" applyFont="1" applyFill="1" applyBorder="1"/>
    <xf numFmtId="0" fontId="24" fillId="0" borderId="97" xfId="15" applyFont="1" applyFill="1" applyBorder="1" applyAlignment="1">
      <alignment horizontal="center" vertical="center"/>
    </xf>
    <xf numFmtId="0" fontId="24" fillId="0" borderId="109" xfId="15" applyFont="1" applyFill="1" applyBorder="1" applyAlignment="1">
      <alignment horizontal="center" vertical="center"/>
    </xf>
    <xf numFmtId="0" fontId="24" fillId="0" borderId="108" xfId="15" applyFont="1" applyFill="1" applyBorder="1" applyAlignment="1">
      <alignment horizontal="center" vertical="center"/>
    </xf>
    <xf numFmtId="0" fontId="30" fillId="0" borderId="97" xfId="15" applyFont="1" applyFill="1" applyBorder="1" applyAlignment="1">
      <alignment horizontal="center" vertical="top" wrapText="1"/>
    </xf>
    <xf numFmtId="0" fontId="39" fillId="0" borderId="109" xfId="15" applyFont="1" applyFill="1" applyBorder="1" applyAlignment="1">
      <alignment horizontal="right" vertical="top" wrapText="1"/>
    </xf>
    <xf numFmtId="0" fontId="39" fillId="0" borderId="97" xfId="15" applyFont="1" applyFill="1" applyBorder="1" applyAlignment="1">
      <alignment horizontal="right" vertical="top" wrapText="1"/>
    </xf>
    <xf numFmtId="0" fontId="24" fillId="0" borderId="97" xfId="15" applyFont="1" applyFill="1" applyBorder="1" applyAlignment="1">
      <alignment vertical="top"/>
    </xf>
    <xf numFmtId="0" fontId="24" fillId="0" borderId="108" xfId="15" applyFont="1" applyFill="1" applyBorder="1" applyAlignment="1">
      <alignment vertical="top"/>
    </xf>
    <xf numFmtId="0" fontId="24" fillId="0" borderId="109" xfId="15" applyFont="1" applyFill="1" applyBorder="1" applyAlignment="1">
      <alignment vertical="top"/>
    </xf>
    <xf numFmtId="0" fontId="24" fillId="0" borderId="110" xfId="15" applyFont="1" applyFill="1" applyBorder="1" applyAlignment="1">
      <alignment vertical="top"/>
    </xf>
    <xf numFmtId="165" fontId="24" fillId="0" borderId="30" xfId="15" applyNumberFormat="1" applyFont="1" applyFill="1" applyBorder="1" applyAlignment="1"/>
    <xf numFmtId="0" fontId="24" fillId="0" borderId="19" xfId="15" applyFont="1" applyFill="1" applyBorder="1"/>
    <xf numFmtId="0" fontId="24" fillId="0" borderId="20" xfId="15" applyFont="1" applyFill="1" applyBorder="1"/>
    <xf numFmtId="0" fontId="24" fillId="0" borderId="51" xfId="15" applyFont="1" applyFill="1" applyBorder="1"/>
    <xf numFmtId="165" fontId="24" fillId="0" borderId="8" xfId="15" applyNumberFormat="1" applyFont="1" applyFill="1" applyBorder="1" applyAlignment="1"/>
    <xf numFmtId="0" fontId="24" fillId="0" borderId="42" xfId="15" applyFont="1" applyFill="1" applyBorder="1"/>
    <xf numFmtId="0" fontId="24" fillId="0" borderId="8" xfId="15" applyFont="1" applyFill="1" applyBorder="1"/>
    <xf numFmtId="0" fontId="24" fillId="0" borderId="10" xfId="15" applyFont="1" applyFill="1" applyBorder="1"/>
    <xf numFmtId="0" fontId="24" fillId="0" borderId="55" xfId="15" applyFont="1" applyFill="1" applyBorder="1"/>
    <xf numFmtId="165" fontId="24" fillId="0" borderId="122" xfId="15" applyNumberFormat="1" applyFont="1" applyFill="1" applyBorder="1" applyAlignment="1"/>
    <xf numFmtId="0" fontId="24" fillId="0" borderId="124" xfId="15" applyFont="1" applyFill="1" applyBorder="1"/>
    <xf numFmtId="0" fontId="24" fillId="0" borderId="122" xfId="15" applyFont="1" applyFill="1" applyBorder="1"/>
    <xf numFmtId="0" fontId="24" fillId="0" borderId="120" xfId="15" applyFont="1" applyFill="1" applyBorder="1"/>
    <xf numFmtId="165" fontId="24" fillId="0" borderId="17" xfId="15" applyNumberFormat="1" applyFont="1" applyFill="1" applyBorder="1" applyAlignment="1"/>
    <xf numFmtId="0" fontId="24" fillId="0" borderId="126" xfId="15" applyFont="1" applyFill="1" applyBorder="1"/>
    <xf numFmtId="0" fontId="24" fillId="0" borderId="17" xfId="15" applyFont="1" applyFill="1" applyBorder="1"/>
    <xf numFmtId="0" fontId="24" fillId="0" borderId="16" xfId="15" applyFont="1" applyFill="1" applyBorder="1"/>
    <xf numFmtId="165" fontId="24" fillId="0" borderId="7" xfId="15" applyNumberFormat="1" applyFont="1" applyFill="1" applyBorder="1" applyAlignment="1">
      <alignment horizontal="center"/>
    </xf>
    <xf numFmtId="165" fontId="24" fillId="0" borderId="6" xfId="15" applyNumberFormat="1" applyFont="1" applyFill="1" applyBorder="1" applyAlignment="1"/>
    <xf numFmtId="165" fontId="24" fillId="0" borderId="5" xfId="15" applyNumberFormat="1" applyFont="1" applyFill="1" applyBorder="1" applyAlignment="1">
      <alignment horizontal="center"/>
    </xf>
    <xf numFmtId="165" fontId="24" fillId="0" borderId="6" xfId="15" applyNumberFormat="1" applyFont="1" applyFill="1" applyBorder="1" applyAlignment="1">
      <alignment horizontal="center"/>
    </xf>
    <xf numFmtId="0" fontId="24" fillId="0" borderId="26" xfId="15" applyFont="1" applyFill="1" applyBorder="1"/>
    <xf numFmtId="0" fontId="24" fillId="0" borderId="6" xfId="15" applyFont="1" applyFill="1" applyBorder="1"/>
    <xf numFmtId="0" fontId="24" fillId="0" borderId="5" xfId="15" applyFont="1" applyFill="1" applyBorder="1"/>
    <xf numFmtId="0" fontId="30" fillId="0" borderId="42" xfId="15" applyFont="1" applyFill="1" applyBorder="1"/>
    <xf numFmtId="0" fontId="30" fillId="0" borderId="8" xfId="15" applyFont="1" applyFill="1" applyBorder="1"/>
    <xf numFmtId="0" fontId="30" fillId="0" borderId="10" xfId="15" applyFont="1" applyFill="1" applyBorder="1"/>
    <xf numFmtId="165" fontId="24" fillId="0" borderId="38" xfId="15" applyNumberFormat="1" applyFont="1" applyFill="1" applyBorder="1" applyAlignment="1"/>
    <xf numFmtId="0" fontId="30" fillId="0" borderId="22" xfId="15" applyFont="1" applyFill="1" applyBorder="1"/>
    <xf numFmtId="0" fontId="30" fillId="0" borderId="97" xfId="15" applyFont="1" applyFill="1" applyBorder="1"/>
    <xf numFmtId="0" fontId="30" fillId="0" borderId="109" xfId="15" applyFont="1" applyFill="1" applyBorder="1"/>
    <xf numFmtId="0" fontId="104" fillId="0" borderId="0" xfId="15" applyFont="1" applyBorder="1" applyAlignment="1">
      <alignment horizontal="center" vertical="center"/>
    </xf>
    <xf numFmtId="0" fontId="24" fillId="0" borderId="0" xfId="15" applyFont="1" applyBorder="1" applyAlignment="1">
      <alignment horizontal="center" vertical="center"/>
    </xf>
    <xf numFmtId="0" fontId="63" fillId="0" borderId="0" xfId="180" applyFont="1" applyFill="1" applyBorder="1" applyAlignment="1"/>
    <xf numFmtId="0" fontId="63" fillId="0" borderId="0" xfId="180" applyFont="1" applyAlignment="1">
      <alignment horizontal="right"/>
    </xf>
    <xf numFmtId="0" fontId="63" fillId="0" borderId="0" xfId="180" applyFont="1" applyFill="1" applyBorder="1"/>
    <xf numFmtId="0" fontId="62" fillId="0" borderId="0" xfId="180" applyFont="1" applyFill="1" applyAlignment="1">
      <alignment vertical="center"/>
    </xf>
    <xf numFmtId="0" fontId="32" fillId="0" borderId="0" xfId="180" applyFont="1" applyFill="1" applyBorder="1" applyAlignment="1">
      <alignment vertical="center"/>
    </xf>
    <xf numFmtId="0" fontId="32" fillId="0" borderId="0" xfId="180" applyFont="1" applyAlignment="1">
      <alignment horizontal="right" vertical="center"/>
    </xf>
    <xf numFmtId="0" fontId="25" fillId="0" borderId="0" xfId="180" applyFont="1" applyFill="1"/>
    <xf numFmtId="0" fontId="32" fillId="0" borderId="0" xfId="180" applyFont="1" applyFill="1" applyBorder="1"/>
    <xf numFmtId="0" fontId="32" fillId="0" borderId="0" xfId="180" applyFont="1" applyBorder="1" applyAlignment="1">
      <alignment horizontal="right"/>
    </xf>
    <xf numFmtId="0" fontId="32" fillId="0" borderId="0" xfId="180" applyFont="1" applyAlignment="1">
      <alignment horizontal="right"/>
    </xf>
    <xf numFmtId="0" fontId="25" fillId="0" borderId="0" xfId="180" applyFont="1" applyBorder="1" applyAlignment="1"/>
    <xf numFmtId="0" fontId="24" fillId="0" borderId="0" xfId="181" applyFont="1" applyFill="1" applyBorder="1"/>
    <xf numFmtId="0" fontId="71" fillId="0" borderId="0" xfId="180" applyFont="1" applyFill="1" applyBorder="1" applyAlignment="1">
      <alignment horizontal="right" vertical="center"/>
    </xf>
    <xf numFmtId="166" fontId="30" fillId="0" borderId="0" xfId="181" applyNumberFormat="1" applyFont="1" applyAlignment="1"/>
    <xf numFmtId="0" fontId="25" fillId="2" borderId="21" xfId="2" applyFont="1" applyFill="1" applyBorder="1" applyAlignment="1">
      <alignment vertical="top"/>
    </xf>
    <xf numFmtId="0" fontId="30" fillId="0" borderId="0" xfId="181" applyFont="1" applyAlignment="1"/>
    <xf numFmtId="0" fontId="24" fillId="0" borderId="66" xfId="180" applyFont="1" applyBorder="1" applyAlignment="1">
      <alignment horizontal="center" vertical="center" wrapText="1"/>
    </xf>
    <xf numFmtId="0" fontId="24" fillId="0" borderId="14" xfId="180" applyFont="1" applyBorder="1" applyAlignment="1">
      <alignment horizontal="center" vertical="center" wrapText="1"/>
    </xf>
    <xf numFmtId="0" fontId="24" fillId="0" borderId="67" xfId="180" applyFont="1" applyBorder="1" applyAlignment="1">
      <alignment horizontal="center" vertical="center" wrapText="1"/>
    </xf>
    <xf numFmtId="0" fontId="24" fillId="0" borderId="127" xfId="181" applyFont="1" applyFill="1" applyBorder="1" applyAlignment="1">
      <alignment horizontal="center" vertical="center" wrapText="1"/>
    </xf>
    <xf numFmtId="0" fontId="24" fillId="0" borderId="6" xfId="181" applyFont="1" applyFill="1" applyBorder="1" applyAlignment="1">
      <alignment wrapText="1"/>
    </xf>
    <xf numFmtId="0" fontId="24" fillId="0" borderId="44" xfId="181" applyFont="1" applyFill="1" applyBorder="1" applyAlignment="1">
      <alignment horizontal="center" vertical="center"/>
    </xf>
    <xf numFmtId="0" fontId="24" fillId="0" borderId="35" xfId="181" applyFont="1" applyFill="1" applyBorder="1" applyAlignment="1">
      <alignment horizontal="center" vertical="center"/>
    </xf>
    <xf numFmtId="0" fontId="24" fillId="0" borderId="65" xfId="181" applyFont="1" applyFill="1" applyBorder="1" applyAlignment="1">
      <alignment horizontal="center" vertical="center"/>
    </xf>
    <xf numFmtId="0" fontId="24" fillId="0" borderId="81" xfId="181" applyFont="1" applyFill="1" applyBorder="1" applyAlignment="1">
      <alignment horizontal="center" vertical="center" wrapText="1"/>
    </xf>
    <xf numFmtId="0" fontId="24" fillId="0" borderId="8" xfId="181" applyFont="1" applyFill="1" applyBorder="1" applyAlignment="1">
      <alignment wrapText="1"/>
    </xf>
    <xf numFmtId="0" fontId="24" fillId="0" borderId="14" xfId="181" applyFont="1" applyFill="1" applyBorder="1" applyAlignment="1">
      <alignment horizontal="center" vertical="center"/>
    </xf>
    <xf numFmtId="0" fontId="24" fillId="0" borderId="9" xfId="181" applyFont="1" applyFill="1" applyBorder="1" applyAlignment="1">
      <alignment horizontal="center" vertical="center"/>
    </xf>
    <xf numFmtId="0" fontId="24" fillId="0" borderId="67" xfId="181" applyFont="1" applyFill="1" applyBorder="1" applyAlignment="1">
      <alignment horizontal="center" vertical="center"/>
    </xf>
    <xf numFmtId="0" fontId="24" fillId="0" borderId="103" xfId="181" applyFont="1" applyFill="1" applyBorder="1" applyAlignment="1">
      <alignment horizontal="center" vertical="center" wrapText="1"/>
    </xf>
    <xf numFmtId="0" fontId="24" fillId="0" borderId="38" xfId="181" applyFont="1" applyFill="1" applyBorder="1" applyAlignment="1">
      <alignment wrapText="1"/>
    </xf>
    <xf numFmtId="0" fontId="24" fillId="0" borderId="49" xfId="181" applyFont="1" applyFill="1" applyBorder="1" applyAlignment="1">
      <alignment horizontal="center" vertical="center"/>
    </xf>
    <xf numFmtId="0" fontId="24" fillId="0" borderId="39" xfId="181" applyFont="1" applyFill="1" applyBorder="1" applyAlignment="1">
      <alignment horizontal="center" vertical="center"/>
    </xf>
    <xf numFmtId="0" fontId="24" fillId="0" borderId="75" xfId="181" applyFont="1" applyFill="1" applyBorder="1" applyAlignment="1">
      <alignment horizontal="center" vertical="center"/>
    </xf>
    <xf numFmtId="49" fontId="25" fillId="0" borderId="0" xfId="181" applyNumberFormat="1" applyFont="1" applyFill="1" applyBorder="1" applyAlignment="1">
      <alignment horizontal="center" vertical="center"/>
    </xf>
    <xf numFmtId="0" fontId="24" fillId="0" borderId="0" xfId="181" applyFont="1" applyFill="1" applyBorder="1" applyAlignment="1">
      <alignment horizontal="center" vertical="center" wrapText="1"/>
    </xf>
    <xf numFmtId="0" fontId="24" fillId="0" borderId="28" xfId="181" applyFont="1" applyFill="1" applyBorder="1" applyAlignment="1">
      <alignment horizontal="center" wrapText="1"/>
    </xf>
    <xf numFmtId="0" fontId="24" fillId="0" borderId="28" xfId="181" applyFont="1" applyFill="1" applyBorder="1" applyAlignment="1">
      <alignment wrapText="1"/>
    </xf>
    <xf numFmtId="0" fontId="24" fillId="0" borderId="0" xfId="181" applyFont="1" applyFill="1" applyBorder="1" applyAlignment="1">
      <alignment horizontal="center" vertical="center"/>
    </xf>
    <xf numFmtId="0" fontId="24" fillId="0" borderId="0" xfId="181" applyFont="1" applyFill="1" applyBorder="1" applyAlignment="1">
      <alignment horizontal="center" wrapText="1"/>
    </xf>
    <xf numFmtId="0" fontId="24" fillId="0" borderId="0" xfId="181" applyFont="1" applyFill="1" applyBorder="1" applyAlignment="1">
      <alignment wrapText="1"/>
    </xf>
    <xf numFmtId="0" fontId="24" fillId="0" borderId="62" xfId="181" applyFont="1" applyFill="1" applyBorder="1" applyAlignment="1">
      <alignment horizontal="center" vertical="center" wrapText="1"/>
    </xf>
    <xf numFmtId="0" fontId="24" fillId="0" borderId="30" xfId="181" applyFont="1" applyFill="1" applyBorder="1" applyAlignment="1">
      <alignment wrapText="1"/>
    </xf>
    <xf numFmtId="0" fontId="24" fillId="0" borderId="66" xfId="181" applyFont="1" applyFill="1" applyBorder="1" applyAlignment="1">
      <alignment horizontal="center" vertical="center" wrapText="1"/>
    </xf>
    <xf numFmtId="0" fontId="24" fillId="0" borderId="78" xfId="181" applyFont="1" applyFill="1" applyBorder="1" applyAlignment="1">
      <alignment horizontal="center" vertical="center" wrapText="1"/>
    </xf>
    <xf numFmtId="0" fontId="17" fillId="0" borderId="0" xfId="180" applyAlignment="1"/>
    <xf numFmtId="0" fontId="24" fillId="0" borderId="0" xfId="181" applyFont="1"/>
    <xf numFmtId="0" fontId="17" fillId="0" borderId="0" xfId="180"/>
    <xf numFmtId="0" fontId="24" fillId="0" borderId="0" xfId="180" applyFont="1" applyBorder="1"/>
    <xf numFmtId="0" fontId="17" fillId="0" borderId="23" xfId="180" applyBorder="1"/>
    <xf numFmtId="0" fontId="17" fillId="0" borderId="0" xfId="180" applyBorder="1"/>
    <xf numFmtId="0" fontId="17" fillId="0" borderId="22" xfId="180" applyBorder="1"/>
    <xf numFmtId="0" fontId="17" fillId="0" borderId="97" xfId="180" applyBorder="1"/>
    <xf numFmtId="0" fontId="17" fillId="0" borderId="110" xfId="180" applyBorder="1"/>
    <xf numFmtId="0" fontId="63" fillId="0" borderId="0" xfId="180" applyFont="1" applyAlignment="1"/>
    <xf numFmtId="0" fontId="25" fillId="0" borderId="0" xfId="180" applyFont="1" applyFill="1" applyBorder="1" applyAlignment="1">
      <alignment vertical="center"/>
    </xf>
    <xf numFmtId="0" fontId="32" fillId="0" borderId="0" xfId="180" applyFont="1" applyFill="1" applyAlignment="1">
      <alignment vertical="center"/>
    </xf>
    <xf numFmtId="0" fontId="32" fillId="0" borderId="0" xfId="180" applyFont="1" applyFill="1" applyAlignment="1">
      <alignment horizontal="right" vertical="center"/>
    </xf>
    <xf numFmtId="0" fontId="25" fillId="0" borderId="0" xfId="180" applyFont="1" applyFill="1" applyBorder="1"/>
    <xf numFmtId="0" fontId="25" fillId="0" borderId="0" xfId="180" applyFont="1" applyFill="1" applyBorder="1" applyAlignment="1"/>
    <xf numFmtId="0" fontId="25" fillId="0" borderId="0" xfId="180" applyFont="1" applyFill="1" applyAlignment="1">
      <alignment vertical="center"/>
    </xf>
    <xf numFmtId="0" fontId="17" fillId="0" borderId="0" xfId="180" applyFill="1"/>
    <xf numFmtId="0" fontId="17" fillId="0" borderId="1" xfId="180" applyFill="1" applyBorder="1" applyAlignment="1"/>
    <xf numFmtId="0" fontId="24" fillId="0" borderId="1" xfId="180" applyFont="1" applyFill="1" applyBorder="1" applyAlignment="1">
      <alignment horizontal="left" vertical="top"/>
    </xf>
    <xf numFmtId="0" fontId="24" fillId="0" borderId="0" xfId="180" applyFont="1" applyFill="1" applyBorder="1" applyAlignment="1">
      <alignment horizontal="right" vertical="top"/>
    </xf>
    <xf numFmtId="0" fontId="24" fillId="0" borderId="2" xfId="180" applyFont="1" applyFill="1" applyBorder="1" applyAlignment="1">
      <alignment horizontal="left" vertical="top"/>
    </xf>
    <xf numFmtId="0" fontId="24" fillId="0" borderId="1" xfId="180" applyFont="1" applyFill="1" applyBorder="1" applyAlignment="1">
      <alignment horizontal="left"/>
    </xf>
    <xf numFmtId="0" fontId="24" fillId="0" borderId="1" xfId="180" applyFont="1" applyBorder="1" applyAlignment="1"/>
    <xf numFmtId="0" fontId="24" fillId="0" borderId="0" xfId="180" applyFont="1" applyBorder="1" applyAlignment="1"/>
    <xf numFmtId="0" fontId="24" fillId="0" borderId="2" xfId="180" applyFont="1" applyBorder="1" applyAlignment="1"/>
    <xf numFmtId="0" fontId="24" fillId="0" borderId="2" xfId="180" applyFont="1" applyFill="1" applyBorder="1" applyAlignment="1">
      <alignment horizontal="center"/>
    </xf>
    <xf numFmtId="0" fontId="24" fillId="0" borderId="23" xfId="180" applyFont="1" applyFill="1" applyBorder="1" applyAlignment="1">
      <alignment horizontal="center" vertical="top"/>
    </xf>
    <xf numFmtId="0" fontId="24" fillId="0" borderId="21" xfId="180" applyFont="1" applyFill="1" applyBorder="1" applyAlignment="1">
      <alignment horizontal="left" vertical="top"/>
    </xf>
    <xf numFmtId="0" fontId="24" fillId="0" borderId="110" xfId="180" applyFont="1" applyFill="1" applyBorder="1" applyAlignment="1">
      <alignment horizontal="center" vertical="center"/>
    </xf>
    <xf numFmtId="0" fontId="24" fillId="0" borderId="22" xfId="180" applyFont="1" applyFill="1" applyBorder="1" applyAlignment="1">
      <alignment horizontal="center" vertical="center"/>
    </xf>
    <xf numFmtId="0" fontId="19" fillId="0" borderId="0" xfId="180" applyFont="1" applyFill="1"/>
    <xf numFmtId="0" fontId="24" fillId="0" borderId="97" xfId="180" applyFont="1" applyFill="1" applyBorder="1" applyAlignment="1">
      <alignment horizontal="center"/>
    </xf>
    <xf numFmtId="0" fontId="24" fillId="0" borderId="22" xfId="180" applyFont="1" applyFill="1" applyBorder="1" applyAlignment="1">
      <alignment vertical="center"/>
    </xf>
    <xf numFmtId="0" fontId="24" fillId="0" borderId="108" xfId="180" applyFont="1" applyFill="1" applyBorder="1" applyAlignment="1">
      <alignment vertical="center"/>
    </xf>
    <xf numFmtId="165" fontId="25" fillId="0" borderId="31" xfId="180" applyNumberFormat="1" applyFont="1" applyFill="1" applyBorder="1" applyAlignment="1">
      <alignment horizontal="center"/>
    </xf>
    <xf numFmtId="165" fontId="24" fillId="0" borderId="36" xfId="180" applyNumberFormat="1" applyFont="1" applyFill="1" applyBorder="1" applyAlignment="1">
      <alignment horizontal="center"/>
    </xf>
    <xf numFmtId="165" fontId="24" fillId="0" borderId="44" xfId="180" applyNumberFormat="1" applyFont="1" applyFill="1" applyBorder="1" applyAlignment="1">
      <alignment horizontal="center"/>
    </xf>
    <xf numFmtId="165" fontId="24" fillId="0" borderId="30" xfId="180" applyNumberFormat="1" applyFont="1" applyFill="1" applyBorder="1" applyAlignment="1">
      <alignment horizontal="center"/>
    </xf>
    <xf numFmtId="165" fontId="24" fillId="0" borderId="35" xfId="180" applyNumberFormat="1" applyFont="1" applyFill="1" applyBorder="1" applyAlignment="1">
      <alignment horizontal="center"/>
    </xf>
    <xf numFmtId="165" fontId="24" fillId="0" borderId="36" xfId="180" applyNumberFormat="1" applyFont="1" applyFill="1" applyBorder="1" applyAlignment="1"/>
    <xf numFmtId="165" fontId="24" fillId="0" borderId="30" xfId="180" applyNumberFormat="1" applyFont="1" applyFill="1" applyBorder="1" applyAlignment="1"/>
    <xf numFmtId="165" fontId="24" fillId="0" borderId="35" xfId="180" applyNumberFormat="1" applyFont="1" applyFill="1" applyBorder="1" applyAlignment="1"/>
    <xf numFmtId="165" fontId="24" fillId="0" borderId="32" xfId="180" applyNumberFormat="1" applyFont="1" applyFill="1" applyBorder="1" applyAlignment="1"/>
    <xf numFmtId="0" fontId="24" fillId="0" borderId="0" xfId="180" applyFont="1" applyFill="1" applyAlignment="1">
      <alignment vertical="center"/>
    </xf>
    <xf numFmtId="165" fontId="25" fillId="22" borderId="26" xfId="180" applyNumberFormat="1" applyFont="1" applyFill="1" applyBorder="1" applyAlignment="1">
      <alignment horizontal="center"/>
    </xf>
    <xf numFmtId="165" fontId="24" fillId="22" borderId="5" xfId="180" applyNumberFormat="1" applyFont="1" applyFill="1" applyBorder="1" applyAlignment="1">
      <alignment horizontal="center"/>
    </xf>
    <xf numFmtId="165" fontId="24" fillId="22" borderId="13" xfId="180" applyNumberFormat="1" applyFont="1" applyFill="1" applyBorder="1" applyAlignment="1">
      <alignment horizontal="center"/>
    </xf>
    <xf numFmtId="165" fontId="24" fillId="22" borderId="10" xfId="180" applyNumberFormat="1" applyFont="1" applyFill="1" applyBorder="1" applyAlignment="1">
      <alignment horizontal="center"/>
    </xf>
    <xf numFmtId="165" fontId="24" fillId="22" borderId="8" xfId="180" applyNumberFormat="1" applyFont="1" applyFill="1" applyBorder="1" applyAlignment="1">
      <alignment horizontal="center"/>
    </xf>
    <xf numFmtId="165" fontId="24" fillId="22" borderId="14" xfId="180" applyNumberFormat="1" applyFont="1" applyFill="1" applyBorder="1" applyAlignment="1">
      <alignment horizontal="center"/>
    </xf>
    <xf numFmtId="165" fontId="24" fillId="22" borderId="9" xfId="180" applyNumberFormat="1" applyFont="1" applyFill="1" applyBorder="1" applyAlignment="1">
      <alignment horizontal="center"/>
    </xf>
    <xf numFmtId="165" fontId="24" fillId="22" borderId="10" xfId="180" applyNumberFormat="1" applyFont="1" applyFill="1" applyBorder="1" applyAlignment="1"/>
    <xf numFmtId="165" fontId="24" fillId="22" borderId="8" xfId="180" applyNumberFormat="1" applyFont="1" applyFill="1" applyBorder="1" applyAlignment="1"/>
    <xf numFmtId="165" fontId="24" fillId="22" borderId="9" xfId="180" applyNumberFormat="1" applyFont="1" applyFill="1" applyBorder="1" applyAlignment="1"/>
    <xf numFmtId="165" fontId="24" fillId="22" borderId="37" xfId="180" applyNumberFormat="1" applyFont="1" applyFill="1" applyBorder="1" applyAlignment="1"/>
    <xf numFmtId="165" fontId="24" fillId="22" borderId="128" xfId="180" applyNumberFormat="1" applyFont="1" applyFill="1" applyBorder="1" applyAlignment="1"/>
    <xf numFmtId="165" fontId="25" fillId="0" borderId="42" xfId="180" applyNumberFormat="1" applyFont="1" applyFill="1" applyBorder="1" applyAlignment="1">
      <alignment horizontal="center"/>
    </xf>
    <xf numFmtId="165" fontId="24" fillId="0" borderId="10" xfId="180" applyNumberFormat="1" applyFont="1" applyFill="1" applyBorder="1" applyAlignment="1">
      <alignment horizontal="center"/>
    </xf>
    <xf numFmtId="165" fontId="24" fillId="0" borderId="14" xfId="180" applyNumberFormat="1" applyFont="1" applyFill="1" applyBorder="1" applyAlignment="1">
      <alignment horizontal="center"/>
    </xf>
    <xf numFmtId="165" fontId="24" fillId="0" borderId="8" xfId="180" applyNumberFormat="1" applyFont="1" applyFill="1" applyBorder="1" applyAlignment="1">
      <alignment horizontal="center"/>
    </xf>
    <xf numFmtId="165" fontId="24" fillId="0" borderId="9" xfId="180" applyNumberFormat="1" applyFont="1" applyFill="1" applyBorder="1" applyAlignment="1">
      <alignment horizontal="center"/>
    </xf>
    <xf numFmtId="165" fontId="24" fillId="0" borderId="10" xfId="180" applyNumberFormat="1" applyFont="1" applyFill="1" applyBorder="1" applyAlignment="1"/>
    <xf numFmtId="165" fontId="24" fillId="0" borderId="8" xfId="180" applyNumberFormat="1" applyFont="1" applyFill="1" applyBorder="1" applyAlignment="1"/>
    <xf numFmtId="165" fontId="24" fillId="0" borderId="9" xfId="180" applyNumberFormat="1" applyFont="1" applyFill="1" applyBorder="1" applyAlignment="1"/>
    <xf numFmtId="165" fontId="24" fillId="0" borderId="37" xfId="180" applyNumberFormat="1" applyFont="1" applyFill="1" applyBorder="1" applyAlignment="1"/>
    <xf numFmtId="165" fontId="24" fillId="0" borderId="128" xfId="180" applyNumberFormat="1" applyFont="1" applyFill="1" applyBorder="1" applyAlignment="1"/>
    <xf numFmtId="165" fontId="25" fillId="22" borderId="22" xfId="180" applyNumberFormat="1" applyFont="1" applyFill="1" applyBorder="1" applyAlignment="1">
      <alignment horizontal="center"/>
    </xf>
    <xf numFmtId="165" fontId="24" fillId="22" borderId="109" xfId="180" applyNumberFormat="1" applyFont="1" applyFill="1" applyBorder="1" applyAlignment="1">
      <alignment horizontal="center"/>
    </xf>
    <xf numFmtId="165" fontId="24" fillId="22" borderId="56" xfId="180" applyNumberFormat="1" applyFont="1" applyFill="1" applyBorder="1" applyAlignment="1">
      <alignment horizontal="center"/>
    </xf>
    <xf numFmtId="165" fontId="24" fillId="22" borderId="40" xfId="180" applyNumberFormat="1" applyFont="1" applyFill="1" applyBorder="1" applyAlignment="1">
      <alignment horizontal="center"/>
    </xf>
    <xf numFmtId="165" fontId="24" fillId="22" borderId="38" xfId="180" applyNumberFormat="1" applyFont="1" applyFill="1" applyBorder="1" applyAlignment="1">
      <alignment horizontal="center"/>
    </xf>
    <xf numFmtId="165" fontId="24" fillId="22" borderId="49" xfId="180" applyNumberFormat="1" applyFont="1" applyFill="1" applyBorder="1" applyAlignment="1">
      <alignment horizontal="center"/>
    </xf>
    <xf numFmtId="165" fontId="24" fillId="22" borderId="39" xfId="180" applyNumberFormat="1" applyFont="1" applyFill="1" applyBorder="1" applyAlignment="1">
      <alignment horizontal="center"/>
    </xf>
    <xf numFmtId="165" fontId="24" fillId="22" borderId="40" xfId="180" applyNumberFormat="1" applyFont="1" applyFill="1" applyBorder="1" applyAlignment="1"/>
    <xf numFmtId="165" fontId="24" fillId="22" borderId="38" xfId="180" applyNumberFormat="1" applyFont="1" applyFill="1" applyBorder="1" applyAlignment="1"/>
    <xf numFmtId="165" fontId="24" fillId="22" borderId="39" xfId="180" applyNumberFormat="1" applyFont="1" applyFill="1" applyBorder="1" applyAlignment="1"/>
    <xf numFmtId="165" fontId="24" fillId="22" borderId="41" xfId="180" applyNumberFormat="1" applyFont="1" applyFill="1" applyBorder="1" applyAlignment="1"/>
    <xf numFmtId="165" fontId="24" fillId="22" borderId="129" xfId="180" applyNumberFormat="1" applyFont="1" applyFill="1" applyBorder="1" applyAlignment="1"/>
    <xf numFmtId="166" fontId="62" fillId="0" borderId="0" xfId="180" applyNumberFormat="1" applyFont="1" applyFill="1" applyAlignment="1">
      <alignment vertical="center"/>
    </xf>
    <xf numFmtId="166" fontId="32" fillId="0" borderId="0" xfId="180" applyNumberFormat="1" applyFont="1" applyFill="1" applyBorder="1" applyAlignment="1">
      <alignment vertical="center"/>
    </xf>
    <xf numFmtId="166" fontId="25" fillId="0" borderId="0" xfId="180" applyNumberFormat="1" applyFont="1" applyFill="1" applyAlignment="1">
      <alignment horizontal="left"/>
    </xf>
    <xf numFmtId="166" fontId="32" fillId="0" borderId="0" xfId="180" applyNumberFormat="1" applyFont="1" applyFill="1" applyBorder="1"/>
    <xf numFmtId="166" fontId="30" fillId="0" borderId="0" xfId="180" applyNumberFormat="1" applyFont="1" applyFill="1" applyAlignment="1">
      <alignment horizontal="center"/>
    </xf>
    <xf numFmtId="166" fontId="30" fillId="0" borderId="0" xfId="180" applyNumberFormat="1" applyFont="1" applyFill="1"/>
    <xf numFmtId="0" fontId="30" fillId="0" borderId="0" xfId="180" applyFont="1" applyFill="1"/>
    <xf numFmtId="0" fontId="24" fillId="0" borderId="1" xfId="180" applyFont="1" applyFill="1" applyBorder="1" applyAlignment="1">
      <alignment horizontal="center"/>
    </xf>
    <xf numFmtId="166" fontId="24" fillId="0" borderId="0" xfId="180" applyNumberFormat="1" applyFont="1" applyFill="1" applyBorder="1" applyAlignment="1">
      <alignment horizontal="center"/>
    </xf>
    <xf numFmtId="0" fontId="24" fillId="0" borderId="0" xfId="180" applyFont="1" applyFill="1"/>
    <xf numFmtId="166" fontId="24" fillId="0" borderId="0" xfId="180" applyNumberFormat="1" applyFont="1" applyFill="1" applyAlignment="1">
      <alignment horizontal="left" vertical="center"/>
    </xf>
    <xf numFmtId="167" fontId="24" fillId="0" borderId="0" xfId="180" applyNumberFormat="1" applyFont="1" applyFill="1" applyAlignment="1">
      <alignment horizontal="left" vertical="center"/>
    </xf>
    <xf numFmtId="0" fontId="24" fillId="0" borderId="19" xfId="180" applyFont="1" applyFill="1" applyBorder="1"/>
    <xf numFmtId="0" fontId="24" fillId="0" borderId="24" xfId="180" applyFont="1" applyFill="1" applyBorder="1"/>
    <xf numFmtId="0" fontId="24" fillId="0" borderId="21" xfId="180" applyFont="1" applyFill="1" applyBorder="1"/>
    <xf numFmtId="0" fontId="24" fillId="0" borderId="23" xfId="180" applyFont="1" applyFill="1" applyBorder="1"/>
    <xf numFmtId="0" fontId="24" fillId="0" borderId="0" xfId="180" applyFont="1" applyFill="1" applyBorder="1"/>
    <xf numFmtId="0" fontId="24" fillId="0" borderId="22" xfId="180" applyFont="1" applyFill="1" applyBorder="1"/>
    <xf numFmtId="0" fontId="24" fillId="0" borderId="97" xfId="180" applyFont="1" applyFill="1" applyBorder="1"/>
    <xf numFmtId="0" fontId="24" fillId="0" borderId="110" xfId="180" applyFont="1" applyFill="1" applyBorder="1"/>
    <xf numFmtId="0" fontId="24" fillId="0" borderId="0" xfId="180" applyFont="1" applyFill="1" applyBorder="1" applyAlignment="1">
      <alignment vertical="center"/>
    </xf>
    <xf numFmtId="0" fontId="24" fillId="0" borderId="0" xfId="180" applyFont="1" applyFill="1" applyBorder="1" applyAlignment="1">
      <alignment horizontal="right" vertical="center"/>
    </xf>
    <xf numFmtId="0" fontId="24" fillId="0" borderId="0" xfId="180" applyFont="1" applyFill="1" applyAlignment="1">
      <alignment horizontal="left"/>
    </xf>
    <xf numFmtId="0" fontId="24" fillId="0" borderId="97" xfId="180" applyFont="1" applyFill="1" applyBorder="1" applyAlignment="1">
      <alignment horizontal="right" vertical="top"/>
    </xf>
    <xf numFmtId="0" fontId="24" fillId="0" borderId="20" xfId="180" applyFont="1" applyFill="1" applyBorder="1"/>
    <xf numFmtId="0" fontId="18" fillId="0" borderId="0" xfId="180" applyFont="1" applyAlignment="1">
      <alignment horizontal="left"/>
    </xf>
    <xf numFmtId="165" fontId="24" fillId="0" borderId="0" xfId="180" applyNumberFormat="1" applyFont="1" applyFill="1" applyBorder="1"/>
    <xf numFmtId="0" fontId="24" fillId="0" borderId="13" xfId="180" applyFont="1" applyFill="1" applyBorder="1"/>
    <xf numFmtId="0" fontId="24" fillId="0" borderId="15" xfId="180" applyFont="1" applyFill="1" applyBorder="1" applyAlignment="1">
      <alignment vertical="center"/>
    </xf>
    <xf numFmtId="0" fontId="24" fillId="0" borderId="13" xfId="180" applyFont="1" applyFill="1" applyBorder="1" applyAlignment="1">
      <alignment vertical="center"/>
    </xf>
    <xf numFmtId="0" fontId="24" fillId="0" borderId="5" xfId="180" applyFont="1" applyFill="1" applyBorder="1" applyAlignment="1">
      <alignment vertical="center"/>
    </xf>
    <xf numFmtId="0" fontId="24" fillId="0" borderId="7" xfId="180" applyFont="1" applyFill="1" applyBorder="1" applyAlignment="1">
      <alignment vertical="center"/>
    </xf>
    <xf numFmtId="0" fontId="24" fillId="0" borderId="0" xfId="180" applyFont="1" applyFill="1" applyBorder="1" applyAlignment="1">
      <alignment vertical="center" wrapText="1"/>
    </xf>
    <xf numFmtId="0" fontId="24" fillId="0" borderId="20" xfId="180" applyFont="1" applyFill="1" applyBorder="1" applyAlignment="1">
      <alignment vertical="center"/>
    </xf>
    <xf numFmtId="0" fontId="25" fillId="0" borderId="0" xfId="180" applyFont="1" applyFill="1" applyBorder="1" applyAlignment="1">
      <alignment horizontal="center" vertical="center" wrapText="1"/>
    </xf>
    <xf numFmtId="166" fontId="25" fillId="0" borderId="0" xfId="180" applyNumberFormat="1" applyFont="1" applyFill="1" applyAlignment="1">
      <alignment horizontal="center" vertical="center"/>
    </xf>
    <xf numFmtId="0" fontId="24" fillId="0" borderId="2" xfId="180" applyFont="1" applyFill="1" applyBorder="1" applyAlignment="1">
      <alignment horizontal="left" vertical="center"/>
    </xf>
    <xf numFmtId="0" fontId="101" fillId="0" borderId="0" xfId="180" applyFont="1" applyBorder="1" applyAlignment="1">
      <alignment vertical="center"/>
    </xf>
    <xf numFmtId="0" fontId="101" fillId="0" borderId="13" xfId="180" applyFont="1" applyBorder="1" applyAlignment="1">
      <alignment vertical="center"/>
    </xf>
    <xf numFmtId="0" fontId="24" fillId="0" borderId="6" xfId="180" applyFont="1" applyFill="1" applyBorder="1" applyAlignment="1">
      <alignment vertical="center"/>
    </xf>
    <xf numFmtId="0" fontId="24" fillId="0" borderId="20" xfId="180" applyFont="1" applyFill="1" applyBorder="1" applyAlignment="1">
      <alignment horizontal="right" vertical="top"/>
    </xf>
    <xf numFmtId="0" fontId="24" fillId="0" borderId="12" xfId="180" applyFont="1" applyFill="1" applyBorder="1" applyAlignment="1">
      <alignment vertical="center"/>
    </xf>
    <xf numFmtId="0" fontId="24" fillId="0" borderId="97" xfId="180" applyFont="1" applyFill="1" applyBorder="1" applyAlignment="1">
      <alignment vertical="center"/>
    </xf>
    <xf numFmtId="0" fontId="24" fillId="0" borderId="0" xfId="180" applyFont="1" applyFill="1" applyBorder="1" applyAlignment="1">
      <alignment horizontal="left" vertical="center"/>
    </xf>
    <xf numFmtId="0" fontId="41" fillId="0" borderId="0" xfId="180" applyFont="1" applyFill="1" applyBorder="1" applyAlignment="1">
      <alignment wrapText="1"/>
    </xf>
    <xf numFmtId="0" fontId="41" fillId="0" borderId="0" xfId="180" applyFont="1" applyFill="1" applyBorder="1" applyAlignment="1">
      <alignment vertical="center" wrapText="1"/>
    </xf>
    <xf numFmtId="167" fontId="25" fillId="0" borderId="0" xfId="180" applyNumberFormat="1" applyFont="1" applyFill="1" applyAlignment="1">
      <alignment horizontal="left" vertical="center"/>
    </xf>
    <xf numFmtId="166" fontId="25" fillId="0" borderId="0" xfId="180" applyNumberFormat="1" applyFont="1" applyFill="1" applyAlignment="1">
      <alignment horizontal="center"/>
    </xf>
    <xf numFmtId="0" fontId="31" fillId="0" borderId="66" xfId="15" applyFont="1" applyBorder="1" applyAlignment="1">
      <alignment vertical="center" wrapText="1"/>
    </xf>
    <xf numFmtId="0" fontId="31" fillId="0" borderId="67" xfId="15" applyFont="1" applyBorder="1" applyAlignment="1">
      <alignment vertical="center" wrapText="1"/>
    </xf>
    <xf numFmtId="0" fontId="31" fillId="0" borderId="9" xfId="15" applyFont="1" applyBorder="1" applyAlignment="1">
      <alignment vertical="center" wrapText="1"/>
    </xf>
    <xf numFmtId="0" fontId="17" fillId="0" borderId="66" xfId="15" applyFont="1" applyBorder="1" applyAlignment="1">
      <alignment vertical="center" wrapText="1"/>
    </xf>
    <xf numFmtId="0" fontId="31" fillId="0" borderId="78" xfId="15" applyFont="1" applyBorder="1" applyAlignment="1">
      <alignment vertical="center" wrapText="1"/>
    </xf>
    <xf numFmtId="0" fontId="31" fillId="0" borderId="75" xfId="15" applyFont="1" applyBorder="1" applyAlignment="1">
      <alignment vertical="center" wrapText="1"/>
    </xf>
    <xf numFmtId="0" fontId="101" fillId="0" borderId="12" xfId="180" applyFont="1" applyBorder="1" applyAlignment="1">
      <alignment vertical="center"/>
    </xf>
    <xf numFmtId="0" fontId="31" fillId="0" borderId="0" xfId="15" applyFont="1" applyBorder="1" applyAlignment="1">
      <alignment vertical="top" wrapText="1"/>
    </xf>
    <xf numFmtId="0" fontId="98" fillId="0" borderId="10" xfId="177" applyFont="1" applyBorder="1"/>
    <xf numFmtId="0" fontId="24" fillId="0" borderId="0" xfId="2" applyFont="1" applyFill="1" applyBorder="1" applyAlignment="1">
      <alignment vertical="center" wrapText="1"/>
    </xf>
    <xf numFmtId="0" fontId="33" fillId="0" borderId="0" xfId="3" applyFont="1" applyFill="1" applyBorder="1" applyAlignment="1">
      <alignment vertical="top" wrapText="1"/>
    </xf>
    <xf numFmtId="0" fontId="99" fillId="0" borderId="8" xfId="177" applyFont="1" applyBorder="1"/>
    <xf numFmtId="0" fontId="99" fillId="0" borderId="8" xfId="177" applyFont="1" applyBorder="1" applyAlignment="1"/>
    <xf numFmtId="0" fontId="109" fillId="0" borderId="0" xfId="177" quotePrefix="1" applyFont="1"/>
    <xf numFmtId="0" fontId="32" fillId="0" borderId="0" xfId="15" applyFont="1" applyAlignment="1">
      <alignment vertical="top" wrapText="1"/>
    </xf>
    <xf numFmtId="0" fontId="110" fillId="0" borderId="0" xfId="177" applyFont="1"/>
    <xf numFmtId="0" fontId="99" fillId="0" borderId="11" xfId="177" applyFont="1" applyBorder="1"/>
    <xf numFmtId="0" fontId="20" fillId="0" borderId="0" xfId="15" applyFont="1" applyBorder="1" applyAlignment="1">
      <alignment vertical="top"/>
    </xf>
    <xf numFmtId="0" fontId="31" fillId="0" borderId="0" xfId="15" applyFont="1" applyBorder="1" applyAlignment="1">
      <alignment horizontal="left" vertical="top" wrapText="1"/>
    </xf>
    <xf numFmtId="0" fontId="20" fillId="0" borderId="0" xfId="15" applyFont="1" applyBorder="1" applyAlignment="1">
      <alignment horizontal="center" vertical="top"/>
    </xf>
    <xf numFmtId="0" fontId="99" fillId="0" borderId="3" xfId="177" applyFont="1" applyBorder="1"/>
    <xf numFmtId="0" fontId="24" fillId="0" borderId="13" xfId="0" applyFont="1" applyFill="1" applyBorder="1" applyAlignment="1">
      <alignment horizontal="center"/>
    </xf>
    <xf numFmtId="0" fontId="30" fillId="0" borderId="2" xfId="0" applyFont="1" applyFill="1" applyBorder="1" applyAlignment="1">
      <alignment horizontal="left"/>
    </xf>
    <xf numFmtId="0" fontId="17" fillId="0" borderId="1" xfId="0" applyFont="1" applyFill="1" applyBorder="1" applyAlignment="1">
      <alignment vertical="top" wrapText="1"/>
    </xf>
    <xf numFmtId="0" fontId="17" fillId="0" borderId="5" xfId="0" applyFont="1" applyFill="1" applyBorder="1" applyAlignment="1">
      <alignment vertical="top" wrapText="1"/>
    </xf>
    <xf numFmtId="0" fontId="85" fillId="0" borderId="10" xfId="177" applyFont="1" applyBorder="1"/>
    <xf numFmtId="0" fontId="85" fillId="0" borderId="8" xfId="177" applyFont="1" applyBorder="1"/>
    <xf numFmtId="0" fontId="85" fillId="0" borderId="9" xfId="177" applyFont="1" applyBorder="1"/>
    <xf numFmtId="0" fontId="85" fillId="0" borderId="14" xfId="177" applyFont="1" applyBorder="1"/>
    <xf numFmtId="0" fontId="24" fillId="0" borderId="0" xfId="180" applyFont="1" applyFill="1" applyAlignment="1">
      <alignment horizontal="right" vertical="center"/>
    </xf>
    <xf numFmtId="166" fontId="24" fillId="0" borderId="0" xfId="180" applyNumberFormat="1" applyFont="1" applyFill="1" applyAlignment="1">
      <alignment vertical="center"/>
    </xf>
    <xf numFmtId="166" fontId="25" fillId="0" borderId="0" xfId="180" applyNumberFormat="1" applyFont="1" applyFill="1" applyBorder="1"/>
    <xf numFmtId="166" fontId="24" fillId="0" borderId="0" xfId="180" applyNumberFormat="1" applyFont="1" applyFill="1"/>
    <xf numFmtId="0" fontId="24" fillId="0" borderId="6" xfId="180" applyFont="1" applyFill="1" applyBorder="1"/>
    <xf numFmtId="0" fontId="24" fillId="0" borderId="7" xfId="180" applyFont="1" applyFill="1" applyBorder="1"/>
    <xf numFmtId="165" fontId="24" fillId="0" borderId="14" xfId="180" applyNumberFormat="1" applyFont="1" applyBorder="1" applyAlignment="1">
      <alignment horizontal="center"/>
    </xf>
    <xf numFmtId="0" fontId="24" fillId="0" borderId="10" xfId="180" applyFont="1" applyBorder="1"/>
    <xf numFmtId="0" fontId="24" fillId="0" borderId="8" xfId="180" applyFont="1" applyBorder="1"/>
    <xf numFmtId="0" fontId="24" fillId="0" borderId="9" xfId="180" applyFont="1" applyBorder="1"/>
    <xf numFmtId="0" fontId="24" fillId="0" borderId="10" xfId="180" applyFont="1" applyFill="1" applyBorder="1"/>
    <xf numFmtId="0" fontId="24" fillId="0" borderId="8" xfId="180" applyFont="1" applyFill="1" applyBorder="1"/>
    <xf numFmtId="0" fontId="24" fillId="0" borderId="9" xfId="180" applyFont="1" applyFill="1" applyBorder="1"/>
    <xf numFmtId="0" fontId="24" fillId="0" borderId="0" xfId="180" applyFont="1" applyFill="1" applyBorder="1" applyAlignment="1">
      <alignment horizontal="center"/>
    </xf>
    <xf numFmtId="0" fontId="24" fillId="0" borderId="0" xfId="180" applyFont="1" applyFill="1" applyBorder="1" applyAlignment="1">
      <alignment horizontal="center" vertical="center"/>
    </xf>
    <xf numFmtId="0" fontId="18" fillId="0" borderId="0" xfId="15" applyFont="1" applyBorder="1" applyAlignment="1">
      <alignment horizontal="left" vertical="top" wrapText="1"/>
    </xf>
    <xf numFmtId="0" fontId="24" fillId="0" borderId="10" xfId="0" applyFont="1" applyFill="1" applyBorder="1" applyAlignment="1">
      <alignment horizontal="center"/>
    </xf>
    <xf numFmtId="165" fontId="24" fillId="0" borderId="2" xfId="3" applyNumberFormat="1" applyFont="1" applyFill="1" applyBorder="1" applyAlignment="1">
      <alignment horizontal="center" vertical="top"/>
    </xf>
    <xf numFmtId="0" fontId="24" fillId="0" borderId="1" xfId="3" applyFont="1" applyFill="1" applyBorder="1" applyAlignment="1">
      <alignment vertical="top" wrapText="1"/>
    </xf>
    <xf numFmtId="0" fontId="24" fillId="0" borderId="15" xfId="0" applyFont="1" applyFill="1" applyBorder="1" applyAlignment="1">
      <alignment horizontal="center" vertical="top" wrapText="1"/>
    </xf>
    <xf numFmtId="0" fontId="17" fillId="0" borderId="15" xfId="0" applyFont="1" applyFill="1" applyBorder="1" applyAlignment="1">
      <alignment vertical="top" wrapText="1"/>
    </xf>
    <xf numFmtId="0" fontId="17" fillId="0" borderId="13" xfId="0" applyFont="1" applyFill="1" applyBorder="1" applyAlignment="1">
      <alignment vertical="top" wrapText="1"/>
    </xf>
    <xf numFmtId="0" fontId="30" fillId="0" borderId="1" xfId="0" applyFont="1" applyFill="1" applyBorder="1" applyAlignment="1">
      <alignment horizontal="left"/>
    </xf>
    <xf numFmtId="0" fontId="30" fillId="0" borderId="0" xfId="0" applyFont="1" applyFill="1" applyBorder="1" applyAlignment="1">
      <alignment horizontal="left"/>
    </xf>
    <xf numFmtId="0" fontId="99" fillId="0" borderId="8" xfId="177" applyFont="1" applyBorder="1" applyAlignment="1">
      <alignment horizontal="center"/>
    </xf>
    <xf numFmtId="0" fontId="17" fillId="0" borderId="0" xfId="15" applyFont="1" applyBorder="1" applyAlignment="1">
      <alignment horizontal="center" vertical="center" wrapText="1"/>
    </xf>
    <xf numFmtId="0" fontId="32" fillId="0" borderId="0" xfId="15" applyFont="1" applyAlignment="1">
      <alignment horizontal="left" wrapText="1"/>
    </xf>
    <xf numFmtId="0" fontId="99" fillId="0" borderId="0" xfId="177" applyFont="1" applyBorder="1" applyAlignment="1">
      <alignment horizontal="center"/>
    </xf>
    <xf numFmtId="0" fontId="21" fillId="0" borderId="0" xfId="78" applyFont="1" applyFill="1" applyBorder="1" applyAlignment="1">
      <alignment horizontal="left" vertical="center" shrinkToFit="1"/>
    </xf>
    <xf numFmtId="0" fontId="44" fillId="0" borderId="0" xfId="180" applyFont="1" applyFill="1"/>
    <xf numFmtId="0" fontId="24" fillId="0" borderId="0" xfId="78" applyFont="1" applyFill="1" applyBorder="1" applyAlignment="1">
      <alignment horizontal="right" vertical="center" shrinkToFit="1" readingOrder="2"/>
    </xf>
    <xf numFmtId="0" fontId="21" fillId="0" borderId="0" xfId="78" applyFont="1" applyFill="1" applyBorder="1" applyAlignment="1">
      <alignment horizontal="left" vertical="center" shrinkToFit="1"/>
    </xf>
    <xf numFmtId="0" fontId="31" fillId="0" borderId="72" xfId="15" applyFont="1" applyBorder="1" applyAlignment="1">
      <alignment horizontal="left" vertical="top" wrapText="1"/>
    </xf>
    <xf numFmtId="0" fontId="17" fillId="0" borderId="24" xfId="180" applyBorder="1"/>
    <xf numFmtId="0" fontId="41" fillId="0" borderId="0" xfId="180" applyFont="1" applyBorder="1" applyAlignment="1">
      <alignment vertical="top" wrapText="1"/>
    </xf>
    <xf numFmtId="0" fontId="67" fillId="0" borderId="0" xfId="180" applyFont="1" applyBorder="1" applyAlignment="1">
      <alignment vertical="top" wrapText="1"/>
    </xf>
    <xf numFmtId="0" fontId="24" fillId="0" borderId="141" xfId="113" applyFont="1" applyBorder="1" applyAlignment="1"/>
    <xf numFmtId="0" fontId="24" fillId="0" borderId="144" xfId="113" applyFont="1" applyBorder="1" applyAlignment="1"/>
    <xf numFmtId="0" fontId="24" fillId="0" borderId="0" xfId="113" applyFont="1" applyBorder="1" applyAlignment="1"/>
    <xf numFmtId="0" fontId="17" fillId="0" borderId="1" xfId="180" applyBorder="1"/>
    <xf numFmtId="0" fontId="41" fillId="0" borderId="0" xfId="180" applyFont="1" applyBorder="1" applyAlignment="1">
      <alignment horizontal="center" vertical="center"/>
    </xf>
    <xf numFmtId="0" fontId="17" fillId="0" borderId="0" xfId="180" applyBorder="1" applyAlignment="1">
      <alignment horizontal="center"/>
    </xf>
    <xf numFmtId="0" fontId="41" fillId="0" borderId="118" xfId="180" applyFont="1" applyBorder="1" applyAlignment="1">
      <alignment horizontal="center" vertical="center"/>
    </xf>
    <xf numFmtId="0" fontId="67" fillId="0" borderId="21" xfId="180" applyFont="1" applyBorder="1" applyAlignment="1">
      <alignment vertical="top" wrapText="1"/>
    </xf>
    <xf numFmtId="0" fontId="17" fillId="0" borderId="0" xfId="180" applyAlignment="1">
      <alignment horizontal="center"/>
    </xf>
    <xf numFmtId="0" fontId="24" fillId="0" borderId="141" xfId="113" applyFont="1" applyBorder="1" applyAlignment="1">
      <alignment horizontal="center"/>
    </xf>
    <xf numFmtId="0" fontId="41" fillId="0" borderId="0" xfId="180" applyFont="1" applyBorder="1"/>
    <xf numFmtId="0" fontId="17" fillId="0" borderId="48" xfId="180" applyBorder="1"/>
    <xf numFmtId="0" fontId="30" fillId="0" borderId="8" xfId="180" applyFont="1" applyBorder="1"/>
    <xf numFmtId="0" fontId="17" fillId="0" borderId="8" xfId="180" applyBorder="1"/>
    <xf numFmtId="0" fontId="17" fillId="0" borderId="10" xfId="180" applyBorder="1"/>
    <xf numFmtId="0" fontId="17" fillId="0" borderId="9" xfId="180" applyBorder="1"/>
    <xf numFmtId="0" fontId="17" fillId="0" borderId="33" xfId="180" applyBorder="1"/>
    <xf numFmtId="0" fontId="17" fillId="0" borderId="8" xfId="180" applyBorder="1" applyAlignment="1"/>
    <xf numFmtId="0" fontId="17" fillId="0" borderId="10" xfId="180" applyBorder="1" applyAlignment="1"/>
    <xf numFmtId="0" fontId="52" fillId="0" borderId="8" xfId="625" applyFont="1" applyBorder="1" applyAlignment="1"/>
    <xf numFmtId="0" fontId="30" fillId="0" borderId="8" xfId="180" applyFont="1" applyBorder="1" applyAlignment="1"/>
    <xf numFmtId="0" fontId="111" fillId="0" borderId="8" xfId="625" applyFont="1" applyBorder="1" applyAlignment="1">
      <alignment vertical="center"/>
    </xf>
    <xf numFmtId="0" fontId="17" fillId="0" borderId="6" xfId="180" applyBorder="1" applyAlignment="1">
      <alignment vertical="center" wrapText="1"/>
    </xf>
    <xf numFmtId="0" fontId="108" fillId="0" borderId="0" xfId="180" applyFont="1" applyBorder="1" applyAlignment="1">
      <alignment vertical="top" wrapText="1"/>
    </xf>
    <xf numFmtId="0" fontId="24" fillId="0" borderId="10" xfId="2" applyFont="1" applyBorder="1" applyAlignment="1">
      <alignment vertical="center"/>
    </xf>
    <xf numFmtId="0" fontId="24" fillId="0" borderId="9" xfId="2" applyFont="1" applyBorder="1" applyAlignment="1">
      <alignment vertical="center"/>
    </xf>
    <xf numFmtId="0" fontId="98" fillId="0" borderId="8" xfId="177" applyFont="1" applyBorder="1"/>
    <xf numFmtId="0" fontId="98" fillId="0" borderId="14" xfId="177" applyFont="1" applyBorder="1"/>
    <xf numFmtId="0" fontId="67" fillId="0" borderId="26" xfId="15" applyFont="1" applyBorder="1" applyAlignment="1">
      <alignment vertical="top"/>
    </xf>
    <xf numFmtId="0" fontId="99" fillId="0" borderId="9" xfId="177" applyFont="1" applyBorder="1"/>
    <xf numFmtId="0" fontId="31" fillId="0" borderId="10" xfId="15" applyFont="1" applyBorder="1" applyAlignment="1">
      <alignment vertical="top"/>
    </xf>
    <xf numFmtId="0" fontId="98" fillId="0" borderId="68" xfId="177" applyFont="1" applyBorder="1"/>
    <xf numFmtId="0" fontId="98" fillId="0" borderId="72" xfId="177" applyFont="1" applyBorder="1"/>
    <xf numFmtId="0" fontId="31" fillId="0" borderId="8" xfId="15" applyFont="1" applyBorder="1" applyAlignment="1">
      <alignment vertical="top"/>
    </xf>
    <xf numFmtId="0" fontId="20" fillId="0" borderId="8" xfId="15" applyFont="1" applyBorder="1" applyAlignment="1">
      <alignment vertical="top"/>
    </xf>
    <xf numFmtId="166" fontId="21" fillId="0" borderId="0" xfId="180" applyNumberFormat="1" applyFont="1" applyFill="1" applyAlignment="1">
      <alignment vertical="center"/>
    </xf>
    <xf numFmtId="167" fontId="21" fillId="0" borderId="0" xfId="180" applyNumberFormat="1" applyFont="1" applyFill="1" applyAlignment="1">
      <alignment horizontal="left" vertical="center"/>
    </xf>
    <xf numFmtId="0" fontId="21" fillId="0" borderId="0" xfId="15" applyFont="1" applyBorder="1" applyAlignment="1">
      <alignment vertical="top" wrapText="1"/>
    </xf>
    <xf numFmtId="0" fontId="34" fillId="0" borderId="0" xfId="0" applyFont="1" applyBorder="1"/>
    <xf numFmtId="0" fontId="34" fillId="0" borderId="30" xfId="0" applyFont="1" applyBorder="1"/>
    <xf numFmtId="0" fontId="19" fillId="0" borderId="14" xfId="0" applyFont="1" applyFill="1" applyBorder="1"/>
    <xf numFmtId="0" fontId="51" fillId="0" borderId="14" xfId="173" applyFont="1" applyFill="1" applyBorder="1" applyAlignment="1">
      <alignment wrapText="1"/>
    </xf>
    <xf numFmtId="0" fontId="30" fillId="6" borderId="0" xfId="15" applyFont="1" applyFill="1" applyBorder="1" applyAlignment="1">
      <alignment vertical="center" wrapText="1"/>
    </xf>
    <xf numFmtId="0" fontId="32" fillId="6" borderId="0" xfId="15" applyFont="1" applyFill="1" applyBorder="1" applyAlignment="1">
      <alignment horizontal="left" vertical="center" wrapText="1"/>
    </xf>
    <xf numFmtId="0" fontId="25" fillId="0" borderId="150" xfId="78" applyFont="1" applyFill="1" applyBorder="1" applyAlignment="1">
      <alignment horizontal="center" vertical="center"/>
    </xf>
    <xf numFmtId="0" fontId="25" fillId="0" borderId="77" xfId="78" applyFont="1" applyFill="1" applyBorder="1" applyAlignment="1">
      <alignment horizontal="center" vertical="center"/>
    </xf>
    <xf numFmtId="0" fontId="25" fillId="0" borderId="80" xfId="78" applyFont="1" applyFill="1" applyBorder="1" applyAlignment="1">
      <alignment horizontal="center" vertical="center"/>
    </xf>
    <xf numFmtId="0" fontId="24" fillId="0" borderId="0" xfId="78" applyNumberFormat="1" applyFont="1" applyFill="1" applyBorder="1" applyAlignment="1">
      <alignment horizontal="center" vertical="center"/>
    </xf>
    <xf numFmtId="0" fontId="86" fillId="0" borderId="0" xfId="78" applyFont="1" applyFill="1" applyBorder="1" applyAlignment="1">
      <alignment vertical="center" readingOrder="2"/>
    </xf>
    <xf numFmtId="0" fontId="25" fillId="0" borderId="14" xfId="78" applyFont="1" applyFill="1" applyBorder="1" applyAlignment="1">
      <alignment horizontal="center" vertical="center" wrapText="1"/>
    </xf>
    <xf numFmtId="0" fontId="30" fillId="6" borderId="13" xfId="15" applyFont="1" applyFill="1" applyBorder="1" applyAlignment="1">
      <alignment horizontal="right" vertical="center" wrapText="1"/>
    </xf>
    <xf numFmtId="0" fontId="25" fillId="18" borderId="23" xfId="78" applyFont="1" applyFill="1" applyBorder="1" applyAlignment="1">
      <alignment horizontal="center" vertical="center" wrapText="1"/>
    </xf>
    <xf numFmtId="0" fontId="25" fillId="0" borderId="31" xfId="78" applyFont="1" applyFill="1" applyBorder="1" applyAlignment="1">
      <alignment horizontal="center" vertical="center" wrapText="1"/>
    </xf>
    <xf numFmtId="0" fontId="24" fillId="0" borderId="42" xfId="4" applyFont="1" applyFill="1" applyBorder="1" applyAlignment="1">
      <alignment horizontal="center" vertical="center" wrapText="1"/>
    </xf>
    <xf numFmtId="0" fontId="24" fillId="0" borderId="26" xfId="4" applyFont="1" applyFill="1" applyBorder="1" applyAlignment="1">
      <alignment horizontal="center" vertical="center" wrapText="1"/>
    </xf>
    <xf numFmtId="0" fontId="25" fillId="0" borderId="127" xfId="78" applyFont="1" applyFill="1" applyBorder="1" applyAlignment="1">
      <alignment horizontal="center" vertical="center" wrapText="1"/>
    </xf>
    <xf numFmtId="0" fontId="32" fillId="6" borderId="10" xfId="15" applyFont="1" applyFill="1" applyBorder="1" applyAlignment="1">
      <alignment horizontal="left" vertical="center" wrapText="1"/>
    </xf>
    <xf numFmtId="0" fontId="24" fillId="0" borderId="55" xfId="4" applyFont="1" applyFill="1" applyBorder="1" applyAlignment="1">
      <alignment horizontal="center" vertical="center" wrapText="1"/>
    </xf>
    <xf numFmtId="0" fontId="24" fillId="0" borderId="38" xfId="0" applyFont="1" applyFill="1" applyBorder="1" applyAlignment="1">
      <alignment horizontal="center" vertical="center"/>
    </xf>
    <xf numFmtId="0" fontId="103" fillId="0" borderId="0" xfId="180" applyFont="1" applyFill="1" applyBorder="1" applyAlignment="1">
      <alignment horizontal="left" vertical="center"/>
    </xf>
    <xf numFmtId="0" fontId="103" fillId="0" borderId="0" xfId="180" applyFont="1" applyFill="1" applyBorder="1" applyAlignment="1">
      <alignment horizontal="left"/>
    </xf>
    <xf numFmtId="0" fontId="32" fillId="0" borderId="0" xfId="180" applyFont="1" applyFill="1" applyBorder="1" applyAlignment="1">
      <alignment horizontal="center" vertical="center"/>
    </xf>
    <xf numFmtId="166" fontId="103" fillId="0" borderId="0" xfId="180" applyNumberFormat="1" applyFont="1" applyFill="1" applyBorder="1" applyAlignment="1">
      <alignment horizontal="left" vertical="center"/>
    </xf>
    <xf numFmtId="166" fontId="24" fillId="0" borderId="68" xfId="180" applyNumberFormat="1" applyFont="1" applyFill="1" applyBorder="1" applyAlignment="1">
      <alignment horizontal="left" vertical="center"/>
    </xf>
    <xf numFmtId="167" fontId="24" fillId="0" borderId="0" xfId="180" applyNumberFormat="1" applyFont="1" applyFill="1" applyBorder="1" applyAlignment="1">
      <alignment horizontal="left" vertical="center"/>
    </xf>
    <xf numFmtId="0" fontId="103" fillId="0" borderId="0" xfId="180" applyFont="1" applyFill="1" applyBorder="1" applyAlignment="1">
      <alignment horizontal="left" vertical="top"/>
    </xf>
    <xf numFmtId="0" fontId="24" fillId="0" borderId="21" xfId="180" applyFont="1" applyFill="1" applyBorder="1" applyAlignment="1">
      <alignment textRotation="90" wrapText="1"/>
    </xf>
    <xf numFmtId="0" fontId="17" fillId="0" borderId="0" xfId="180" applyFill="1" applyAlignment="1">
      <alignment wrapText="1"/>
    </xf>
    <xf numFmtId="0" fontId="24" fillId="0" borderId="1" xfId="180" applyFont="1" applyFill="1" applyBorder="1" applyAlignment="1">
      <alignment vertical="center"/>
    </xf>
    <xf numFmtId="0" fontId="17" fillId="0" borderId="0" xfId="180" applyFill="1" applyBorder="1"/>
    <xf numFmtId="0" fontId="24" fillId="0" borderId="0" xfId="180" applyFont="1" applyFill="1" applyBorder="1" applyAlignment="1">
      <alignment horizontal="left" vertical="top"/>
    </xf>
    <xf numFmtId="0" fontId="39" fillId="0" borderId="0" xfId="180" applyFont="1" applyFill="1" applyBorder="1" applyAlignment="1">
      <alignment horizontal="left"/>
    </xf>
    <xf numFmtId="0" fontId="24" fillId="0" borderId="31" xfId="180" applyFont="1" applyFill="1" applyBorder="1" applyAlignment="1"/>
    <xf numFmtId="0" fontId="24" fillId="0" borderId="35" xfId="180" applyFont="1" applyFill="1" applyBorder="1" applyAlignment="1"/>
    <xf numFmtId="0" fontId="24" fillId="0" borderId="36" xfId="180" applyFont="1" applyFill="1" applyBorder="1" applyAlignment="1"/>
    <xf numFmtId="0" fontId="24" fillId="0" borderId="30" xfId="180" applyFont="1" applyFill="1" applyBorder="1" applyAlignment="1"/>
    <xf numFmtId="0" fontId="24" fillId="0" borderId="44" xfId="180" applyFont="1" applyFill="1" applyBorder="1" applyAlignment="1"/>
    <xf numFmtId="0" fontId="24" fillId="0" borderId="42" xfId="180" applyFont="1" applyFill="1" applyBorder="1" applyAlignment="1"/>
    <xf numFmtId="0" fontId="24" fillId="0" borderId="9" xfId="180" applyFont="1" applyFill="1" applyBorder="1" applyAlignment="1"/>
    <xf numFmtId="0" fontId="24" fillId="0" borderId="10" xfId="180" applyFont="1" applyFill="1" applyBorder="1" applyAlignment="1"/>
    <xf numFmtId="0" fontId="24" fillId="0" borderId="8" xfId="180" applyFont="1" applyFill="1" applyBorder="1" applyAlignment="1"/>
    <xf numFmtId="0" fontId="24" fillId="0" borderId="14" xfId="180" applyFont="1" applyFill="1" applyBorder="1" applyAlignment="1"/>
    <xf numFmtId="0" fontId="24" fillId="0" borderId="55" xfId="180" applyFont="1" applyFill="1" applyBorder="1" applyAlignment="1"/>
    <xf numFmtId="0" fontId="24" fillId="0" borderId="4" xfId="180" applyFont="1" applyFill="1" applyBorder="1" applyAlignment="1"/>
    <xf numFmtId="0" fontId="24" fillId="0" borderId="11" xfId="180" applyFont="1" applyFill="1" applyBorder="1" applyAlignment="1"/>
    <xf numFmtId="0" fontId="24" fillId="0" borderId="3" xfId="180" applyFont="1" applyFill="1" applyBorder="1" applyAlignment="1"/>
    <xf numFmtId="0" fontId="24" fillId="0" borderId="12" xfId="180" applyFont="1" applyFill="1" applyBorder="1" applyAlignment="1"/>
    <xf numFmtId="0" fontId="24" fillId="0" borderId="124" xfId="180" applyFont="1" applyFill="1" applyBorder="1" applyAlignment="1"/>
    <xf numFmtId="0" fontId="24" fillId="0" borderId="121" xfId="180" applyFont="1" applyFill="1" applyBorder="1" applyAlignment="1"/>
    <xf numFmtId="0" fontId="24" fillId="0" borderId="120" xfId="180" applyFont="1" applyFill="1" applyBorder="1" applyAlignment="1"/>
    <xf numFmtId="0" fontId="24" fillId="0" borderId="122" xfId="180" applyFont="1" applyFill="1" applyBorder="1" applyAlignment="1"/>
    <xf numFmtId="0" fontId="24" fillId="0" borderId="151" xfId="180" applyFont="1" applyFill="1" applyBorder="1" applyAlignment="1"/>
    <xf numFmtId="0" fontId="24" fillId="0" borderId="126" xfId="180" applyFont="1" applyFill="1" applyBorder="1" applyAlignment="1"/>
    <xf numFmtId="0" fontId="24" fillId="0" borderId="18" xfId="180" applyFont="1" applyFill="1" applyBorder="1" applyAlignment="1"/>
    <xf numFmtId="0" fontId="24" fillId="0" borderId="16" xfId="180" applyFont="1" applyFill="1" applyBorder="1" applyAlignment="1"/>
    <xf numFmtId="0" fontId="24" fillId="0" borderId="17" xfId="180" applyFont="1" applyFill="1" applyBorder="1" applyAlignment="1"/>
    <xf numFmtId="0" fontId="24" fillId="0" borderId="153" xfId="180" applyFont="1" applyFill="1" applyBorder="1" applyAlignment="1"/>
    <xf numFmtId="0" fontId="24" fillId="0" borderId="26" xfId="180" applyFont="1" applyFill="1" applyBorder="1" applyAlignment="1"/>
    <xf numFmtId="0" fontId="24" fillId="0" borderId="7" xfId="180" applyFont="1" applyFill="1" applyBorder="1" applyAlignment="1"/>
    <xf numFmtId="0" fontId="24" fillId="0" borderId="5" xfId="180" applyFont="1" applyFill="1" applyBorder="1" applyAlignment="1"/>
    <xf numFmtId="0" fontId="24" fillId="0" borderId="6" xfId="180" applyFont="1" applyFill="1" applyBorder="1" applyAlignment="1"/>
    <xf numFmtId="0" fontId="24" fillId="0" borderId="13" xfId="180" applyFont="1" applyFill="1" applyBorder="1" applyAlignment="1"/>
    <xf numFmtId="0" fontId="24" fillId="0" borderId="43" xfId="180" applyFont="1" applyFill="1" applyBorder="1" applyAlignment="1"/>
    <xf numFmtId="0" fontId="24" fillId="0" borderId="39" xfId="180" applyFont="1" applyFill="1" applyBorder="1" applyAlignment="1"/>
    <xf numFmtId="0" fontId="24" fillId="0" borderId="40" xfId="180" applyFont="1" applyFill="1" applyBorder="1" applyAlignment="1"/>
    <xf numFmtId="0" fontId="24" fillId="0" borderId="38" xfId="180" applyFont="1" applyFill="1" applyBorder="1" applyAlignment="1"/>
    <xf numFmtId="0" fontId="24" fillId="0" borderId="49" xfId="180" applyFont="1" applyFill="1" applyBorder="1" applyAlignment="1"/>
    <xf numFmtId="0" fontId="104" fillId="0" borderId="0" xfId="180" applyFont="1" applyBorder="1" applyAlignment="1">
      <alignment horizontal="center" vertical="center"/>
    </xf>
    <xf numFmtId="0" fontId="24" fillId="0" borderId="0" xfId="180" applyFont="1" applyBorder="1" applyAlignment="1">
      <alignment horizontal="center" vertical="center"/>
    </xf>
    <xf numFmtId="0" fontId="24" fillId="0" borderId="6" xfId="78" applyFont="1" applyFill="1" applyBorder="1" applyAlignment="1">
      <alignment horizontal="left" vertical="center" wrapText="1"/>
    </xf>
    <xf numFmtId="0" fontId="24" fillId="0" borderId="14" xfId="4" applyFont="1" applyFill="1" applyBorder="1" applyAlignment="1">
      <alignment horizontal="center" vertical="center" wrapText="1"/>
    </xf>
    <xf numFmtId="0" fontId="25" fillId="18" borderId="21" xfId="78" applyFont="1" applyFill="1" applyBorder="1" applyAlignment="1">
      <alignment vertical="center" wrapText="1"/>
    </xf>
    <xf numFmtId="0" fontId="24" fillId="0" borderId="67" xfId="4" applyFont="1" applyFill="1" applyBorder="1" applyAlignment="1">
      <alignment horizontal="center" vertical="center" wrapText="1"/>
    </xf>
    <xf numFmtId="0" fontId="24" fillId="0" borderId="49" xfId="4" applyFont="1" applyFill="1" applyBorder="1" applyAlignment="1">
      <alignment horizontal="center" vertical="center" wrapText="1"/>
    </xf>
    <xf numFmtId="0" fontId="24" fillId="6" borderId="0" xfId="15" applyFont="1" applyFill="1" applyBorder="1" applyAlignment="1">
      <alignment vertical="center"/>
    </xf>
    <xf numFmtId="0" fontId="24" fillId="0" borderId="0" xfId="15" applyFont="1" applyFill="1" applyBorder="1" applyAlignment="1">
      <alignment horizontal="left" vertical="center" wrapText="1"/>
    </xf>
    <xf numFmtId="0" fontId="30" fillId="6" borderId="0" xfId="15" applyFont="1" applyFill="1" applyBorder="1" applyAlignment="1">
      <alignment horizontal="right" vertical="center" wrapText="1"/>
    </xf>
    <xf numFmtId="0" fontId="24" fillId="6" borderId="6" xfId="15" applyFont="1" applyFill="1" applyBorder="1" applyAlignment="1">
      <alignment horizontal="left" vertical="center"/>
    </xf>
    <xf numFmtId="0" fontId="24" fillId="18" borderId="63" xfId="78" applyNumberFormat="1" applyFont="1" applyFill="1" applyBorder="1" applyAlignment="1">
      <alignment horizontal="center" vertical="center"/>
    </xf>
    <xf numFmtId="0" fontId="24" fillId="0" borderId="127" xfId="78" applyNumberFormat="1" applyFont="1" applyFill="1" applyBorder="1" applyAlignment="1">
      <alignment horizontal="center" vertical="center"/>
    </xf>
    <xf numFmtId="0" fontId="24" fillId="0" borderId="81" xfId="78" applyNumberFormat="1" applyFont="1" applyFill="1" applyBorder="1" applyAlignment="1">
      <alignment horizontal="center" vertical="center"/>
    </xf>
    <xf numFmtId="0" fontId="24" fillId="0" borderId="103" xfId="78" applyNumberFormat="1" applyFont="1" applyFill="1" applyBorder="1" applyAlignment="1">
      <alignment horizontal="center" vertical="center"/>
    </xf>
    <xf numFmtId="0" fontId="24" fillId="0" borderId="75" xfId="4" applyFont="1" applyFill="1" applyBorder="1" applyAlignment="1">
      <alignment horizontal="center" vertical="center" wrapText="1"/>
    </xf>
    <xf numFmtId="0" fontId="32" fillId="6" borderId="37" xfId="15" applyFont="1" applyFill="1" applyBorder="1" applyAlignment="1">
      <alignment horizontal="left" vertical="center" wrapText="1"/>
    </xf>
    <xf numFmtId="0" fontId="32" fillId="6" borderId="41" xfId="15" applyFont="1" applyFill="1" applyBorder="1" applyAlignment="1">
      <alignment horizontal="left" vertical="center" wrapText="1"/>
    </xf>
    <xf numFmtId="0" fontId="25" fillId="0" borderId="67" xfId="78" applyFont="1" applyFill="1" applyBorder="1" applyAlignment="1">
      <alignment horizontal="center" vertical="center" wrapText="1"/>
    </xf>
    <xf numFmtId="0" fontId="86" fillId="0" borderId="68" xfId="78" applyFont="1" applyFill="1" applyBorder="1" applyAlignment="1">
      <alignment vertical="center" readingOrder="2"/>
    </xf>
    <xf numFmtId="0" fontId="86" fillId="0" borderId="72" xfId="78" applyFont="1" applyFill="1" applyBorder="1" applyAlignment="1">
      <alignment vertical="center" readingOrder="2"/>
    </xf>
    <xf numFmtId="0" fontId="24" fillId="0" borderId="12" xfId="4" applyFont="1" applyFill="1" applyBorder="1" applyAlignment="1">
      <alignment horizontal="center" vertical="center" wrapText="1"/>
    </xf>
    <xf numFmtId="0" fontId="24" fillId="0" borderId="63" xfId="4" applyFont="1" applyFill="1" applyBorder="1" applyAlignment="1">
      <alignment horizontal="center" vertical="center" wrapText="1"/>
    </xf>
    <xf numFmtId="0" fontId="24" fillId="0" borderId="1" xfId="4" applyFont="1" applyFill="1" applyBorder="1" applyAlignment="1">
      <alignment horizontal="center" vertical="center" wrapText="1"/>
    </xf>
    <xf numFmtId="0" fontId="24" fillId="0" borderId="0" xfId="4" applyFont="1" applyFill="1" applyBorder="1" applyAlignment="1">
      <alignment horizontal="center" vertical="center" wrapText="1"/>
    </xf>
    <xf numFmtId="0" fontId="25" fillId="0" borderId="68" xfId="78" applyFont="1" applyFill="1" applyBorder="1" applyAlignment="1">
      <alignment horizontal="center" vertical="center"/>
    </xf>
    <xf numFmtId="0" fontId="25" fillId="0" borderId="69" xfId="78" applyFont="1" applyFill="1" applyBorder="1" applyAlignment="1">
      <alignment horizontal="center" vertical="center"/>
    </xf>
    <xf numFmtId="0" fontId="25" fillId="0" borderId="83" xfId="78" applyFont="1" applyFill="1" applyBorder="1" applyAlignment="1">
      <alignment horizontal="center" vertical="center"/>
    </xf>
    <xf numFmtId="0" fontId="24" fillId="18" borderId="146" xfId="78" applyNumberFormat="1" applyFont="1" applyFill="1" applyBorder="1" applyAlignment="1">
      <alignment horizontal="center" vertical="center"/>
    </xf>
    <xf numFmtId="0" fontId="24" fillId="6" borderId="0" xfId="15" applyFont="1" applyFill="1" applyBorder="1" applyAlignment="1">
      <alignment horizontal="left" vertical="center" wrapText="1"/>
    </xf>
    <xf numFmtId="0" fontId="30" fillId="6" borderId="0" xfId="15" applyFont="1" applyFill="1" applyBorder="1" applyAlignment="1">
      <alignment horizontal="left" vertical="center" wrapText="1"/>
    </xf>
    <xf numFmtId="0" fontId="24" fillId="0" borderId="140" xfId="4" applyFont="1" applyFill="1" applyBorder="1" applyAlignment="1">
      <alignment horizontal="center" vertical="center" wrapText="1"/>
    </xf>
    <xf numFmtId="0" fontId="24" fillId="0" borderId="37" xfId="4" applyFont="1" applyFill="1" applyBorder="1" applyAlignment="1">
      <alignment horizontal="center" vertical="center" wrapText="1"/>
    </xf>
    <xf numFmtId="0" fontId="24" fillId="0" borderId="83" xfId="78" applyNumberFormat="1" applyFont="1" applyFill="1" applyBorder="1" applyAlignment="1">
      <alignment horizontal="center" vertical="center"/>
    </xf>
    <xf numFmtId="0" fontId="24" fillId="0" borderId="26" xfId="78" applyFont="1" applyFill="1" applyBorder="1" applyAlignment="1">
      <alignment horizontal="left" vertical="center" wrapText="1"/>
    </xf>
    <xf numFmtId="0" fontId="24" fillId="0" borderId="25" xfId="78" applyFont="1" applyFill="1" applyBorder="1" applyAlignment="1">
      <alignment horizontal="left" vertical="center" wrapText="1"/>
    </xf>
    <xf numFmtId="0" fontId="32" fillId="6" borderId="11" xfId="15" applyFont="1" applyFill="1" applyBorder="1" applyAlignment="1">
      <alignment horizontal="left" vertical="center" wrapText="1"/>
    </xf>
    <xf numFmtId="0" fontId="32" fillId="6" borderId="140" xfId="15" applyFont="1" applyFill="1" applyBorder="1" applyAlignment="1">
      <alignment horizontal="left" vertical="center" wrapText="1"/>
    </xf>
    <xf numFmtId="0" fontId="32" fillId="6" borderId="27" xfId="15" applyFont="1" applyFill="1" applyBorder="1" applyAlignment="1">
      <alignment horizontal="left" vertical="center" wrapText="1"/>
    </xf>
    <xf numFmtId="0" fontId="32" fillId="6" borderId="29" xfId="15" applyFont="1" applyFill="1" applyBorder="1" applyAlignment="1">
      <alignment horizontal="left" vertical="center" wrapText="1"/>
    </xf>
    <xf numFmtId="0" fontId="24" fillId="0" borderId="0" xfId="78" applyFont="1" applyFill="1" applyBorder="1" applyAlignment="1">
      <alignment horizontal="left" vertical="center" wrapText="1"/>
    </xf>
    <xf numFmtId="0" fontId="24" fillId="0" borderId="69" xfId="78" applyNumberFormat="1" applyFont="1" applyFill="1" applyBorder="1" applyAlignment="1">
      <alignment horizontal="center" vertical="center"/>
    </xf>
    <xf numFmtId="0" fontId="25" fillId="20" borderId="30" xfId="78" applyFont="1" applyFill="1" applyBorder="1" applyAlignment="1">
      <alignment vertical="center"/>
    </xf>
    <xf numFmtId="0" fontId="24" fillId="0" borderId="1" xfId="3" applyFont="1" applyFill="1" applyBorder="1" applyAlignment="1">
      <alignment vertical="top"/>
    </xf>
    <xf numFmtId="0" fontId="67" fillId="13" borderId="1" xfId="3" applyFont="1" applyFill="1" applyBorder="1" applyAlignment="1">
      <alignment horizontal="center" textRotation="90"/>
    </xf>
    <xf numFmtId="0" fontId="67" fillId="13" borderId="0" xfId="3" applyFont="1" applyFill="1" applyBorder="1" applyAlignment="1">
      <alignment horizontal="center" textRotation="90"/>
    </xf>
    <xf numFmtId="0" fontId="67" fillId="13" borderId="12" xfId="3" applyFont="1" applyFill="1" applyBorder="1" applyAlignment="1">
      <alignment horizontal="center" vertical="center" wrapText="1"/>
    </xf>
    <xf numFmtId="0" fontId="17" fillId="0" borderId="13" xfId="3" applyBorder="1" applyAlignment="1">
      <alignment vertical="center" wrapText="1"/>
    </xf>
    <xf numFmtId="0" fontId="24" fillId="0" borderId="5" xfId="3" applyFont="1" applyBorder="1"/>
    <xf numFmtId="0" fontId="24" fillId="0" borderId="6" xfId="3" applyFont="1" applyBorder="1"/>
    <xf numFmtId="0" fontId="24" fillId="0" borderId="7" xfId="3" applyFont="1" applyBorder="1"/>
    <xf numFmtId="0" fontId="24" fillId="0" borderId="13" xfId="3" applyFont="1" applyFill="1" applyBorder="1"/>
    <xf numFmtId="0" fontId="24" fillId="0" borderId="13" xfId="3" applyFont="1" applyBorder="1"/>
    <xf numFmtId="0" fontId="24" fillId="0" borderId="13" xfId="0" applyFont="1" applyBorder="1"/>
    <xf numFmtId="0" fontId="19" fillId="0" borderId="155" xfId="0" applyFont="1" applyFill="1" applyBorder="1" applyAlignment="1">
      <alignment horizontal="right"/>
    </xf>
    <xf numFmtId="166" fontId="25" fillId="0" borderId="157" xfId="0" quotePrefix="1" applyNumberFormat="1" applyFont="1" applyFill="1" applyBorder="1"/>
    <xf numFmtId="0" fontId="24" fillId="0" borderId="109" xfId="3" applyFont="1" applyFill="1" applyBorder="1"/>
    <xf numFmtId="0" fontId="24" fillId="0" borderId="109" xfId="3" applyFont="1" applyFill="1" applyBorder="1" applyAlignment="1">
      <alignment vertical="center"/>
    </xf>
    <xf numFmtId="0" fontId="24" fillId="0" borderId="108" xfId="3" applyFont="1" applyFill="1" applyBorder="1" applyAlignment="1">
      <alignment vertical="center"/>
    </xf>
    <xf numFmtId="0" fontId="24" fillId="0" borderId="49" xfId="3" applyFont="1" applyFill="1" applyBorder="1" applyAlignment="1">
      <alignment horizontal="center" vertical="center" wrapText="1"/>
    </xf>
    <xf numFmtId="0" fontId="24" fillId="0" borderId="109" xfId="0" applyFont="1" applyFill="1" applyBorder="1" applyAlignment="1">
      <alignment vertical="center"/>
    </xf>
    <xf numFmtId="0" fontId="24" fillId="0" borderId="108" xfId="0" applyFont="1" applyFill="1" applyBorder="1" applyAlignment="1">
      <alignment vertical="center"/>
    </xf>
    <xf numFmtId="0" fontId="24" fillId="0" borderId="40" xfId="0" applyFont="1" applyFill="1" applyBorder="1" applyAlignment="1">
      <alignment horizontal="center" vertical="center"/>
    </xf>
    <xf numFmtId="0" fontId="24" fillId="0" borderId="75" xfId="0" applyFont="1" applyFill="1" applyBorder="1" applyAlignment="1">
      <alignment horizontal="center" vertical="center"/>
    </xf>
    <xf numFmtId="0" fontId="24" fillId="0" borderId="49" xfId="0" applyFont="1" applyFill="1" applyBorder="1" applyAlignment="1">
      <alignment horizontal="center" vertical="center"/>
    </xf>
    <xf numFmtId="0" fontId="24" fillId="0" borderId="97" xfId="0" applyFont="1" applyFill="1" applyBorder="1" applyAlignment="1">
      <alignment vertical="center"/>
    </xf>
    <xf numFmtId="0" fontId="18" fillId="0" borderId="0" xfId="0" applyFont="1" applyFill="1" applyBorder="1" applyAlignment="1" applyProtection="1">
      <alignment horizontal="left" readingOrder="1"/>
      <protection locked="0"/>
    </xf>
    <xf numFmtId="0" fontId="18" fillId="0" borderId="0" xfId="0" applyFont="1" applyFill="1" applyBorder="1" applyAlignment="1" applyProtection="1">
      <alignment horizontal="center" readingOrder="1"/>
      <protection locked="0"/>
    </xf>
    <xf numFmtId="0" fontId="20" fillId="0" borderId="0" xfId="0" applyFont="1" applyFill="1" applyBorder="1" applyAlignment="1" applyProtection="1">
      <alignment horizontal="center" readingOrder="1"/>
      <protection locked="0"/>
    </xf>
    <xf numFmtId="0" fontId="20" fillId="0" borderId="114" xfId="0" applyFont="1" applyFill="1" applyBorder="1" applyAlignment="1" applyProtection="1">
      <alignment horizontal="center" readingOrder="1"/>
      <protection locked="0"/>
    </xf>
    <xf numFmtId="0" fontId="19" fillId="0" borderId="0" xfId="0" applyFont="1" applyFill="1" applyBorder="1" applyAlignment="1" applyProtection="1">
      <alignment vertical="center" readingOrder="1"/>
      <protection locked="0"/>
    </xf>
    <xf numFmtId="0" fontId="20" fillId="0" borderId="0" xfId="0" applyFont="1" applyFill="1" applyBorder="1" applyAlignment="1">
      <alignment horizontal="center"/>
    </xf>
    <xf numFmtId="0" fontId="17" fillId="0" borderId="0" xfId="0" applyFont="1" applyFill="1" applyBorder="1" applyAlignment="1" applyProtection="1">
      <alignment horizontal="left" readingOrder="1"/>
      <protection locked="0"/>
    </xf>
    <xf numFmtId="0" fontId="17" fillId="0" borderId="0" xfId="0" applyFont="1" applyFill="1" applyBorder="1" applyAlignment="1" applyProtection="1">
      <alignment horizontal="center" readingOrder="1"/>
      <protection locked="0"/>
    </xf>
    <xf numFmtId="0" fontId="17" fillId="0" borderId="114" xfId="0" applyFont="1" applyFill="1" applyBorder="1" applyAlignment="1" applyProtection="1">
      <alignment horizontal="center" readingOrder="1"/>
      <protection locked="0"/>
    </xf>
    <xf numFmtId="0" fontId="20" fillId="0" borderId="111" xfId="0" applyFont="1" applyFill="1" applyBorder="1" applyAlignment="1" applyProtection="1">
      <alignment horizontal="center" readingOrder="1"/>
      <protection locked="0"/>
    </xf>
    <xf numFmtId="0" fontId="19" fillId="0" borderId="111" xfId="0" applyFont="1" applyFill="1" applyBorder="1" applyAlignment="1" applyProtection="1">
      <alignment readingOrder="1"/>
      <protection locked="0"/>
    </xf>
    <xf numFmtId="0" fontId="19" fillId="0" borderId="112" xfId="0" applyFont="1" applyFill="1" applyBorder="1" applyAlignment="1" applyProtection="1">
      <alignment readingOrder="1"/>
      <protection locked="0"/>
    </xf>
    <xf numFmtId="0" fontId="19" fillId="0" borderId="112" xfId="0" applyFont="1" applyFill="1" applyBorder="1" applyAlignment="1" applyProtection="1">
      <alignment horizontal="left" readingOrder="1"/>
      <protection locked="0"/>
    </xf>
    <xf numFmtId="0" fontId="17" fillId="0" borderId="5" xfId="0" applyFont="1" applyFill="1" applyBorder="1" applyAlignment="1" applyProtection="1">
      <alignment horizontal="center" readingOrder="1"/>
      <protection locked="0"/>
    </xf>
    <xf numFmtId="0" fontId="17" fillId="0" borderId="6" xfId="0" applyFont="1" applyFill="1" applyBorder="1" applyAlignment="1" applyProtection="1">
      <alignment horizontal="center" readingOrder="1"/>
      <protection locked="0"/>
    </xf>
    <xf numFmtId="0" fontId="19" fillId="0" borderId="6" xfId="0" applyFont="1" applyFill="1" applyBorder="1" applyAlignment="1" applyProtection="1">
      <alignment readingOrder="1"/>
      <protection locked="0"/>
    </xf>
    <xf numFmtId="0" fontId="19" fillId="0" borderId="7" xfId="0" applyFont="1" applyFill="1" applyBorder="1" applyAlignment="1" applyProtection="1">
      <alignment readingOrder="1"/>
      <protection locked="0"/>
    </xf>
    <xf numFmtId="0" fontId="19" fillId="0" borderId="5" xfId="0" applyFont="1" applyFill="1" applyBorder="1" applyAlignment="1" applyProtection="1">
      <alignment readingOrder="1"/>
      <protection locked="0"/>
    </xf>
    <xf numFmtId="0" fontId="19" fillId="0" borderId="76" xfId="0" applyFont="1" applyFill="1" applyBorder="1" applyAlignment="1" applyProtection="1">
      <alignment readingOrder="1"/>
      <protection locked="0"/>
    </xf>
    <xf numFmtId="0" fontId="49" fillId="0" borderId="0" xfId="0" applyFont="1" applyFill="1" applyBorder="1" applyAlignment="1" applyProtection="1">
      <alignment vertical="center" readingOrder="1"/>
      <protection locked="0"/>
    </xf>
    <xf numFmtId="0" fontId="17" fillId="0" borderId="112" xfId="0" applyFont="1" applyFill="1" applyBorder="1" applyAlignment="1" applyProtection="1">
      <alignment horizontal="center" readingOrder="1"/>
      <protection locked="0"/>
    </xf>
    <xf numFmtId="0" fontId="24" fillId="0" borderId="5" xfId="0" applyFont="1" applyFill="1" applyBorder="1"/>
    <xf numFmtId="0" fontId="19" fillId="0" borderId="7" xfId="0" applyFont="1" applyFill="1" applyBorder="1" applyAlignment="1" applyProtection="1">
      <alignment vertical="center" readingOrder="1"/>
      <protection locked="0"/>
    </xf>
    <xf numFmtId="0" fontId="19" fillId="0" borderId="114" xfId="0" applyFont="1" applyFill="1" applyBorder="1" applyAlignment="1" applyProtection="1">
      <alignment vertical="center" readingOrder="1"/>
      <protection locked="0"/>
    </xf>
    <xf numFmtId="0" fontId="19" fillId="0" borderId="116" xfId="0" applyFont="1" applyFill="1" applyBorder="1" applyAlignment="1" applyProtection="1">
      <alignment readingOrder="1"/>
      <protection locked="0"/>
    </xf>
    <xf numFmtId="0" fontId="24" fillId="0" borderId="116" xfId="0" applyFont="1" applyFill="1" applyBorder="1"/>
    <xf numFmtId="0" fontId="20" fillId="0" borderId="115" xfId="0" applyFont="1" applyFill="1" applyBorder="1" applyAlignment="1" applyProtection="1">
      <alignment horizontal="center" readingOrder="1"/>
      <protection locked="0"/>
    </xf>
    <xf numFmtId="0" fontId="18" fillId="0" borderId="0" xfId="0" applyFont="1" applyFill="1" applyBorder="1" applyAlignment="1" applyProtection="1">
      <alignment readingOrder="1"/>
      <protection locked="0"/>
    </xf>
    <xf numFmtId="0" fontId="22" fillId="0" borderId="0" xfId="0" applyFont="1" applyFill="1" applyBorder="1" applyAlignment="1" applyProtection="1">
      <alignment readingOrder="1"/>
      <protection locked="0"/>
    </xf>
    <xf numFmtId="0" fontId="24" fillId="0" borderId="111" xfId="0" applyFont="1" applyFill="1" applyBorder="1"/>
    <xf numFmtId="0" fontId="20" fillId="0" borderId="117" xfId="0" applyFont="1" applyFill="1" applyBorder="1" applyAlignment="1" applyProtection="1">
      <alignment horizontal="center" readingOrder="1"/>
      <protection locked="0"/>
    </xf>
    <xf numFmtId="0" fontId="24" fillId="0" borderId="6" xfId="0" applyFont="1" applyFill="1" applyBorder="1"/>
    <xf numFmtId="0" fontId="17" fillId="0" borderId="116" xfId="0" applyFont="1" applyFill="1" applyBorder="1" applyAlignment="1" applyProtection="1">
      <alignment horizontal="center" readingOrder="1"/>
      <protection locked="0"/>
    </xf>
    <xf numFmtId="0" fontId="17" fillId="0" borderId="116" xfId="0" applyFont="1" applyFill="1" applyBorder="1" applyAlignment="1">
      <alignment horizontal="center"/>
    </xf>
    <xf numFmtId="0" fontId="49" fillId="0" borderId="0" xfId="0" applyFont="1" applyFill="1" applyBorder="1" applyAlignment="1" applyProtection="1">
      <alignment horizontal="left" vertical="center" readingOrder="1"/>
      <protection locked="0"/>
    </xf>
    <xf numFmtId="0" fontId="49" fillId="0" borderId="0" xfId="0" applyFont="1" applyFill="1" applyBorder="1" applyAlignment="1" applyProtection="1">
      <alignment horizontal="left" readingOrder="1"/>
      <protection locked="0"/>
    </xf>
    <xf numFmtId="0" fontId="20" fillId="0" borderId="0" xfId="0" applyFont="1" applyFill="1" applyBorder="1" applyAlignment="1">
      <alignment horizontal="left"/>
    </xf>
    <xf numFmtId="0" fontId="49" fillId="0" borderId="0" xfId="0" applyFont="1" applyFill="1" applyBorder="1" applyAlignment="1">
      <alignment horizontal="left"/>
    </xf>
    <xf numFmtId="0" fontId="25" fillId="0" borderId="0" xfId="0" applyFont="1" applyFill="1" applyBorder="1" applyAlignment="1">
      <alignment horizontal="left"/>
    </xf>
    <xf numFmtId="0" fontId="0" fillId="0" borderId="0" xfId="0" applyFill="1" applyAlignment="1"/>
    <xf numFmtId="0" fontId="17" fillId="0" borderId="0" xfId="0" applyFont="1" applyFill="1" applyAlignment="1" applyProtection="1">
      <alignment readingOrder="1"/>
      <protection locked="0"/>
    </xf>
    <xf numFmtId="0" fontId="17" fillId="0" borderId="0" xfId="0" applyFont="1" applyFill="1" applyAlignment="1" applyProtection="1">
      <alignment vertical="center" readingOrder="1"/>
      <protection locked="0"/>
    </xf>
    <xf numFmtId="0" fontId="17" fillId="0" borderId="114" xfId="0" applyFont="1" applyFill="1" applyBorder="1" applyAlignment="1" applyProtection="1">
      <alignment vertical="center" readingOrder="1"/>
      <protection locked="0"/>
    </xf>
    <xf numFmtId="0" fontId="0" fillId="0" borderId="0" xfId="0" applyFill="1" applyAlignment="1">
      <alignment vertical="center"/>
    </xf>
    <xf numFmtId="0" fontId="20" fillId="0" borderId="0" xfId="0" applyFont="1" applyFill="1" applyAlignment="1">
      <alignment horizontal="left"/>
    </xf>
    <xf numFmtId="0" fontId="17" fillId="0" borderId="5" xfId="0" applyFont="1" applyFill="1" applyBorder="1" applyAlignment="1" applyProtection="1">
      <alignment readingOrder="1"/>
      <protection locked="0"/>
    </xf>
    <xf numFmtId="0" fontId="17" fillId="0" borderId="6" xfId="0" applyFont="1" applyFill="1" applyBorder="1" applyAlignment="1" applyProtection="1">
      <alignment readingOrder="1"/>
      <protection locked="0"/>
    </xf>
    <xf numFmtId="0" fontId="17" fillId="0" borderId="6" xfId="0" applyFont="1" applyFill="1" applyBorder="1" applyAlignment="1" applyProtection="1">
      <alignment vertical="center" readingOrder="1"/>
      <protection locked="0"/>
    </xf>
    <xf numFmtId="0" fontId="17" fillId="0" borderId="7" xfId="0" applyFont="1" applyFill="1" applyBorder="1" applyAlignment="1" applyProtection="1">
      <alignment vertical="center" readingOrder="1"/>
      <protection locked="0"/>
    </xf>
    <xf numFmtId="0" fontId="30" fillId="0" borderId="10" xfId="15" applyFont="1" applyBorder="1" applyAlignment="1">
      <alignment vertical="top"/>
    </xf>
    <xf numFmtId="0" fontId="30" fillId="0" borderId="8" xfId="15" applyFont="1" applyBorder="1" applyAlignment="1">
      <alignment vertical="top"/>
    </xf>
    <xf numFmtId="2" fontId="109" fillId="0" borderId="8" xfId="177" applyNumberFormat="1" applyFont="1" applyFill="1" applyBorder="1" applyAlignment="1"/>
    <xf numFmtId="0" fontId="41" fillId="0" borderId="162" xfId="180" applyFont="1" applyBorder="1" applyAlignment="1">
      <alignment vertical="top" wrapText="1"/>
    </xf>
    <xf numFmtId="0" fontId="41" fillId="0" borderId="162" xfId="180" applyFont="1" applyBorder="1" applyAlignment="1">
      <alignment horizontal="center" vertical="top" wrapText="1"/>
    </xf>
    <xf numFmtId="0" fontId="30" fillId="0" borderId="156" xfId="180" applyFont="1" applyBorder="1" applyAlignment="1">
      <alignment vertical="top" wrapText="1"/>
    </xf>
    <xf numFmtId="0" fontId="41" fillId="0" borderId="158" xfId="180" applyFont="1" applyBorder="1" applyAlignment="1">
      <alignment horizontal="center" vertical="center"/>
    </xf>
    <xf numFmtId="0" fontId="41" fillId="0" borderId="156" xfId="180" applyFont="1" applyBorder="1" applyAlignment="1">
      <alignment vertical="top" wrapText="1"/>
    </xf>
    <xf numFmtId="0" fontId="41" fillId="0" borderId="156" xfId="180" applyFont="1" applyBorder="1" applyAlignment="1">
      <alignment horizontal="center" vertical="top" wrapText="1"/>
    </xf>
    <xf numFmtId="0" fontId="17" fillId="0" borderId="162" xfId="180" applyBorder="1"/>
    <xf numFmtId="0" fontId="17" fillId="0" borderId="162" xfId="180" applyBorder="1" applyAlignment="1">
      <alignment horizontal="center"/>
    </xf>
    <xf numFmtId="0" fontId="17" fillId="0" borderId="19" xfId="180" applyBorder="1"/>
    <xf numFmtId="0" fontId="67" fillId="39" borderId="19" xfId="180" applyFont="1" applyFill="1" applyBorder="1" applyAlignment="1">
      <alignment vertical="top" wrapText="1"/>
    </xf>
    <xf numFmtId="0" fontId="67" fillId="39" borderId="19" xfId="180" quotePrefix="1" applyFont="1" applyFill="1" applyBorder="1" applyAlignment="1">
      <alignment vertical="top" wrapText="1"/>
    </xf>
    <xf numFmtId="0" fontId="17" fillId="0" borderId="0" xfId="180" applyBorder="1" applyAlignment="1">
      <alignment vertical="center" wrapText="1"/>
    </xf>
    <xf numFmtId="0" fontId="17" fillId="0" borderId="48" xfId="180" applyBorder="1" applyAlignment="1">
      <alignment horizontal="center"/>
    </xf>
    <xf numFmtId="0" fontId="41" fillId="0" borderId="167" xfId="180" applyFont="1" applyBorder="1" applyAlignment="1">
      <alignment horizontal="center" vertical="center"/>
    </xf>
    <xf numFmtId="0" fontId="41" fillId="0" borderId="168" xfId="180" applyFont="1" applyBorder="1" applyAlignment="1">
      <alignment horizontal="center" vertical="center"/>
    </xf>
    <xf numFmtId="0" fontId="67" fillId="39" borderId="0" xfId="180" quotePrefix="1" applyFont="1" applyFill="1" applyBorder="1" applyAlignment="1">
      <alignment horizontal="center" vertical="center" wrapText="1"/>
    </xf>
    <xf numFmtId="0" fontId="20" fillId="0" borderId="0" xfId="180" applyFont="1" applyAlignment="1">
      <alignment vertical="center"/>
    </xf>
    <xf numFmtId="166" fontId="24" fillId="0" borderId="0" xfId="113" applyNumberFormat="1" applyFont="1" applyBorder="1" applyAlignment="1"/>
    <xf numFmtId="0" fontId="24" fillId="0" borderId="0" xfId="113" applyFont="1" applyBorder="1" applyAlignment="1">
      <alignment horizontal="center"/>
    </xf>
    <xf numFmtId="0" fontId="17" fillId="0" borderId="8" xfId="180" applyFont="1" applyBorder="1"/>
    <xf numFmtId="0" fontId="41" fillId="0" borderId="8" xfId="15" applyFont="1" applyBorder="1" applyAlignment="1">
      <alignment vertical="center"/>
    </xf>
    <xf numFmtId="0" fontId="24" fillId="0" borderId="30" xfId="2" applyFont="1" applyFill="1" applyBorder="1" applyAlignment="1">
      <alignment horizontal="center" vertical="center" wrapText="1"/>
    </xf>
    <xf numFmtId="0" fontId="30" fillId="0" borderId="30" xfId="180" applyFont="1" applyBorder="1"/>
    <xf numFmtId="0" fontId="17" fillId="0" borderId="30" xfId="180" applyFont="1" applyBorder="1"/>
    <xf numFmtId="0" fontId="17" fillId="0" borderId="36" xfId="180" applyBorder="1"/>
    <xf numFmtId="0" fontId="17" fillId="0" borderId="35" xfId="180" applyBorder="1"/>
    <xf numFmtId="0" fontId="17" fillId="0" borderId="30" xfId="180" applyBorder="1"/>
    <xf numFmtId="0" fontId="17" fillId="0" borderId="164" xfId="180" applyBorder="1"/>
    <xf numFmtId="0" fontId="17" fillId="0" borderId="30" xfId="180" applyBorder="1" applyAlignment="1"/>
    <xf numFmtId="0" fontId="17" fillId="0" borderId="36" xfId="180" applyBorder="1" applyAlignment="1"/>
    <xf numFmtId="0" fontId="41" fillId="0" borderId="42" xfId="15" applyFont="1" applyBorder="1" applyAlignment="1">
      <alignment vertical="center"/>
    </xf>
    <xf numFmtId="0" fontId="41" fillId="0" borderId="43" xfId="15" applyFont="1" applyBorder="1" applyAlignment="1">
      <alignment vertical="center"/>
    </xf>
    <xf numFmtId="0" fontId="111" fillId="0" borderId="38" xfId="625" applyFont="1" applyBorder="1" applyAlignment="1">
      <alignment vertical="center"/>
    </xf>
    <xf numFmtId="0" fontId="30" fillId="0" borderId="38" xfId="180" applyFont="1" applyBorder="1"/>
    <xf numFmtId="0" fontId="17" fillId="0" borderId="38" xfId="180" applyFont="1" applyBorder="1"/>
    <xf numFmtId="0" fontId="17" fillId="0" borderId="40" xfId="180" applyBorder="1"/>
    <xf numFmtId="0" fontId="17" fillId="0" borderId="39" xfId="180" applyBorder="1"/>
    <xf numFmtId="0" fontId="17" fillId="0" borderId="38" xfId="180" applyBorder="1"/>
    <xf numFmtId="0" fontId="17" fillId="0" borderId="159" xfId="180" applyBorder="1"/>
    <xf numFmtId="0" fontId="17" fillId="0" borderId="38" xfId="180" applyBorder="1" applyAlignment="1"/>
    <xf numFmtId="0" fontId="17" fillId="0" borderId="21" xfId="180" applyBorder="1" applyAlignment="1">
      <alignment vertical="center" wrapText="1"/>
    </xf>
    <xf numFmtId="0" fontId="17" fillId="0" borderId="26" xfId="180" applyBorder="1" applyAlignment="1">
      <alignment vertical="center" wrapText="1"/>
    </xf>
    <xf numFmtId="0" fontId="24" fillId="0" borderId="0" xfId="113" applyFont="1" applyBorder="1" applyAlignment="1">
      <alignment horizontal="left" wrapText="1"/>
    </xf>
    <xf numFmtId="2" fontId="67" fillId="13" borderId="3" xfId="0" applyNumberFormat="1" applyFont="1" applyFill="1" applyBorder="1" applyAlignment="1">
      <alignment horizontal="center" vertical="center"/>
    </xf>
    <xf numFmtId="0" fontId="24" fillId="0" borderId="12" xfId="0" applyFont="1" applyFill="1" applyBorder="1" applyAlignment="1">
      <alignment horizontal="center"/>
    </xf>
    <xf numFmtId="0" fontId="24" fillId="0" borderId="169" xfId="0" applyNumberFormat="1" applyFont="1" applyFill="1" applyBorder="1" applyAlignment="1">
      <alignment horizontal="center"/>
    </xf>
    <xf numFmtId="0" fontId="24" fillId="0" borderId="170" xfId="0" applyFont="1" applyFill="1" applyBorder="1" applyAlignment="1">
      <alignment horizontal="left" vertical="top"/>
    </xf>
    <xf numFmtId="0" fontId="24" fillId="0" borderId="171" xfId="0" applyNumberFormat="1" applyFont="1" applyFill="1" applyBorder="1" applyAlignment="1">
      <alignment horizontal="center"/>
    </xf>
    <xf numFmtId="0" fontId="24" fillId="0" borderId="172" xfId="0" applyFont="1" applyFill="1" applyBorder="1" applyAlignment="1">
      <alignment horizontal="left" vertical="top"/>
    </xf>
    <xf numFmtId="0" fontId="19" fillId="0" borderId="156" xfId="0" applyFont="1" applyFill="1" applyBorder="1" applyAlignment="1">
      <alignment horizontal="right"/>
    </xf>
    <xf numFmtId="0" fontId="67" fillId="0" borderId="5" xfId="3" applyFont="1" applyFill="1" applyBorder="1" applyAlignment="1">
      <alignment horizontal="center" textRotation="90"/>
    </xf>
    <xf numFmtId="0" fontId="67" fillId="0" borderId="6" xfId="3" applyFont="1" applyFill="1" applyBorder="1" applyAlignment="1">
      <alignment horizontal="center" textRotation="90"/>
    </xf>
    <xf numFmtId="0" fontId="32" fillId="39" borderId="30" xfId="4" applyNumberFormat="1" applyFont="1" applyFill="1" applyBorder="1" applyAlignment="1">
      <alignment horizontal="center" vertical="center"/>
    </xf>
    <xf numFmtId="0" fontId="32" fillId="39" borderId="35" xfId="4" quotePrefix="1" applyNumberFormat="1" applyFont="1" applyFill="1" applyBorder="1" applyAlignment="1">
      <alignment horizontal="center" vertical="center"/>
    </xf>
    <xf numFmtId="0" fontId="32" fillId="39" borderId="82" xfId="78" applyFont="1" applyFill="1" applyBorder="1" applyAlignment="1">
      <alignment horizontal="center" vertical="center"/>
    </xf>
    <xf numFmtId="0" fontId="32" fillId="39" borderId="29" xfId="78" applyFont="1" applyFill="1" applyBorder="1" applyAlignment="1">
      <alignment horizontal="center" vertical="center" wrapText="1"/>
    </xf>
    <xf numFmtId="0" fontId="32" fillId="39" borderId="84" xfId="78" applyFont="1" applyFill="1" applyBorder="1" applyAlignment="1">
      <alignment horizontal="center" vertical="center"/>
    </xf>
    <xf numFmtId="0" fontId="24" fillId="39" borderId="6" xfId="15" applyFont="1" applyFill="1" applyBorder="1" applyAlignment="1">
      <alignment horizontal="left" vertical="center"/>
    </xf>
    <xf numFmtId="0" fontId="19" fillId="0" borderId="0" xfId="0" applyFont="1" applyFill="1" applyBorder="1"/>
    <xf numFmtId="0" fontId="86" fillId="0" borderId="0" xfId="78" applyFont="1" applyFill="1" applyBorder="1" applyAlignment="1">
      <alignment horizontal="left" vertical="center" readingOrder="2"/>
    </xf>
    <xf numFmtId="0" fontId="17" fillId="0" borderId="84" xfId="78" applyFill="1" applyBorder="1"/>
    <xf numFmtId="49" fontId="95" fillId="20" borderId="1" xfId="171" applyNumberFormat="1" applyFont="1" applyFill="1" applyBorder="1" applyAlignment="1">
      <alignment horizontal="center" vertical="center" shrinkToFit="1"/>
    </xf>
    <xf numFmtId="0" fontId="24" fillId="6" borderId="69" xfId="78" applyFont="1" applyFill="1" applyBorder="1"/>
    <xf numFmtId="0" fontId="24" fillId="6" borderId="54" xfId="78" applyFont="1" applyFill="1" applyBorder="1"/>
    <xf numFmtId="0" fontId="24" fillId="0" borderId="8" xfId="4" applyFont="1" applyFill="1" applyBorder="1" applyAlignment="1">
      <alignment horizontal="center" vertical="center" wrapText="1"/>
    </xf>
    <xf numFmtId="0" fontId="24" fillId="0" borderId="27" xfId="4" applyFont="1" applyFill="1" applyBorder="1" applyAlignment="1">
      <alignment horizontal="center" vertical="center" wrapText="1"/>
    </xf>
    <xf numFmtId="0" fontId="24" fillId="0" borderId="29" xfId="4" applyFont="1" applyFill="1" applyBorder="1" applyAlignment="1">
      <alignment horizontal="center" vertical="center" wrapText="1"/>
    </xf>
    <xf numFmtId="0" fontId="24" fillId="6" borderId="23" xfId="180" applyFont="1" applyFill="1" applyBorder="1"/>
    <xf numFmtId="0" fontId="24" fillId="0" borderId="0" xfId="15" applyFont="1" applyFill="1" applyBorder="1" applyAlignment="1">
      <alignment horizontal="right" vertical="top" wrapText="1"/>
    </xf>
    <xf numFmtId="0" fontId="17" fillId="0" borderId="2" xfId="180" applyFill="1" applyBorder="1" applyAlignment="1"/>
    <xf numFmtId="0" fontId="17" fillId="0" borderId="2" xfId="180" applyBorder="1" applyAlignment="1"/>
    <xf numFmtId="0" fontId="17" fillId="0" borderId="0" xfId="180" applyFill="1" applyBorder="1" applyAlignment="1">
      <alignment horizontal="left" vertical="top" wrapText="1"/>
    </xf>
    <xf numFmtId="0" fontId="18" fillId="0" borderId="0" xfId="0" applyFont="1" applyFill="1" applyBorder="1" applyAlignment="1" applyProtection="1">
      <alignment vertical="center" readingOrder="1"/>
      <protection locked="0"/>
    </xf>
    <xf numFmtId="0" fontId="18" fillId="0" borderId="0" xfId="0" applyFont="1" applyFill="1" applyBorder="1" applyAlignment="1">
      <alignment vertical="center"/>
    </xf>
    <xf numFmtId="0" fontId="96" fillId="0" borderId="0" xfId="0" applyFont="1" applyFill="1" applyBorder="1" applyAlignment="1">
      <alignment vertical="center"/>
    </xf>
    <xf numFmtId="0" fontId="24" fillId="0" borderId="7" xfId="0" applyFont="1" applyFill="1" applyBorder="1"/>
    <xf numFmtId="0" fontId="17" fillId="0" borderId="7" xfId="0" applyFont="1" applyFill="1" applyBorder="1" applyAlignment="1" applyProtection="1">
      <alignment horizontal="center" readingOrder="1"/>
      <protection locked="0"/>
    </xf>
    <xf numFmtId="0" fontId="25" fillId="0" borderId="5" xfId="0" applyFont="1" applyFill="1" applyBorder="1" applyAlignment="1">
      <alignment horizontal="left"/>
    </xf>
    <xf numFmtId="0" fontId="25" fillId="0" borderId="6" xfId="0" applyFont="1" applyFill="1" applyBorder="1" applyAlignment="1">
      <alignment horizontal="left"/>
    </xf>
    <xf numFmtId="0" fontId="25" fillId="0" borderId="7" xfId="0" applyFont="1" applyFill="1" applyBorder="1" applyAlignment="1">
      <alignment horizontal="left"/>
    </xf>
    <xf numFmtId="0" fontId="19" fillId="0" borderId="175" xfId="0" applyFont="1" applyFill="1" applyBorder="1" applyAlignment="1" applyProtection="1">
      <alignment readingOrder="1"/>
      <protection locked="0"/>
    </xf>
    <xf numFmtId="0" fontId="20" fillId="0" borderId="176" xfId="0" applyFont="1" applyFill="1" applyBorder="1" applyAlignment="1" applyProtection="1">
      <alignment horizontal="center" readingOrder="1"/>
      <protection locked="0"/>
    </xf>
    <xf numFmtId="0" fontId="24" fillId="0" borderId="175" xfId="0" applyFont="1" applyFill="1" applyBorder="1"/>
    <xf numFmtId="0" fontId="0" fillId="0" borderId="111" xfId="0" applyFill="1" applyBorder="1" applyAlignment="1"/>
    <xf numFmtId="0" fontId="0" fillId="0" borderId="5" xfId="0" applyFill="1" applyBorder="1" applyAlignment="1"/>
    <xf numFmtId="0" fontId="0" fillId="0" borderId="6" xfId="0" applyFill="1" applyBorder="1" applyAlignment="1"/>
    <xf numFmtId="166" fontId="24" fillId="0" borderId="0" xfId="15" applyNumberFormat="1" applyFont="1" applyFill="1" applyBorder="1" applyAlignment="1">
      <alignment horizontal="left" vertical="top" wrapText="1"/>
    </xf>
    <xf numFmtId="166" fontId="24" fillId="0" borderId="2" xfId="15" applyNumberFormat="1" applyFont="1" applyFill="1" applyBorder="1" applyAlignment="1">
      <alignment vertical="top" wrapText="1"/>
    </xf>
    <xf numFmtId="0" fontId="24" fillId="0" borderId="2" xfId="15" applyFont="1" applyFill="1" applyBorder="1" applyAlignment="1">
      <alignment horizontal="right" vertical="top"/>
    </xf>
    <xf numFmtId="166" fontId="24" fillId="0" borderId="2" xfId="15" applyNumberFormat="1" applyFont="1" applyFill="1" applyBorder="1" applyAlignment="1">
      <alignment horizontal="left" vertical="top" wrapText="1"/>
    </xf>
    <xf numFmtId="0" fontId="24" fillId="0" borderId="2" xfId="15" applyFont="1" applyFill="1" applyBorder="1" applyAlignment="1">
      <alignment horizontal="left" vertical="top"/>
    </xf>
    <xf numFmtId="0" fontId="24" fillId="0" borderId="0" xfId="15" applyFont="1" applyFill="1" applyAlignment="1">
      <alignment horizontal="center"/>
    </xf>
    <xf numFmtId="0" fontId="24" fillId="0" borderId="24" xfId="15" applyFont="1" applyFill="1" applyBorder="1" applyAlignment="1">
      <alignment horizontal="center"/>
    </xf>
    <xf numFmtId="0" fontId="24" fillId="0" borderId="37" xfId="15" applyFont="1" applyFill="1" applyBorder="1" applyAlignment="1">
      <alignment horizontal="center"/>
    </xf>
    <xf numFmtId="0" fontId="24" fillId="0" borderId="123" xfId="15" applyFont="1" applyFill="1" applyBorder="1" applyAlignment="1">
      <alignment horizontal="center"/>
    </xf>
    <xf numFmtId="0" fontId="24" fillId="0" borderId="125" xfId="15" applyFont="1" applyFill="1" applyBorder="1" applyAlignment="1">
      <alignment horizontal="center"/>
    </xf>
    <xf numFmtId="0" fontId="24" fillId="0" borderId="25" xfId="15" applyFont="1" applyFill="1" applyBorder="1" applyAlignment="1">
      <alignment horizontal="center"/>
    </xf>
    <xf numFmtId="0" fontId="30" fillId="0" borderId="37" xfId="15" applyFont="1" applyFill="1" applyBorder="1" applyAlignment="1">
      <alignment horizontal="center"/>
    </xf>
    <xf numFmtId="0" fontId="30" fillId="0" borderId="110" xfId="15" applyFont="1" applyFill="1" applyBorder="1" applyAlignment="1">
      <alignment horizontal="center"/>
    </xf>
    <xf numFmtId="0" fontId="30" fillId="0" borderId="0" xfId="15" applyFont="1" applyFill="1" applyAlignment="1">
      <alignment horizontal="center"/>
    </xf>
    <xf numFmtId="166" fontId="24" fillId="0" borderId="1" xfId="15" applyNumberFormat="1" applyFont="1" applyFill="1" applyBorder="1" applyAlignment="1">
      <alignment horizontal="left" vertical="top" wrapText="1"/>
    </xf>
    <xf numFmtId="0" fontId="25" fillId="2" borderId="0" xfId="2" applyFont="1" applyFill="1" applyBorder="1" applyAlignment="1">
      <alignment vertical="top"/>
    </xf>
    <xf numFmtId="0" fontId="25" fillId="2" borderId="23" xfId="2" applyFont="1" applyFill="1" applyBorder="1" applyAlignment="1">
      <alignment vertical="top"/>
    </xf>
    <xf numFmtId="0" fontId="25" fillId="2" borderId="26" xfId="2" applyFont="1" applyFill="1" applyBorder="1" applyAlignment="1">
      <alignment vertical="top"/>
    </xf>
    <xf numFmtId="0" fontId="25" fillId="2" borderId="6" xfId="2" applyFont="1" applyFill="1" applyBorder="1" applyAlignment="1">
      <alignment vertical="top"/>
    </xf>
    <xf numFmtId="0" fontId="25" fillId="2" borderId="25" xfId="2" applyFont="1" applyFill="1" applyBorder="1" applyAlignment="1">
      <alignment vertical="top"/>
    </xf>
    <xf numFmtId="0" fontId="24" fillId="0" borderId="179" xfId="15" applyFont="1" applyFill="1" applyBorder="1"/>
    <xf numFmtId="0" fontId="24" fillId="0" borderId="180" xfId="15" applyFont="1" applyFill="1" applyBorder="1"/>
    <xf numFmtId="0" fontId="24" fillId="0" borderId="181" xfId="15" applyFont="1" applyFill="1" applyBorder="1"/>
    <xf numFmtId="0" fontId="24" fillId="0" borderId="182" xfId="15" applyFont="1" applyFill="1" applyBorder="1"/>
    <xf numFmtId="0" fontId="24" fillId="0" borderId="128" xfId="15" applyFont="1" applyFill="1" applyBorder="1"/>
    <xf numFmtId="0" fontId="24" fillId="0" borderId="183" xfId="15" applyFont="1" applyFill="1" applyBorder="1"/>
    <xf numFmtId="0" fontId="24" fillId="0" borderId="184" xfId="15" applyFont="1" applyFill="1" applyBorder="1"/>
    <xf numFmtId="0" fontId="24" fillId="0" borderId="185" xfId="15" applyFont="1" applyFill="1" applyBorder="1"/>
    <xf numFmtId="0" fontId="24" fillId="0" borderId="186" xfId="15" applyFont="1" applyFill="1" applyBorder="1"/>
    <xf numFmtId="0" fontId="24" fillId="0" borderId="187" xfId="15" applyFont="1" applyFill="1" applyBorder="1"/>
    <xf numFmtId="0" fontId="24" fillId="0" borderId="188" xfId="15" applyFont="1" applyFill="1" applyBorder="1"/>
    <xf numFmtId="0" fontId="24" fillId="0" borderId="189" xfId="15" applyFont="1" applyFill="1" applyBorder="1"/>
    <xf numFmtId="0" fontId="24" fillId="0" borderId="190" xfId="15" applyFont="1" applyFill="1" applyBorder="1"/>
    <xf numFmtId="0" fontId="24" fillId="0" borderId="191" xfId="15" applyFont="1" applyFill="1" applyBorder="1"/>
    <xf numFmtId="0" fontId="24" fillId="0" borderId="192" xfId="15" applyFont="1" applyFill="1" applyBorder="1"/>
    <xf numFmtId="0" fontId="24" fillId="0" borderId="193" xfId="15" applyFont="1" applyFill="1" applyBorder="1"/>
    <xf numFmtId="0" fontId="24" fillId="0" borderId="194" xfId="15" applyFont="1" applyFill="1" applyBorder="1"/>
    <xf numFmtId="0" fontId="24" fillId="0" borderId="195" xfId="15" applyFont="1" applyFill="1" applyBorder="1"/>
    <xf numFmtId="0" fontId="30" fillId="0" borderId="182" xfId="15" applyFont="1" applyFill="1" applyBorder="1"/>
    <xf numFmtId="0" fontId="30" fillId="0" borderId="128" xfId="15" applyFont="1" applyFill="1" applyBorder="1"/>
    <xf numFmtId="0" fontId="30" fillId="0" borderId="183" xfId="15" applyFont="1" applyFill="1" applyBorder="1"/>
    <xf numFmtId="0" fontId="30" fillId="0" borderId="196" xfId="15" applyFont="1" applyFill="1" applyBorder="1"/>
    <xf numFmtId="0" fontId="30" fillId="0" borderId="197" xfId="15" applyFont="1" applyFill="1" applyBorder="1"/>
    <xf numFmtId="0" fontId="30" fillId="0" borderId="198" xfId="15" applyFont="1" applyFill="1" applyBorder="1"/>
    <xf numFmtId="0" fontId="24" fillId="0" borderId="1" xfId="15" applyFont="1" applyFill="1" applyBorder="1" applyAlignment="1">
      <alignment vertical="center" wrapText="1"/>
    </xf>
    <xf numFmtId="0" fontId="30" fillId="0" borderId="1" xfId="15" applyFont="1" applyFill="1" applyBorder="1"/>
    <xf numFmtId="0" fontId="24" fillId="0" borderId="1" xfId="15" applyFont="1" applyFill="1" applyBorder="1"/>
    <xf numFmtId="0" fontId="24" fillId="0" borderId="13" xfId="181" applyFont="1" applyFill="1" applyBorder="1" applyAlignment="1">
      <alignment horizontal="center" vertical="center"/>
    </xf>
    <xf numFmtId="0" fontId="30" fillId="0" borderId="0" xfId="180" applyFont="1" applyFill="1" applyBorder="1"/>
    <xf numFmtId="0" fontId="30" fillId="0" borderId="8" xfId="180" applyFont="1" applyFill="1" applyBorder="1"/>
    <xf numFmtId="166" fontId="25" fillId="0" borderId="0" xfId="180" applyNumberFormat="1" applyFont="1" applyFill="1" applyBorder="1" applyAlignment="1"/>
    <xf numFmtId="0" fontId="24" fillId="0" borderId="108" xfId="15" applyFont="1" applyFill="1" applyBorder="1" applyAlignment="1">
      <alignment vertical="center"/>
    </xf>
    <xf numFmtId="0" fontId="24" fillId="0" borderId="27" xfId="181" applyFont="1" applyFill="1" applyBorder="1" applyAlignment="1">
      <alignment horizontal="center" wrapText="1"/>
    </xf>
    <xf numFmtId="0" fontId="24" fillId="0" borderId="21" xfId="181" applyFont="1" applyFill="1" applyBorder="1" applyAlignment="1">
      <alignment horizontal="center" wrapText="1"/>
    </xf>
    <xf numFmtId="0" fontId="24" fillId="0" borderId="22" xfId="181" applyFont="1" applyFill="1" applyBorder="1" applyAlignment="1">
      <alignment horizontal="center" wrapText="1"/>
    </xf>
    <xf numFmtId="0" fontId="24" fillId="0" borderId="7" xfId="181" applyFont="1" applyFill="1" applyBorder="1" applyAlignment="1">
      <alignment horizontal="center" vertical="center"/>
    </xf>
    <xf numFmtId="0" fontId="24" fillId="0" borderId="83" xfId="181" applyFont="1" applyFill="1" applyBorder="1" applyAlignment="1">
      <alignment horizontal="center" vertical="center" wrapText="1"/>
    </xf>
    <xf numFmtId="0" fontId="24" fillId="0" borderId="80" xfId="181" applyFont="1" applyFill="1" applyBorder="1" applyAlignment="1">
      <alignment horizontal="center" vertical="center"/>
    </xf>
    <xf numFmtId="0" fontId="24" fillId="0" borderId="21" xfId="2" applyFont="1" applyBorder="1" applyAlignment="1">
      <alignment textRotation="90" wrapText="1"/>
    </xf>
    <xf numFmtId="0" fontId="24" fillId="0" borderId="0" xfId="2" applyFont="1" applyBorder="1" applyAlignment="1">
      <alignment textRotation="90" wrapText="1"/>
    </xf>
    <xf numFmtId="0" fontId="24" fillId="0" borderId="23" xfId="2" applyFont="1" applyBorder="1" applyAlignment="1">
      <alignment textRotation="90" wrapText="1"/>
    </xf>
    <xf numFmtId="0" fontId="24" fillId="0" borderId="26" xfId="2" applyFont="1" applyBorder="1" applyAlignment="1">
      <alignment textRotation="90" wrapText="1"/>
    </xf>
    <xf numFmtId="0" fontId="24" fillId="0" borderId="6" xfId="2" applyFont="1" applyBorder="1" applyAlignment="1">
      <alignment textRotation="90" wrapText="1"/>
    </xf>
    <xf numFmtId="0" fontId="24" fillId="0" borderId="25" xfId="2" applyFont="1" applyBorder="1" applyAlignment="1">
      <alignment textRotation="90" wrapText="1"/>
    </xf>
    <xf numFmtId="0" fontId="24" fillId="0" borderId="6" xfId="180" applyFont="1" applyFill="1" applyBorder="1" applyAlignment="1">
      <alignment vertical="top" wrapText="1"/>
    </xf>
    <xf numFmtId="0" fontId="24" fillId="0" borderId="5" xfId="180" applyFont="1" applyFill="1" applyBorder="1" applyAlignment="1">
      <alignment vertical="top" wrapText="1"/>
    </xf>
    <xf numFmtId="0" fontId="24" fillId="0" borderId="25" xfId="180" applyFont="1" applyFill="1" applyBorder="1" applyAlignment="1">
      <alignment vertical="top" wrapText="1"/>
    </xf>
    <xf numFmtId="0" fontId="63" fillId="0" borderId="0" xfId="180" applyFont="1" applyBorder="1" applyAlignment="1"/>
    <xf numFmtId="166" fontId="25" fillId="0" borderId="0" xfId="180" applyNumberFormat="1" applyFont="1" applyFill="1" applyBorder="1" applyAlignment="1">
      <alignment wrapText="1"/>
    </xf>
    <xf numFmtId="166" fontId="24" fillId="0" borderId="0" xfId="180" applyNumberFormat="1" applyFont="1" applyFill="1" applyBorder="1" applyAlignment="1"/>
    <xf numFmtId="0" fontId="24" fillId="0" borderId="42" xfId="180" applyFont="1" applyFill="1" applyBorder="1" applyAlignment="1">
      <alignment horizontal="center" vertical="top"/>
    </xf>
    <xf numFmtId="0" fontId="30" fillId="0" borderId="31" xfId="180" applyFont="1" applyFill="1" applyBorder="1"/>
    <xf numFmtId="0" fontId="30" fillId="0" borderId="30" xfId="180" applyFont="1" applyFill="1" applyBorder="1"/>
    <xf numFmtId="0" fontId="30" fillId="0" borderId="42" xfId="180" applyFont="1" applyFill="1" applyBorder="1"/>
    <xf numFmtId="0" fontId="30" fillId="0" borderId="43" xfId="180" applyFont="1" applyFill="1" applyBorder="1"/>
    <xf numFmtId="0" fontId="30" fillId="0" borderId="38" xfId="180" applyFont="1" applyFill="1" applyBorder="1"/>
    <xf numFmtId="0" fontId="24" fillId="0" borderId="23" xfId="180" applyFont="1" applyFill="1" applyBorder="1" applyAlignment="1">
      <alignment horizontal="center"/>
    </xf>
    <xf numFmtId="0" fontId="30" fillId="0" borderId="130" xfId="180" applyFont="1" applyFill="1" applyBorder="1"/>
    <xf numFmtId="0" fontId="30" fillId="0" borderId="128" xfId="180" applyFont="1" applyFill="1" applyBorder="1"/>
    <xf numFmtId="0" fontId="30" fillId="0" borderId="129" xfId="180" applyFont="1" applyFill="1" applyBorder="1"/>
    <xf numFmtId="0" fontId="24" fillId="0" borderId="23" xfId="180" applyFont="1" applyFill="1" applyBorder="1" applyAlignment="1">
      <alignment textRotation="90" wrapText="1"/>
    </xf>
    <xf numFmtId="0" fontId="30" fillId="0" borderId="32" xfId="180" applyFont="1" applyFill="1" applyBorder="1"/>
    <xf numFmtId="0" fontId="30" fillId="0" borderId="37" xfId="180" applyFont="1" applyFill="1" applyBorder="1"/>
    <xf numFmtId="0" fontId="30" fillId="0" borderId="41" xfId="180" applyFont="1" applyFill="1" applyBorder="1"/>
    <xf numFmtId="0" fontId="24" fillId="0" borderId="31" xfId="180" applyFont="1" applyFill="1" applyBorder="1" applyAlignment="1">
      <alignment horizontal="center" vertical="top"/>
    </xf>
    <xf numFmtId="0" fontId="24" fillId="0" borderId="38" xfId="180" applyFont="1" applyFill="1" applyBorder="1" applyAlignment="1">
      <alignment vertical="top"/>
    </xf>
    <xf numFmtId="0" fontId="24" fillId="0" borderId="39" xfId="180" applyFont="1" applyFill="1" applyBorder="1" applyAlignment="1">
      <alignment vertical="top"/>
    </xf>
    <xf numFmtId="0" fontId="24" fillId="0" borderId="40" xfId="180" applyFont="1" applyFill="1" applyBorder="1" applyAlignment="1">
      <alignment vertical="top"/>
    </xf>
    <xf numFmtId="0" fontId="24" fillId="0" borderId="10" xfId="180" applyFont="1" applyFill="1" applyBorder="1" applyAlignment="1">
      <alignment vertical="top"/>
    </xf>
    <xf numFmtId="0" fontId="24" fillId="0" borderId="9" xfId="180" applyFont="1" applyFill="1" applyBorder="1" applyAlignment="1">
      <alignment vertical="top"/>
    </xf>
    <xf numFmtId="0" fontId="24" fillId="0" borderId="8" xfId="180" applyFont="1" applyFill="1" applyBorder="1" applyAlignment="1">
      <alignment vertical="top"/>
    </xf>
    <xf numFmtId="0" fontId="24" fillId="0" borderId="36" xfId="180" applyFont="1" applyFill="1" applyBorder="1" applyAlignment="1">
      <alignment vertical="top"/>
    </xf>
    <xf numFmtId="0" fontId="24" fillId="0" borderId="30" xfId="180" applyFont="1" applyFill="1" applyBorder="1" applyAlignment="1">
      <alignment vertical="top"/>
    </xf>
    <xf numFmtId="0" fontId="24" fillId="0" borderId="35" xfId="180" applyFont="1" applyFill="1" applyBorder="1" applyAlignment="1">
      <alignment vertical="top"/>
    </xf>
    <xf numFmtId="0" fontId="63" fillId="0" borderId="0" xfId="180" applyFont="1" applyFill="1" applyBorder="1" applyAlignment="1">
      <alignment vertical="center"/>
    </xf>
    <xf numFmtId="166" fontId="24" fillId="0" borderId="2" xfId="15" applyNumberFormat="1" applyFont="1" applyFill="1" applyBorder="1" applyAlignment="1">
      <alignment vertical="center" wrapText="1"/>
    </xf>
    <xf numFmtId="165" fontId="24" fillId="0" borderId="35" xfId="180" applyNumberFormat="1" applyFont="1" applyFill="1" applyBorder="1" applyAlignment="1">
      <alignment vertical="center"/>
    </xf>
    <xf numFmtId="165" fontId="24" fillId="22" borderId="9" xfId="180" applyNumberFormat="1" applyFont="1" applyFill="1" applyBorder="1" applyAlignment="1">
      <alignment vertical="center"/>
    </xf>
    <xf numFmtId="165" fontId="24" fillId="0" borderId="9" xfId="180" applyNumberFormat="1" applyFont="1" applyFill="1" applyBorder="1" applyAlignment="1">
      <alignment vertical="center"/>
    </xf>
    <xf numFmtId="165" fontId="24" fillId="22" borderId="39" xfId="180" applyNumberFormat="1" applyFont="1" applyFill="1" applyBorder="1" applyAlignment="1">
      <alignment vertical="center"/>
    </xf>
    <xf numFmtId="165" fontId="24" fillId="22" borderId="182" xfId="180" applyNumberFormat="1" applyFont="1" applyFill="1" applyBorder="1" applyAlignment="1"/>
    <xf numFmtId="165" fontId="24" fillId="22" borderId="183" xfId="180" applyNumberFormat="1" applyFont="1" applyFill="1" applyBorder="1" applyAlignment="1"/>
    <xf numFmtId="165" fontId="24" fillId="0" borderId="182" xfId="180" applyNumberFormat="1" applyFont="1" applyFill="1" applyBorder="1" applyAlignment="1"/>
    <xf numFmtId="165" fontId="24" fillId="0" borderId="183" xfId="180" applyNumberFormat="1" applyFont="1" applyFill="1" applyBorder="1" applyAlignment="1"/>
    <xf numFmtId="165" fontId="24" fillId="22" borderId="202" xfId="180" applyNumberFormat="1" applyFont="1" applyFill="1" applyBorder="1" applyAlignment="1"/>
    <xf numFmtId="165" fontId="24" fillId="22" borderId="203" xfId="180" applyNumberFormat="1" applyFont="1" applyFill="1" applyBorder="1" applyAlignment="1"/>
    <xf numFmtId="0" fontId="30" fillId="0" borderId="23" xfId="15" applyFont="1" applyFill="1" applyBorder="1"/>
    <xf numFmtId="0" fontId="63" fillId="0" borderId="0" xfId="180" applyFont="1" applyAlignment="1">
      <alignment horizontal="center" vertical="center"/>
    </xf>
    <xf numFmtId="165" fontId="24" fillId="0" borderId="35" xfId="180" applyNumberFormat="1" applyFont="1" applyFill="1" applyBorder="1" applyAlignment="1">
      <alignment horizontal="center" vertical="center"/>
    </xf>
    <xf numFmtId="165" fontId="24" fillId="22" borderId="9" xfId="180" applyNumberFormat="1" applyFont="1" applyFill="1" applyBorder="1" applyAlignment="1">
      <alignment horizontal="center" vertical="center"/>
    </xf>
    <xf numFmtId="165" fontId="24" fillId="0" borderId="9" xfId="180" applyNumberFormat="1" applyFont="1" applyFill="1" applyBorder="1" applyAlignment="1">
      <alignment horizontal="center" vertical="center"/>
    </xf>
    <xf numFmtId="165" fontId="24" fillId="22" borderId="39" xfId="180" applyNumberFormat="1" applyFont="1" applyFill="1" applyBorder="1" applyAlignment="1">
      <alignment horizontal="center" vertical="center"/>
    </xf>
    <xf numFmtId="0" fontId="25" fillId="0" borderId="0" xfId="15" applyFont="1" applyFill="1" applyAlignment="1">
      <alignment horizontal="right"/>
    </xf>
    <xf numFmtId="165" fontId="24" fillId="0" borderId="110" xfId="15" applyNumberFormat="1" applyFont="1" applyFill="1" applyBorder="1" applyAlignment="1">
      <alignment horizontal="center" vertical="top"/>
    </xf>
    <xf numFmtId="0" fontId="24" fillId="0" borderId="23" xfId="15" applyFont="1" applyFill="1" applyBorder="1"/>
    <xf numFmtId="0" fontId="41" fillId="0" borderId="2" xfId="180" applyFont="1" applyFill="1" applyBorder="1" applyAlignment="1">
      <alignment horizontal="left" vertical="center" wrapText="1"/>
    </xf>
    <xf numFmtId="0" fontId="67" fillId="13" borderId="11" xfId="3" applyFont="1" applyFill="1" applyBorder="1" applyAlignment="1">
      <alignment horizontal="center" vertical="center"/>
    </xf>
    <xf numFmtId="0" fontId="21" fillId="0" borderId="0" xfId="3" applyFont="1" applyFill="1" applyBorder="1" applyAlignment="1">
      <alignment horizontal="center"/>
    </xf>
    <xf numFmtId="0" fontId="24" fillId="0" borderId="9" xfId="180" applyFont="1" applyFill="1" applyBorder="1" applyAlignment="1">
      <alignment horizontal="center" wrapText="1"/>
    </xf>
    <xf numFmtId="0" fontId="24" fillId="0" borderId="39" xfId="180" applyFont="1" applyFill="1" applyBorder="1" applyAlignment="1">
      <alignment horizontal="center" wrapText="1"/>
    </xf>
    <xf numFmtId="0" fontId="24" fillId="0" borderId="36" xfId="180" applyFont="1" applyFill="1" applyBorder="1" applyAlignment="1">
      <alignment horizontal="center"/>
    </xf>
    <xf numFmtId="0" fontId="24" fillId="0" borderId="10" xfId="180" applyFont="1" applyFill="1" applyBorder="1" applyAlignment="1">
      <alignment horizontal="center"/>
    </xf>
    <xf numFmtId="0" fontId="24" fillId="0" borderId="5" xfId="180" applyFont="1" applyFill="1" applyBorder="1" applyAlignment="1">
      <alignment horizontal="center"/>
    </xf>
    <xf numFmtId="0" fontId="24" fillId="0" borderId="7" xfId="180" applyFont="1" applyFill="1" applyBorder="1" applyAlignment="1">
      <alignment horizontal="center"/>
    </xf>
    <xf numFmtId="0" fontId="24" fillId="0" borderId="6" xfId="180" applyFont="1" applyFill="1" applyBorder="1" applyAlignment="1">
      <alignment horizontal="center"/>
    </xf>
    <xf numFmtId="0" fontId="24" fillId="0" borderId="40" xfId="180" applyFont="1" applyFill="1" applyBorder="1" applyAlignment="1">
      <alignment horizontal="center" vertical="center"/>
    </xf>
    <xf numFmtId="0" fontId="24" fillId="6" borderId="0" xfId="181" applyFont="1" applyFill="1" applyBorder="1" applyAlignment="1">
      <alignment wrapText="1"/>
    </xf>
    <xf numFmtId="0" fontId="24" fillId="6" borderId="23" xfId="181" applyFont="1" applyFill="1" applyBorder="1" applyAlignment="1">
      <alignment wrapText="1"/>
    </xf>
    <xf numFmtId="0" fontId="30" fillId="6" borderId="6" xfId="181" applyFont="1" applyFill="1" applyBorder="1" applyAlignment="1"/>
    <xf numFmtId="0" fontId="30" fillId="6" borderId="25" xfId="181" applyFont="1" applyFill="1" applyBorder="1" applyAlignment="1"/>
    <xf numFmtId="0" fontId="63" fillId="6" borderId="15" xfId="181" applyFont="1" applyFill="1" applyBorder="1" applyAlignment="1">
      <alignment horizontal="center" vertical="center"/>
    </xf>
    <xf numFmtId="0" fontId="102" fillId="6" borderId="0" xfId="15" applyFont="1" applyFill="1" applyAlignment="1">
      <alignment vertical="center"/>
    </xf>
    <xf numFmtId="0" fontId="23" fillId="0" borderId="0" xfId="180" applyFont="1"/>
    <xf numFmtId="0" fontId="21" fillId="0" borderId="0" xfId="180" applyFont="1" applyFill="1" applyBorder="1" applyAlignment="1">
      <alignment horizontal="left"/>
    </xf>
    <xf numFmtId="0" fontId="23" fillId="0" borderId="0" xfId="180" applyFont="1" applyAlignment="1"/>
    <xf numFmtId="0" fontId="21" fillId="0" borderId="0" xfId="180" applyFont="1" applyFill="1" applyBorder="1" applyAlignment="1">
      <alignment horizontal="center"/>
    </xf>
    <xf numFmtId="0" fontId="23" fillId="0" borderId="0" xfId="180" applyFont="1" applyAlignment="1">
      <alignment horizontal="center"/>
    </xf>
    <xf numFmtId="0" fontId="24" fillId="0" borderId="0" xfId="180" applyFont="1"/>
    <xf numFmtId="0" fontId="24" fillId="0" borderId="2" xfId="180" applyFont="1" applyFill="1" applyBorder="1"/>
    <xf numFmtId="0" fontId="24" fillId="0" borderId="0" xfId="180" applyFont="1" applyAlignment="1">
      <alignment vertical="center"/>
    </xf>
    <xf numFmtId="0" fontId="24" fillId="0" borderId="0" xfId="180" applyFont="1" applyFill="1" applyBorder="1" applyAlignment="1">
      <alignment vertical="top"/>
    </xf>
    <xf numFmtId="0" fontId="24" fillId="0" borderId="12" xfId="180" applyFont="1" applyFill="1" applyBorder="1" applyAlignment="1">
      <alignment horizontal="center" vertical="center" wrapText="1"/>
    </xf>
    <xf numFmtId="0" fontId="24" fillId="0" borderId="0" xfId="180" applyFont="1" applyBorder="1" applyAlignment="1">
      <alignment vertical="center"/>
    </xf>
    <xf numFmtId="0" fontId="24" fillId="0" borderId="30" xfId="180" applyFont="1" applyFill="1" applyBorder="1" applyAlignment="1">
      <alignment horizontal="center" vertical="center"/>
    </xf>
    <xf numFmtId="0" fontId="24" fillId="0" borderId="44" xfId="180" applyFont="1" applyFill="1" applyBorder="1" applyAlignment="1">
      <alignment vertical="center"/>
    </xf>
    <xf numFmtId="0" fontId="24" fillId="0" borderId="44" xfId="180" applyFont="1" applyFill="1" applyBorder="1" applyAlignment="1">
      <alignment horizontal="center"/>
    </xf>
    <xf numFmtId="0" fontId="24" fillId="0" borderId="36" xfId="180" applyFont="1" applyFill="1" applyBorder="1" applyAlignment="1">
      <alignment horizontal="center" wrapText="1"/>
    </xf>
    <xf numFmtId="0" fontId="24" fillId="0" borderId="30" xfId="180" applyFont="1" applyFill="1" applyBorder="1" applyAlignment="1">
      <alignment horizontal="center" wrapText="1"/>
    </xf>
    <xf numFmtId="0" fontId="24" fillId="0" borderId="35" xfId="180" applyFont="1" applyFill="1" applyBorder="1" applyAlignment="1">
      <alignment horizontal="center" wrapText="1"/>
    </xf>
    <xf numFmtId="0" fontId="24" fillId="0" borderId="32" xfId="180" applyFont="1" applyFill="1" applyBorder="1" applyAlignment="1">
      <alignment horizontal="center" wrapText="1"/>
    </xf>
    <xf numFmtId="0" fontId="67" fillId="0" borderId="0" xfId="180" applyFont="1" applyFill="1" applyBorder="1" applyAlignment="1">
      <alignment vertical="center"/>
    </xf>
    <xf numFmtId="0" fontId="24" fillId="0" borderId="8" xfId="180" applyFont="1" applyFill="1" applyBorder="1" applyAlignment="1">
      <alignment vertical="center"/>
    </xf>
    <xf numFmtId="0" fontId="24" fillId="0" borderId="14" xfId="180" applyFont="1" applyFill="1" applyBorder="1" applyAlignment="1">
      <alignment vertical="center"/>
    </xf>
    <xf numFmtId="0" fontId="24" fillId="0" borderId="14" xfId="180" applyFont="1" applyFill="1" applyBorder="1" applyAlignment="1">
      <alignment horizontal="center"/>
    </xf>
    <xf numFmtId="0" fontId="24" fillId="0" borderId="10" xfId="180" applyFont="1" applyFill="1" applyBorder="1" applyAlignment="1">
      <alignment horizontal="center" wrapText="1"/>
    </xf>
    <xf numFmtId="0" fontId="24" fillId="0" borderId="8" xfId="180" applyFont="1" applyFill="1" applyBorder="1" applyAlignment="1">
      <alignment horizontal="center" wrapText="1"/>
    </xf>
    <xf numFmtId="0" fontId="24" fillId="0" borderId="37" xfId="180" applyFont="1" applyFill="1" applyBorder="1" applyAlignment="1">
      <alignment horizontal="center" wrapText="1"/>
    </xf>
    <xf numFmtId="0" fontId="24" fillId="0" borderId="111" xfId="180" applyFont="1" applyFill="1" applyBorder="1" applyAlignment="1">
      <alignment horizontal="center" wrapText="1"/>
    </xf>
    <xf numFmtId="0" fontId="24" fillId="0" borderId="49" xfId="180" applyFont="1" applyFill="1" applyBorder="1" applyAlignment="1">
      <alignment horizontal="center"/>
    </xf>
    <xf numFmtId="0" fontId="24" fillId="0" borderId="40" xfId="180" applyFont="1" applyFill="1" applyBorder="1" applyAlignment="1">
      <alignment horizontal="center" wrapText="1"/>
    </xf>
    <xf numFmtId="0" fontId="24" fillId="0" borderId="38" xfId="180" applyFont="1" applyFill="1" applyBorder="1" applyAlignment="1">
      <alignment horizontal="center" wrapText="1"/>
    </xf>
    <xf numFmtId="0" fontId="24" fillId="0" borderId="41" xfId="180" applyFont="1" applyFill="1" applyBorder="1" applyAlignment="1">
      <alignment horizontal="center" wrapText="1"/>
    </xf>
    <xf numFmtId="0" fontId="17" fillId="0" borderId="0" xfId="180" applyAlignment="1">
      <alignment horizontal="center" vertical="center"/>
    </xf>
    <xf numFmtId="0" fontId="17" fillId="0" borderId="0" xfId="180" applyFont="1" applyFill="1" applyBorder="1" applyAlignment="1">
      <alignment horizontal="left"/>
    </xf>
    <xf numFmtId="0" fontId="72" fillId="0" borderId="0" xfId="180" applyFont="1" applyAlignment="1">
      <alignment horizontal="center" readingOrder="2"/>
    </xf>
    <xf numFmtId="166" fontId="36" fillId="3" borderId="6" xfId="180" applyNumberFormat="1" applyFont="1" applyFill="1" applyBorder="1" applyAlignment="1"/>
    <xf numFmtId="166" fontId="36" fillId="3" borderId="5" xfId="180" applyNumberFormat="1" applyFont="1" applyFill="1" applyBorder="1" applyAlignment="1"/>
    <xf numFmtId="0" fontId="67" fillId="13" borderId="111" xfId="3" applyFont="1" applyFill="1" applyBorder="1" applyAlignment="1">
      <alignment horizontal="center" vertical="center"/>
    </xf>
    <xf numFmtId="0" fontId="67" fillId="13" borderId="0" xfId="180" applyFont="1" applyFill="1" applyAlignment="1">
      <alignment wrapText="1"/>
    </xf>
    <xf numFmtId="0" fontId="24" fillId="0" borderId="135" xfId="180" applyFont="1" applyFill="1" applyBorder="1" applyAlignment="1">
      <alignment vertical="top"/>
    </xf>
    <xf numFmtId="0" fontId="24" fillId="0" borderId="213" xfId="3" applyFont="1" applyFill="1" applyBorder="1"/>
    <xf numFmtId="0" fontId="24" fillId="0" borderId="215" xfId="3" applyFont="1" applyFill="1" applyBorder="1"/>
    <xf numFmtId="0" fontId="60" fillId="0" borderId="0" xfId="180" applyFont="1"/>
    <xf numFmtId="0" fontId="24" fillId="0" borderId="109" xfId="180" applyFont="1" applyFill="1" applyBorder="1" applyAlignment="1">
      <alignment vertical="center"/>
    </xf>
    <xf numFmtId="0" fontId="17" fillId="0" borderId="0" xfId="180" applyAlignment="1">
      <alignment wrapText="1"/>
    </xf>
    <xf numFmtId="0" fontId="24" fillId="0" borderId="5" xfId="180" applyFont="1" applyBorder="1"/>
    <xf numFmtId="0" fontId="24" fillId="0" borderId="7" xfId="180" applyFont="1" applyBorder="1"/>
    <xf numFmtId="0" fontId="43" fillId="0" borderId="5" xfId="180" applyFont="1" applyFill="1" applyBorder="1" applyAlignment="1">
      <alignment horizontal="center" vertical="top"/>
    </xf>
    <xf numFmtId="0" fontId="24" fillId="0" borderId="6" xfId="180" applyFont="1" applyFill="1" applyBorder="1" applyAlignment="1">
      <alignment horizontal="center" vertical="top"/>
    </xf>
    <xf numFmtId="0" fontId="24" fillId="0" borderId="7" xfId="180" applyFont="1" applyFill="1" applyBorder="1" applyAlignment="1">
      <alignment horizontal="center" vertical="center"/>
    </xf>
    <xf numFmtId="0" fontId="24" fillId="0" borderId="13" xfId="180" applyFont="1" applyBorder="1"/>
    <xf numFmtId="0" fontId="61" fillId="0" borderId="0" xfId="180" applyFont="1" applyAlignment="1">
      <alignment wrapText="1"/>
    </xf>
    <xf numFmtId="0" fontId="24" fillId="0" borderId="14" xfId="180" applyFont="1" applyBorder="1"/>
    <xf numFmtId="0" fontId="24" fillId="0" borderId="9" xfId="180" applyFont="1" applyBorder="1" applyAlignment="1">
      <alignment horizontal="center" vertical="center"/>
    </xf>
    <xf numFmtId="0" fontId="24" fillId="0" borderId="0" xfId="180" applyFont="1" applyAlignment="1">
      <alignment horizontal="center" vertical="center"/>
    </xf>
    <xf numFmtId="0" fontId="21" fillId="0" borderId="0" xfId="180" applyFont="1" applyFill="1" applyBorder="1" applyAlignment="1">
      <alignment horizontal="left" vertical="top"/>
    </xf>
    <xf numFmtId="0" fontId="17" fillId="0" borderId="0" xfId="180" applyFont="1" applyAlignment="1">
      <alignment vertical="top"/>
    </xf>
    <xf numFmtId="0" fontId="17" fillId="0" borderId="0" xfId="180" applyFont="1" applyAlignment="1">
      <alignment horizontal="center" vertical="top"/>
    </xf>
    <xf numFmtId="0" fontId="23" fillId="0" borderId="0" xfId="180" applyFont="1" applyAlignment="1">
      <alignment vertical="top"/>
    </xf>
    <xf numFmtId="0" fontId="21" fillId="0" borderId="0" xfId="180" applyFont="1" applyFill="1" applyBorder="1" applyAlignment="1">
      <alignment horizontal="center" vertical="top"/>
    </xf>
    <xf numFmtId="9" fontId="21" fillId="0" borderId="0" xfId="162" applyFont="1" applyFill="1" applyBorder="1" applyAlignment="1">
      <alignment horizontal="left" vertical="top"/>
    </xf>
    <xf numFmtId="9" fontId="21" fillId="0" borderId="0" xfId="162" applyFont="1" applyFill="1" applyBorder="1" applyAlignment="1">
      <alignment horizontal="center" vertical="top"/>
    </xf>
    <xf numFmtId="0" fontId="20" fillId="0" borderId="0" xfId="180" applyFont="1" applyFill="1" applyBorder="1" applyAlignment="1">
      <alignment horizontal="center" vertical="top"/>
    </xf>
    <xf numFmtId="0" fontId="17" fillId="0" borderId="0" xfId="180" applyFont="1" applyFill="1" applyBorder="1" applyAlignment="1">
      <alignment horizontal="left" vertical="top"/>
    </xf>
    <xf numFmtId="0" fontId="23" fillId="0" borderId="0" xfId="180" applyFont="1" applyAlignment="1">
      <alignment horizontal="center" vertical="top"/>
    </xf>
    <xf numFmtId="0" fontId="17" fillId="0" borderId="0" xfId="180" applyFont="1" applyFill="1" applyBorder="1" applyAlignment="1">
      <alignment horizontal="center" vertical="top"/>
    </xf>
    <xf numFmtId="0" fontId="35" fillId="0" borderId="0" xfId="180" applyFont="1" applyFill="1" applyBorder="1" applyAlignment="1">
      <alignment horizontal="center" vertical="center"/>
    </xf>
    <xf numFmtId="0" fontId="35" fillId="0" borderId="0" xfId="180" applyFont="1" applyFill="1" applyBorder="1" applyAlignment="1">
      <alignment horizontal="center" vertical="top"/>
    </xf>
    <xf numFmtId="0" fontId="25" fillId="0" borderId="0" xfId="180" applyFont="1" applyFill="1" applyBorder="1" applyAlignment="1">
      <alignment horizontal="left" vertical="top"/>
    </xf>
    <xf numFmtId="0" fontId="25" fillId="0" borderId="0" xfId="180" applyFont="1" applyFill="1" applyBorder="1" applyAlignment="1">
      <alignment horizontal="center" vertical="top"/>
    </xf>
    <xf numFmtId="0" fontId="24" fillId="0" borderId="0" xfId="180" applyFont="1" applyAlignment="1">
      <alignment horizontal="center" vertical="top"/>
    </xf>
    <xf numFmtId="0" fontId="24" fillId="0" borderId="70" xfId="180" applyFont="1" applyFill="1" applyBorder="1" applyAlignment="1">
      <alignment vertical="top"/>
    </xf>
    <xf numFmtId="166" fontId="36" fillId="3" borderId="20" xfId="180" applyNumberFormat="1" applyFont="1" applyFill="1" applyBorder="1" applyAlignment="1"/>
    <xf numFmtId="0" fontId="36" fillId="3" borderId="51" xfId="180" applyFont="1" applyFill="1" applyBorder="1" applyAlignment="1"/>
    <xf numFmtId="0" fontId="36" fillId="3" borderId="20" xfId="180" applyFont="1" applyFill="1" applyBorder="1" applyAlignment="1"/>
    <xf numFmtId="0" fontId="36" fillId="3" borderId="20" xfId="180" applyFont="1" applyFill="1" applyBorder="1" applyAlignment="1">
      <alignment horizontal="center"/>
    </xf>
    <xf numFmtId="0" fontId="24" fillId="0" borderId="0" xfId="180" applyFont="1" applyBorder="1" applyAlignment="1">
      <alignment horizontal="center"/>
    </xf>
    <xf numFmtId="0" fontId="67" fillId="0" borderId="64" xfId="180" applyFont="1" applyFill="1" applyBorder="1" applyAlignment="1">
      <alignment horizontal="left" textRotation="90"/>
    </xf>
    <xf numFmtId="0" fontId="67" fillId="13" borderId="2" xfId="180" applyFont="1" applyFill="1" applyBorder="1" applyAlignment="1">
      <alignment vertical="center"/>
    </xf>
    <xf numFmtId="0" fontId="67" fillId="13" borderId="0" xfId="180" applyFont="1" applyFill="1" applyBorder="1" applyAlignment="1">
      <alignment vertical="center"/>
    </xf>
    <xf numFmtId="0" fontId="24" fillId="0" borderId="139" xfId="2" applyFont="1" applyFill="1" applyBorder="1" applyAlignment="1">
      <alignment horizontal="center" vertical="top"/>
    </xf>
    <xf numFmtId="9" fontId="41" fillId="0" borderId="1" xfId="162" applyFont="1" applyFill="1" applyBorder="1" applyAlignment="1">
      <alignment horizontal="left" vertical="center" wrapText="1"/>
    </xf>
    <xf numFmtId="0" fontId="24" fillId="0" borderId="233" xfId="2" applyFont="1" applyFill="1" applyBorder="1" applyAlignment="1">
      <alignment horizontal="center" vertical="top"/>
    </xf>
    <xf numFmtId="0" fontId="41" fillId="0" borderId="2" xfId="180" applyFont="1" applyFill="1" applyBorder="1" applyAlignment="1">
      <alignment vertical="top" wrapText="1"/>
    </xf>
    <xf numFmtId="0" fontId="41" fillId="0" borderId="1" xfId="180" applyFont="1" applyFill="1" applyBorder="1" applyAlignment="1">
      <alignment vertical="top" wrapText="1"/>
    </xf>
    <xf numFmtId="0" fontId="41" fillId="0" borderId="135" xfId="180" applyFont="1" applyFill="1" applyBorder="1" applyAlignment="1">
      <alignment vertical="top" wrapText="1"/>
    </xf>
    <xf numFmtId="0" fontId="41" fillId="0" borderId="135" xfId="180" applyFont="1" applyFill="1" applyBorder="1"/>
    <xf numFmtId="0" fontId="41" fillId="0" borderId="135" xfId="180" applyFont="1" applyFill="1" applyBorder="1" applyAlignment="1">
      <alignment horizontal="left" vertical="center" wrapText="1"/>
    </xf>
    <xf numFmtId="0" fontId="41" fillId="0" borderId="135" xfId="180" applyFont="1" applyFill="1" applyBorder="1" applyAlignment="1">
      <alignment horizontal="left" vertical="top" wrapText="1"/>
    </xf>
    <xf numFmtId="9" fontId="41" fillId="0" borderId="135" xfId="162" applyFont="1" applyFill="1" applyBorder="1" applyAlignment="1">
      <alignment vertical="top" wrapText="1"/>
    </xf>
    <xf numFmtId="0" fontId="41" fillId="0" borderId="1" xfId="180" applyFont="1" applyFill="1" applyBorder="1" applyAlignment="1">
      <alignment horizontal="left" vertical="top" wrapText="1"/>
    </xf>
    <xf numFmtId="9" fontId="41" fillId="0" borderId="0" xfId="162" applyFont="1" applyFill="1" applyBorder="1" applyAlignment="1">
      <alignment vertical="center" wrapText="1"/>
    </xf>
    <xf numFmtId="0" fontId="41" fillId="0" borderId="0" xfId="180" applyFont="1" applyFill="1" applyBorder="1" applyAlignment="1">
      <alignment horizontal="center" vertical="center" wrapText="1"/>
    </xf>
    <xf numFmtId="0" fontId="40" fillId="0" borderId="2" xfId="180" applyFont="1" applyFill="1" applyBorder="1" applyAlignment="1">
      <alignment vertical="top" wrapText="1"/>
    </xf>
    <xf numFmtId="0" fontId="41" fillId="0" borderId="2" xfId="180" applyFont="1" applyFill="1" applyBorder="1" applyAlignment="1">
      <alignment horizontal="center" vertical="top" wrapText="1"/>
    </xf>
    <xf numFmtId="9" fontId="41" fillId="0" borderId="1" xfId="162" applyFont="1" applyFill="1" applyBorder="1" applyAlignment="1">
      <alignment vertical="top" wrapText="1"/>
    </xf>
    <xf numFmtId="9" fontId="41" fillId="0" borderId="2" xfId="162" applyFont="1" applyFill="1" applyBorder="1" applyAlignment="1">
      <alignment horizontal="center" vertical="top" wrapText="1"/>
    </xf>
    <xf numFmtId="9" fontId="41" fillId="0" borderId="0" xfId="162" applyFont="1" applyFill="1" applyBorder="1" applyAlignment="1">
      <alignment vertical="top" wrapText="1"/>
    </xf>
    <xf numFmtId="9" fontId="41" fillId="0" borderId="2" xfId="162" applyFont="1" applyFill="1" applyBorder="1" applyAlignment="1">
      <alignment vertical="center" wrapText="1"/>
    </xf>
    <xf numFmtId="0" fontId="41" fillId="0" borderId="0" xfId="180" applyFont="1" applyFill="1" applyBorder="1" applyAlignment="1">
      <alignment vertical="top" wrapText="1"/>
    </xf>
    <xf numFmtId="9" fontId="41" fillId="0" borderId="0" xfId="162" applyFont="1" applyFill="1" applyBorder="1" applyAlignment="1">
      <alignment horizontal="center" vertical="top" wrapText="1"/>
    </xf>
    <xf numFmtId="0" fontId="24" fillId="0" borderId="139" xfId="2" applyFont="1" applyFill="1" applyBorder="1" applyAlignment="1">
      <alignment vertical="top"/>
    </xf>
    <xf numFmtId="0" fontId="23" fillId="9" borderId="21" xfId="180" applyFont="1" applyFill="1" applyBorder="1" applyAlignment="1">
      <alignment horizontal="left" textRotation="90"/>
    </xf>
    <xf numFmtId="0" fontId="48" fillId="0" borderId="1" xfId="180" applyFont="1" applyFill="1" applyBorder="1"/>
    <xf numFmtId="0" fontId="48" fillId="0" borderId="2" xfId="180" applyFont="1" applyFill="1" applyBorder="1" applyAlignment="1">
      <alignment horizontal="center"/>
    </xf>
    <xf numFmtId="0" fontId="48" fillId="0" borderId="0" xfId="180" applyFont="1" applyFill="1" applyBorder="1"/>
    <xf numFmtId="9" fontId="48" fillId="0" borderId="0" xfId="162" applyFont="1" applyFill="1" applyBorder="1"/>
    <xf numFmtId="9" fontId="48" fillId="0" borderId="0" xfId="162" applyFont="1" applyFill="1" applyBorder="1" applyAlignment="1">
      <alignment horizontal="center"/>
    </xf>
    <xf numFmtId="9" fontId="48" fillId="0" borderId="1" xfId="162" applyFont="1" applyFill="1" applyBorder="1"/>
    <xf numFmtId="9" fontId="48" fillId="0" borderId="2" xfId="162" applyFont="1" applyFill="1" applyBorder="1" applyAlignment="1">
      <alignment horizontal="center"/>
    </xf>
    <xf numFmtId="0" fontId="46" fillId="0" borderId="1" xfId="180" applyFont="1" applyFill="1" applyBorder="1" applyAlignment="1">
      <alignment horizontal="left" vertical="top" wrapText="1"/>
    </xf>
    <xf numFmtId="0" fontId="46" fillId="0" borderId="0" xfId="180" applyFont="1" applyFill="1" applyBorder="1" applyAlignment="1">
      <alignment horizontal="right" vertical="top" wrapText="1"/>
    </xf>
    <xf numFmtId="0" fontId="24" fillId="0" borderId="2" xfId="180" applyFont="1" applyBorder="1" applyAlignment="1">
      <alignment vertical="center"/>
    </xf>
    <xf numFmtId="165" fontId="27" fillId="8" borderId="36" xfId="180" applyNumberFormat="1" applyFont="1" applyFill="1" applyBorder="1" applyAlignment="1">
      <alignment horizontal="center" vertical="center"/>
    </xf>
    <xf numFmtId="9" fontId="24" fillId="0" borderId="36" xfId="162" applyFont="1" applyFill="1" applyBorder="1" applyAlignment="1">
      <alignment horizontal="center" wrapText="1"/>
    </xf>
    <xf numFmtId="9" fontId="24" fillId="0" borderId="30" xfId="162" applyFont="1" applyFill="1" applyBorder="1" applyAlignment="1">
      <alignment horizontal="center" wrapText="1"/>
    </xf>
    <xf numFmtId="0" fontId="24" fillId="0" borderId="164" xfId="180" applyFont="1" applyFill="1" applyBorder="1" applyAlignment="1">
      <alignment horizontal="center" wrapText="1"/>
    </xf>
    <xf numFmtId="0" fontId="24" fillId="0" borderId="165" xfId="180" applyFont="1" applyFill="1" applyBorder="1" applyAlignment="1">
      <alignment horizontal="center" wrapText="1"/>
    </xf>
    <xf numFmtId="0" fontId="24" fillId="0" borderId="30" xfId="180" applyFont="1" applyFill="1" applyBorder="1" applyAlignment="1">
      <alignment wrapText="1"/>
    </xf>
    <xf numFmtId="0" fontId="24" fillId="0" borderId="6" xfId="180" applyFont="1" applyBorder="1"/>
    <xf numFmtId="165" fontId="27" fillId="8" borderId="9" xfId="180" applyNumberFormat="1" applyFont="1" applyFill="1" applyBorder="1" applyAlignment="1">
      <alignment horizontal="center" vertical="center"/>
    </xf>
    <xf numFmtId="9" fontId="24" fillId="0" borderId="10" xfId="162" applyFont="1" applyFill="1" applyBorder="1" applyAlignment="1">
      <alignment horizontal="center" wrapText="1"/>
    </xf>
    <xf numFmtId="9" fontId="24" fillId="0" borderId="8" xfId="162" applyFont="1" applyFill="1" applyBorder="1" applyAlignment="1">
      <alignment horizontal="center" wrapText="1"/>
    </xf>
    <xf numFmtId="0" fontId="24" fillId="0" borderId="33" xfId="180" applyFont="1" applyFill="1" applyBorder="1" applyAlignment="1">
      <alignment horizontal="center" wrapText="1"/>
    </xf>
    <xf numFmtId="0" fontId="24" fillId="0" borderId="107" xfId="180" applyFont="1" applyFill="1" applyBorder="1" applyAlignment="1">
      <alignment horizontal="center" wrapText="1"/>
    </xf>
    <xf numFmtId="0" fontId="24" fillId="0" borderId="10" xfId="180" applyFont="1" applyFill="1" applyBorder="1" applyAlignment="1">
      <alignment wrapText="1"/>
    </xf>
    <xf numFmtId="0" fontId="24" fillId="0" borderId="8" xfId="180" applyFont="1" applyFill="1" applyBorder="1" applyAlignment="1">
      <alignment wrapText="1"/>
    </xf>
    <xf numFmtId="0" fontId="24" fillId="0" borderId="137" xfId="180" applyFont="1" applyFill="1" applyBorder="1" applyAlignment="1">
      <alignment horizontal="center" wrapText="1"/>
    </xf>
    <xf numFmtId="165" fontId="27" fillId="8" borderId="39" xfId="180" applyNumberFormat="1" applyFont="1" applyFill="1" applyBorder="1" applyAlignment="1">
      <alignment horizontal="center" vertical="center"/>
    </xf>
    <xf numFmtId="9" fontId="24" fillId="0" borderId="40" xfId="162" applyFont="1" applyFill="1" applyBorder="1" applyAlignment="1">
      <alignment horizontal="center" wrapText="1"/>
    </xf>
    <xf numFmtId="9" fontId="24" fillId="0" borderId="38" xfId="162" applyFont="1" applyFill="1" applyBorder="1" applyAlignment="1">
      <alignment horizontal="center" wrapText="1"/>
    </xf>
    <xf numFmtId="0" fontId="24" fillId="0" borderId="159" xfId="180" applyFont="1" applyFill="1" applyBorder="1" applyAlignment="1">
      <alignment horizontal="center" wrapText="1"/>
    </xf>
    <xf numFmtId="0" fontId="24" fillId="0" borderId="160" xfId="180" applyFont="1" applyFill="1" applyBorder="1" applyAlignment="1">
      <alignment horizontal="center" wrapText="1"/>
    </xf>
    <xf numFmtId="0" fontId="24" fillId="0" borderId="40" xfId="180" applyFont="1" applyFill="1" applyBorder="1" applyAlignment="1">
      <alignment wrapText="1"/>
    </xf>
    <xf numFmtId="0" fontId="24" fillId="0" borderId="38" xfId="180" applyFont="1" applyFill="1" applyBorder="1" applyAlignment="1">
      <alignment wrapText="1"/>
    </xf>
    <xf numFmtId="0" fontId="24" fillId="0" borderId="0" xfId="180" applyFont="1" applyAlignment="1">
      <alignment horizontal="center"/>
    </xf>
    <xf numFmtId="0" fontId="24" fillId="0" borderId="161" xfId="180" applyFont="1" applyFill="1" applyBorder="1" applyAlignment="1">
      <alignment horizontal="center" wrapText="1"/>
    </xf>
    <xf numFmtId="9" fontId="0" fillId="0" borderId="0" xfId="162" applyFont="1"/>
    <xf numFmtId="9" fontId="0" fillId="0" borderId="0" xfId="162" applyFont="1" applyAlignment="1">
      <alignment horizontal="center"/>
    </xf>
    <xf numFmtId="0" fontId="41" fillId="6" borderId="14" xfId="2" applyFont="1" applyFill="1" applyBorder="1" applyAlignment="1"/>
    <xf numFmtId="0" fontId="41" fillId="6" borderId="0" xfId="2" applyFont="1" applyFill="1" applyAlignment="1"/>
    <xf numFmtId="0" fontId="31" fillId="0" borderId="0" xfId="180" applyFont="1" applyAlignment="1">
      <alignment horizontal="left" vertical="top" wrapText="1" indent="1"/>
    </xf>
    <xf numFmtId="0" fontId="24" fillId="6" borderId="14" xfId="2" applyFont="1" applyFill="1" applyBorder="1" applyAlignment="1"/>
    <xf numFmtId="0" fontId="24" fillId="6" borderId="24" xfId="180" applyFont="1" applyFill="1" applyBorder="1"/>
    <xf numFmtId="0" fontId="101" fillId="6" borderId="0" xfId="180" applyFont="1" applyFill="1" applyBorder="1" applyAlignment="1">
      <alignment vertical="center"/>
    </xf>
    <xf numFmtId="0" fontId="101" fillId="6" borderId="12" xfId="180" applyFont="1" applyFill="1" applyBorder="1" applyAlignment="1">
      <alignment vertical="center"/>
    </xf>
    <xf numFmtId="0" fontId="101" fillId="6" borderId="13" xfId="180" applyFont="1" applyFill="1" applyBorder="1" applyAlignment="1">
      <alignment vertical="center"/>
    </xf>
    <xf numFmtId="0" fontId="24" fillId="6" borderId="110" xfId="180" applyFont="1" applyFill="1" applyBorder="1"/>
    <xf numFmtId="0" fontId="24" fillId="6" borderId="19" xfId="180" applyFont="1" applyFill="1" applyBorder="1"/>
    <xf numFmtId="0" fontId="24" fillId="6" borderId="21" xfId="180" applyFont="1" applyFill="1" applyBorder="1"/>
    <xf numFmtId="0" fontId="24" fillId="6" borderId="22" xfId="180" applyFont="1" applyFill="1" applyBorder="1"/>
    <xf numFmtId="0" fontId="21" fillId="6" borderId="0" xfId="3" applyFont="1" applyFill="1" applyBorder="1" applyAlignment="1">
      <alignment horizontal="left"/>
    </xf>
    <xf numFmtId="0" fontId="105" fillId="6" borderId="21" xfId="180" applyFont="1" applyFill="1" applyBorder="1" applyAlignment="1"/>
    <xf numFmtId="0" fontId="30" fillId="6" borderId="0" xfId="180" applyFont="1" applyFill="1" applyBorder="1" applyAlignment="1">
      <alignment vertical="top" wrapText="1"/>
    </xf>
    <xf numFmtId="0" fontId="39" fillId="6" borderId="21" xfId="180" applyFont="1" applyFill="1" applyBorder="1" applyAlignment="1">
      <alignment vertical="center" wrapText="1"/>
    </xf>
    <xf numFmtId="0" fontId="39" fillId="6" borderId="0" xfId="180" applyFont="1" applyFill="1" applyBorder="1" applyAlignment="1">
      <alignment vertical="center"/>
    </xf>
    <xf numFmtId="49" fontId="24" fillId="6" borderId="0" xfId="2" applyNumberFormat="1" applyFont="1" applyFill="1" applyBorder="1" applyAlignment="1">
      <alignment textRotation="90"/>
    </xf>
    <xf numFmtId="0" fontId="39" fillId="6" borderId="26" xfId="180" applyFont="1" applyFill="1" applyBorder="1" applyAlignment="1">
      <alignment vertical="top" wrapText="1"/>
    </xf>
    <xf numFmtId="0" fontId="39" fillId="6" borderId="6" xfId="180" applyFont="1" applyFill="1" applyBorder="1" applyAlignment="1">
      <alignment vertical="top"/>
    </xf>
    <xf numFmtId="0" fontId="39" fillId="6" borderId="6" xfId="180" applyFont="1" applyFill="1" applyBorder="1" applyAlignment="1">
      <alignment vertical="top" wrapText="1"/>
    </xf>
    <xf numFmtId="49" fontId="24" fillId="6" borderId="97" xfId="2" applyNumberFormat="1" applyFont="1" applyFill="1" applyBorder="1" applyAlignment="1">
      <alignment textRotation="90"/>
    </xf>
    <xf numFmtId="0" fontId="24" fillId="0" borderId="1" xfId="2" applyFont="1" applyFill="1" applyBorder="1" applyAlignment="1">
      <alignment horizontal="center" vertical="center" wrapText="1"/>
    </xf>
    <xf numFmtId="0" fontId="24" fillId="0" borderId="0" xfId="2" applyFont="1" applyFill="1" applyBorder="1" applyAlignment="1">
      <alignment horizontal="center" vertical="center" wrapText="1"/>
    </xf>
    <xf numFmtId="0" fontId="17" fillId="0" borderId="1" xfId="180" applyBorder="1" applyAlignment="1"/>
    <xf numFmtId="0" fontId="17" fillId="0" borderId="0" xfId="180" applyBorder="1" applyAlignment="1"/>
    <xf numFmtId="0" fontId="24" fillId="0" borderId="2" xfId="2" applyFont="1" applyFill="1" applyBorder="1" applyAlignment="1">
      <alignment horizontal="center" vertical="center" wrapText="1"/>
    </xf>
    <xf numFmtId="0" fontId="24" fillId="0" borderId="239" xfId="78" applyFont="1" applyFill="1" applyBorder="1" applyAlignment="1">
      <alignment horizontal="left" vertical="center" shrinkToFit="1"/>
    </xf>
    <xf numFmtId="0" fontId="24" fillId="0" borderId="178" xfId="78" applyFont="1" applyFill="1" applyBorder="1" applyAlignment="1">
      <alignment horizontal="left" vertical="center" shrinkToFit="1"/>
    </xf>
    <xf numFmtId="0" fontId="24" fillId="6" borderId="14" xfId="78" applyFont="1" applyFill="1" applyBorder="1" applyAlignment="1">
      <alignment horizontal="left" vertical="center" wrapText="1"/>
    </xf>
    <xf numFmtId="0" fontId="24" fillId="6" borderId="14" xfId="78" applyFont="1" applyFill="1" applyBorder="1" applyAlignment="1">
      <alignment horizontal="left" vertical="center" wrapText="1" shrinkToFit="1"/>
    </xf>
    <xf numFmtId="0" fontId="24" fillId="6" borderId="14" xfId="78" applyFont="1" applyFill="1" applyBorder="1" applyAlignment="1">
      <alignment horizontal="left" vertical="center"/>
    </xf>
    <xf numFmtId="0" fontId="51" fillId="6" borderId="14" xfId="173" applyFont="1" applyFill="1" applyBorder="1"/>
    <xf numFmtId="0" fontId="24" fillId="6" borderId="14" xfId="173" applyFont="1" applyFill="1" applyBorder="1" applyAlignment="1">
      <alignment wrapText="1"/>
    </xf>
    <xf numFmtId="0" fontId="24" fillId="6" borderId="14" xfId="173" applyFont="1" applyFill="1" applyBorder="1"/>
    <xf numFmtId="0" fontId="24" fillId="6" borderId="10" xfId="78" applyFont="1" applyFill="1" applyBorder="1" applyAlignment="1">
      <alignment horizontal="left" vertical="center"/>
    </xf>
    <xf numFmtId="0" fontId="24" fillId="6" borderId="10" xfId="78" applyFont="1" applyFill="1" applyBorder="1" applyAlignment="1">
      <alignment horizontal="left" vertical="center" wrapText="1"/>
    </xf>
    <xf numFmtId="0" fontId="51" fillId="6" borderId="14" xfId="173" applyFont="1" applyFill="1" applyBorder="1" applyAlignment="1">
      <alignment wrapText="1"/>
    </xf>
    <xf numFmtId="0" fontId="51" fillId="6" borderId="0" xfId="173" applyFont="1" applyFill="1"/>
    <xf numFmtId="0" fontId="32" fillId="13" borderId="30" xfId="180" applyFont="1" applyFill="1" applyBorder="1" applyAlignment="1">
      <alignment vertical="center"/>
    </xf>
    <xf numFmtId="0" fontId="17" fillId="0" borderId="1" xfId="180" applyBorder="1" applyAlignment="1">
      <alignment horizontal="center"/>
    </xf>
    <xf numFmtId="0" fontId="17" fillId="0" borderId="5" xfId="180" applyBorder="1" applyAlignment="1"/>
    <xf numFmtId="0" fontId="17" fillId="0" borderId="6" xfId="180" applyBorder="1" applyAlignment="1"/>
    <xf numFmtId="0" fontId="17" fillId="0" borderId="10" xfId="180" applyBorder="1" applyAlignment="1">
      <alignment horizontal="center"/>
    </xf>
    <xf numFmtId="0" fontId="17" fillId="0" borderId="36" xfId="180" applyBorder="1" applyAlignment="1">
      <alignment horizontal="center"/>
    </xf>
    <xf numFmtId="0" fontId="17" fillId="0" borderId="109" xfId="180" applyBorder="1" applyAlignment="1">
      <alignment horizontal="center"/>
    </xf>
    <xf numFmtId="0" fontId="19" fillId="0" borderId="239" xfId="0" applyFont="1" applyFill="1" applyBorder="1" applyAlignment="1" applyProtection="1">
      <alignment readingOrder="1"/>
      <protection locked="0"/>
    </xf>
    <xf numFmtId="0" fontId="24" fillId="6" borderId="0" xfId="15" applyFont="1" applyFill="1" applyBorder="1" applyAlignment="1">
      <alignment horizontal="left" vertical="top" wrapText="1"/>
    </xf>
    <xf numFmtId="0" fontId="100" fillId="0" borderId="0" xfId="177" applyFont="1" applyBorder="1" applyAlignment="1">
      <alignment vertical="top" wrapText="1"/>
    </xf>
    <xf numFmtId="0" fontId="31" fillId="0" borderId="0" xfId="15" applyFont="1" applyBorder="1" applyAlignment="1">
      <alignment horizontal="left" vertical="top" wrapText="1"/>
    </xf>
    <xf numFmtId="0" fontId="21" fillId="0" borderId="0" xfId="78" applyFont="1" applyFill="1" applyBorder="1" applyAlignment="1">
      <alignment horizontal="left" vertical="center" shrinkToFit="1"/>
    </xf>
    <xf numFmtId="0" fontId="24" fillId="6" borderId="0" xfId="15" applyFont="1" applyFill="1" applyBorder="1" applyAlignment="1">
      <alignment horizontal="left" vertical="center" wrapText="1"/>
    </xf>
    <xf numFmtId="0" fontId="21" fillId="0" borderId="0" xfId="3" applyFont="1" applyFill="1" applyBorder="1" applyAlignment="1">
      <alignment horizontal="center"/>
    </xf>
    <xf numFmtId="0" fontId="24" fillId="0" borderId="25" xfId="180" applyFont="1" applyFill="1" applyBorder="1" applyAlignment="1">
      <alignment horizontal="center" wrapText="1"/>
    </xf>
    <xf numFmtId="0" fontId="24" fillId="0" borderId="242" xfId="2" applyFont="1" applyBorder="1" applyAlignment="1"/>
    <xf numFmtId="0" fontId="24" fillId="0" borderId="239" xfId="2" applyFont="1" applyBorder="1" applyAlignment="1"/>
    <xf numFmtId="0" fontId="24" fillId="0" borderId="240" xfId="2" applyFont="1" applyBorder="1" applyAlignment="1"/>
    <xf numFmtId="0" fontId="100" fillId="0" borderId="242" xfId="177" applyFont="1" applyBorder="1" applyAlignment="1">
      <alignment vertical="top" wrapText="1"/>
    </xf>
    <xf numFmtId="0" fontId="31" fillId="0" borderId="72" xfId="15" applyFont="1" applyBorder="1" applyAlignment="1">
      <alignment vertical="top" wrapText="1"/>
    </xf>
    <xf numFmtId="49" fontId="30" fillId="6" borderId="10" xfId="171" applyNumberFormat="1" applyFont="1" applyFill="1" applyBorder="1" applyAlignment="1">
      <alignment horizontal="center" vertical="center" shrinkToFit="1"/>
    </xf>
    <xf numFmtId="0" fontId="24" fillId="0" borderId="14" xfId="4" applyFont="1" applyFill="1" applyBorder="1" applyAlignment="1">
      <alignment horizontal="center"/>
    </xf>
    <xf numFmtId="0" fontId="24" fillId="0" borderId="2" xfId="4" applyFont="1" applyFill="1" applyBorder="1" applyAlignment="1">
      <alignment horizontal="center"/>
    </xf>
    <xf numFmtId="0" fontId="35" fillId="0" borderId="84" xfId="78" applyFont="1" applyFill="1" applyBorder="1" applyAlignment="1">
      <alignment vertical="center" wrapText="1"/>
    </xf>
    <xf numFmtId="0" fontId="17" fillId="0" borderId="14" xfId="78" applyFill="1" applyBorder="1"/>
    <xf numFmtId="0" fontId="24" fillId="6" borderId="14" xfId="173" applyFont="1" applyFill="1" applyBorder="1" applyAlignment="1">
      <alignment horizontal="left" wrapText="1"/>
    </xf>
    <xf numFmtId="0" fontId="17" fillId="0" borderId="12" xfId="78" applyFill="1" applyBorder="1"/>
    <xf numFmtId="0" fontId="24" fillId="0" borderId="12" xfId="78" applyFont="1" applyFill="1" applyBorder="1"/>
    <xf numFmtId="0" fontId="41" fillId="0" borderId="86" xfId="4" applyFont="1" applyFill="1" applyBorder="1" applyAlignment="1">
      <alignment horizontal="left" vertical="top" wrapText="1"/>
    </xf>
    <xf numFmtId="0" fontId="41" fillId="0" borderId="96" xfId="4" applyFont="1" applyFill="1" applyBorder="1" applyAlignment="1">
      <alignment horizontal="center" vertical="top" wrapText="1"/>
    </xf>
    <xf numFmtId="0" fontId="41" fillId="0" borderId="94" xfId="4" applyFont="1" applyFill="1" applyBorder="1" applyAlignment="1">
      <alignment horizontal="center" vertical="top" wrapText="1"/>
    </xf>
    <xf numFmtId="0" fontId="41" fillId="0" borderId="15" xfId="78" applyFont="1" applyFill="1" applyBorder="1" applyAlignment="1">
      <alignment vertical="center" wrapText="1" readingOrder="1"/>
    </xf>
    <xf numFmtId="0" fontId="41" fillId="0" borderId="38" xfId="78" applyFont="1" applyFill="1" applyBorder="1" applyAlignment="1">
      <alignment horizontal="center" vertical="center" wrapText="1" readingOrder="2"/>
    </xf>
    <xf numFmtId="0" fontId="41" fillId="0" borderId="75" xfId="78" applyFont="1" applyFill="1" applyBorder="1" applyAlignment="1">
      <alignment horizontal="center" vertical="center" wrapText="1" readingOrder="2"/>
    </xf>
    <xf numFmtId="0" fontId="41" fillId="0" borderId="43" xfId="78" applyFont="1" applyFill="1" applyBorder="1" applyAlignment="1">
      <alignment horizontal="center" vertical="center" wrapText="1" readingOrder="2"/>
    </xf>
    <xf numFmtId="0" fontId="41" fillId="0" borderId="200" xfId="4" applyFont="1" applyFill="1" applyBorder="1" applyAlignment="1">
      <alignment horizontal="left" vertical="top" wrapText="1"/>
    </xf>
    <xf numFmtId="0" fontId="41" fillId="0" borderId="244" xfId="4" applyFont="1" applyFill="1" applyBorder="1" applyAlignment="1">
      <alignment horizontal="center" vertical="top" wrapText="1"/>
    </xf>
    <xf numFmtId="0" fontId="41" fillId="0" borderId="23" xfId="78" applyFont="1" applyFill="1" applyBorder="1" applyAlignment="1">
      <alignment horizontal="center" vertical="top" wrapText="1" readingOrder="1"/>
    </xf>
    <xf numFmtId="0" fontId="41" fillId="0" borderId="21" xfId="4" applyFont="1" applyFill="1" applyBorder="1" applyAlignment="1">
      <alignment horizontal="left" vertical="top" wrapText="1"/>
    </xf>
    <xf numFmtId="0" fontId="41" fillId="0" borderId="2" xfId="4" applyFont="1" applyFill="1" applyBorder="1" applyAlignment="1">
      <alignment horizontal="center" vertical="top" wrapText="1"/>
    </xf>
    <xf numFmtId="0" fontId="41" fillId="0" borderId="46" xfId="4" applyFont="1" applyFill="1" applyBorder="1" applyAlignment="1">
      <alignment horizontal="left"/>
    </xf>
    <xf numFmtId="0" fontId="41" fillId="0" borderId="95" xfId="4" applyFont="1" applyFill="1" applyBorder="1" applyAlignment="1">
      <alignment horizontal="center" wrapText="1"/>
    </xf>
    <xf numFmtId="0" fontId="41" fillId="0" borderId="25" xfId="78" applyFont="1" applyFill="1" applyBorder="1" applyAlignment="1">
      <alignment vertical="top" wrapText="1" readingOrder="2"/>
    </xf>
    <xf numFmtId="0" fontId="40" fillId="0" borderId="0" xfId="78" applyFont="1" applyFill="1" applyAlignment="1">
      <alignment horizontal="center" vertical="center" readingOrder="2"/>
    </xf>
    <xf numFmtId="2" fontId="32" fillId="39" borderId="84" xfId="78" applyNumberFormat="1" applyFont="1" applyFill="1" applyBorder="1" applyAlignment="1">
      <alignment horizontal="center" vertical="center"/>
    </xf>
    <xf numFmtId="0" fontId="17" fillId="0" borderId="1" xfId="78" applyFill="1" applyBorder="1"/>
    <xf numFmtId="0" fontId="24" fillId="0" borderId="49" xfId="4" applyFont="1" applyFill="1" applyBorder="1" applyAlignment="1">
      <alignment horizontal="center"/>
    </xf>
    <xf numFmtId="0" fontId="32" fillId="13" borderId="82" xfId="78" applyFont="1" applyFill="1" applyBorder="1" applyAlignment="1">
      <alignment horizontal="center" vertical="center"/>
    </xf>
    <xf numFmtId="0" fontId="32" fillId="13" borderId="29" xfId="78" applyFont="1" applyFill="1" applyBorder="1" applyAlignment="1">
      <alignment horizontal="center" vertical="center" wrapText="1"/>
    </xf>
    <xf numFmtId="0" fontId="40" fillId="6" borderId="0" xfId="15" applyFont="1" applyFill="1" applyBorder="1" applyAlignment="1">
      <alignment vertical="center"/>
    </xf>
    <xf numFmtId="0" fontId="40" fillId="6" borderId="0" xfId="15" applyFont="1" applyFill="1" applyBorder="1" applyAlignment="1">
      <alignment horizontal="left" vertical="center"/>
    </xf>
    <xf numFmtId="0" fontId="32" fillId="13" borderId="27" xfId="15" applyFont="1" applyFill="1" applyBorder="1" applyAlignment="1">
      <alignment wrapText="1"/>
    </xf>
    <xf numFmtId="0" fontId="32" fillId="13" borderId="28" xfId="15" applyFont="1" applyFill="1" applyBorder="1" applyAlignment="1">
      <alignment wrapText="1"/>
    </xf>
    <xf numFmtId="0" fontId="32" fillId="13" borderId="29" xfId="15" applyFont="1" applyFill="1" applyBorder="1" applyAlignment="1">
      <alignment wrapText="1"/>
    </xf>
    <xf numFmtId="0" fontId="32" fillId="39" borderId="0" xfId="15" applyFont="1" applyFill="1" applyBorder="1" applyAlignment="1">
      <alignment horizontal="center" vertical="center"/>
    </xf>
    <xf numFmtId="0" fontId="25" fillId="0" borderId="69" xfId="78" applyNumberFormat="1" applyFont="1" applyFill="1" applyBorder="1" applyAlignment="1">
      <alignment horizontal="center" vertical="center"/>
    </xf>
    <xf numFmtId="0" fontId="24" fillId="0" borderId="72" xfId="78" applyNumberFormat="1" applyFont="1" applyFill="1" applyBorder="1" applyAlignment="1">
      <alignment horizontal="center" vertical="center"/>
    </xf>
    <xf numFmtId="0" fontId="32" fillId="0" borderId="84" xfId="78" applyNumberFormat="1" applyFont="1" applyFill="1" applyBorder="1" applyAlignment="1">
      <alignment horizontal="center" vertical="center"/>
    </xf>
    <xf numFmtId="0" fontId="32" fillId="0" borderId="72" xfId="78" applyNumberFormat="1" applyFont="1" applyFill="1" applyBorder="1" applyAlignment="1">
      <alignment horizontal="center" vertical="center"/>
    </xf>
    <xf numFmtId="0" fontId="40" fillId="0" borderId="69" xfId="78" applyNumberFormat="1" applyFont="1" applyFill="1" applyBorder="1" applyAlignment="1">
      <alignment horizontal="center" vertical="center"/>
    </xf>
    <xf numFmtId="0" fontId="30" fillId="6" borderId="19" xfId="15" applyFont="1" applyFill="1" applyBorder="1" applyAlignment="1">
      <alignment horizontal="left" vertical="center" wrapText="1"/>
    </xf>
    <xf numFmtId="0" fontId="30" fillId="6" borderId="24" xfId="15" applyFont="1" applyFill="1" applyBorder="1" applyAlignment="1">
      <alignment horizontal="left" vertical="center" wrapText="1"/>
    </xf>
    <xf numFmtId="0" fontId="24" fillId="6" borderId="68" xfId="15" applyFont="1" applyFill="1" applyBorder="1" applyAlignment="1">
      <alignment vertical="center"/>
    </xf>
    <xf numFmtId="0" fontId="19" fillId="0" borderId="28" xfId="0" applyFont="1" applyFill="1" applyBorder="1" applyAlignment="1">
      <alignment horizontal="left"/>
    </xf>
    <xf numFmtId="0" fontId="19" fillId="0" borderId="29" xfId="0" applyFont="1" applyFill="1" applyBorder="1" applyAlignment="1">
      <alignment horizontal="left"/>
    </xf>
    <xf numFmtId="166" fontId="45" fillId="7" borderId="9" xfId="3" applyNumberFormat="1" applyFont="1" applyFill="1" applyBorder="1" applyAlignment="1">
      <alignment horizontal="center"/>
    </xf>
    <xf numFmtId="0" fontId="24" fillId="0" borderId="40" xfId="180" applyFont="1" applyFill="1" applyBorder="1" applyAlignment="1">
      <alignment horizontal="center" wrapText="1"/>
    </xf>
    <xf numFmtId="0" fontId="24" fillId="0" borderId="10" xfId="180" applyFont="1" applyFill="1" applyBorder="1" applyAlignment="1">
      <alignment horizontal="center" wrapText="1"/>
    </xf>
    <xf numFmtId="0" fontId="24" fillId="0" borderId="40" xfId="180" applyFont="1" applyFill="1" applyBorder="1" applyAlignment="1">
      <alignment horizontal="center" vertical="center" wrapText="1"/>
    </xf>
    <xf numFmtId="0" fontId="24" fillId="0" borderId="5" xfId="180" applyFont="1" applyFill="1" applyBorder="1" applyAlignment="1">
      <alignment horizontal="center" wrapText="1"/>
    </xf>
    <xf numFmtId="0" fontId="67" fillId="0" borderId="79" xfId="15" applyFont="1" applyBorder="1" applyAlignment="1">
      <alignment horizontal="center" vertical="center" wrapText="1"/>
    </xf>
    <xf numFmtId="166" fontId="67" fillId="38" borderId="79" xfId="15" applyNumberFormat="1" applyFont="1" applyFill="1" applyBorder="1" applyAlignment="1">
      <alignment horizontal="center" vertical="center" wrapText="1"/>
    </xf>
    <xf numFmtId="166" fontId="67" fillId="38" borderId="27" xfId="15" applyNumberFormat="1" applyFont="1" applyFill="1" applyBorder="1" applyAlignment="1">
      <alignment horizontal="center" vertical="center" wrapText="1"/>
    </xf>
    <xf numFmtId="166" fontId="67" fillId="38" borderId="248" xfId="15" applyNumberFormat="1" applyFont="1" applyFill="1" applyBorder="1" applyAlignment="1">
      <alignment horizontal="center" vertical="center" wrapText="1"/>
    </xf>
    <xf numFmtId="166" fontId="67" fillId="38" borderId="29" xfId="15" applyNumberFormat="1" applyFont="1" applyFill="1" applyBorder="1" applyAlignment="1">
      <alignment horizontal="center" vertical="center" wrapText="1"/>
    </xf>
    <xf numFmtId="0" fontId="17" fillId="0" borderId="0" xfId="3" applyFont="1" applyFill="1" applyBorder="1" applyAlignment="1">
      <alignment horizontal="center"/>
    </xf>
    <xf numFmtId="0" fontId="24" fillId="0" borderId="97" xfId="3" applyFont="1" applyFill="1" applyBorder="1" applyAlignment="1">
      <alignment horizontal="center"/>
    </xf>
    <xf numFmtId="0" fontId="24" fillId="0" borderId="7" xfId="3" applyFont="1" applyBorder="1" applyAlignment="1">
      <alignment horizontal="center"/>
    </xf>
    <xf numFmtId="0" fontId="24" fillId="0" borderId="9" xfId="3" applyFont="1" applyBorder="1" applyAlignment="1">
      <alignment horizontal="center"/>
    </xf>
    <xf numFmtId="0" fontId="17" fillId="0" borderId="0" xfId="3" applyAlignment="1">
      <alignment horizontal="center"/>
    </xf>
    <xf numFmtId="0" fontId="24" fillId="0" borderId="161" xfId="180" applyFont="1" applyFill="1" applyBorder="1" applyAlignment="1">
      <alignment horizontal="center" vertical="center" wrapText="1"/>
    </xf>
    <xf numFmtId="0" fontId="24" fillId="0" borderId="42" xfId="180" applyFont="1" applyFill="1" applyBorder="1" applyAlignment="1">
      <alignment horizontal="center" wrapText="1"/>
    </xf>
    <xf numFmtId="0" fontId="24" fillId="0" borderId="43" xfId="180" applyFont="1" applyFill="1" applyBorder="1" applyAlignment="1">
      <alignment horizontal="center" wrapText="1"/>
    </xf>
    <xf numFmtId="0" fontId="24" fillId="0" borderId="76" xfId="180" applyFont="1" applyFill="1" applyBorder="1" applyAlignment="1">
      <alignment horizontal="center" wrapText="1"/>
    </xf>
    <xf numFmtId="0" fontId="24" fillId="0" borderId="36" xfId="180" applyFont="1" applyFill="1" applyBorder="1" applyAlignment="1">
      <alignment horizontal="center" vertical="center" wrapText="1"/>
    </xf>
    <xf numFmtId="0" fontId="24" fillId="0" borderId="166" xfId="180" applyFont="1" applyFill="1" applyBorder="1" applyAlignment="1">
      <alignment horizontal="center" vertical="center" wrapText="1"/>
    </xf>
    <xf numFmtId="165" fontId="24" fillId="0" borderId="242" xfId="15" applyNumberFormat="1" applyFont="1" applyFill="1" applyBorder="1" applyAlignment="1">
      <alignment horizontal="center"/>
    </xf>
    <xf numFmtId="165" fontId="24" fillId="0" borderId="36" xfId="15" applyNumberFormat="1" applyFont="1" applyFill="1" applyBorder="1" applyAlignment="1"/>
    <xf numFmtId="165" fontId="24" fillId="0" borderId="10" xfId="15" applyNumberFormat="1" applyFont="1" applyFill="1" applyBorder="1" applyAlignment="1"/>
    <xf numFmtId="165" fontId="24" fillId="0" borderId="239" xfId="15" applyNumberFormat="1" applyFont="1" applyFill="1" applyBorder="1" applyAlignment="1"/>
    <xf numFmtId="165" fontId="24" fillId="0" borderId="242" xfId="15" applyNumberFormat="1" applyFont="1" applyFill="1" applyBorder="1" applyAlignment="1"/>
    <xf numFmtId="165" fontId="24" fillId="0" borderId="120" xfId="15" applyNumberFormat="1" applyFont="1" applyFill="1" applyBorder="1" applyAlignment="1"/>
    <xf numFmtId="165" fontId="24" fillId="0" borderId="16" xfId="15" applyNumberFormat="1" applyFont="1" applyFill="1" applyBorder="1" applyAlignment="1"/>
    <xf numFmtId="165" fontId="24" fillId="0" borderId="40" xfId="15" applyNumberFormat="1" applyFont="1" applyFill="1" applyBorder="1" applyAlignment="1"/>
    <xf numFmtId="0" fontId="24" fillId="0" borderId="0" xfId="180" applyFont="1" applyFill="1" applyBorder="1" applyAlignment="1">
      <alignment horizontal="center" vertical="center"/>
    </xf>
    <xf numFmtId="0" fontId="24" fillId="0" borderId="12" xfId="180" applyFont="1" applyFill="1" applyBorder="1" applyAlignment="1">
      <alignment horizontal="center" vertical="center"/>
    </xf>
    <xf numFmtId="0" fontId="24" fillId="0" borderId="1" xfId="180" applyFont="1" applyFill="1" applyBorder="1" applyAlignment="1">
      <alignment horizontal="left" vertical="top" wrapText="1"/>
    </xf>
    <xf numFmtId="0" fontId="24" fillId="0" borderId="2" xfId="180" applyFont="1" applyFill="1" applyBorder="1" applyAlignment="1">
      <alignment horizontal="center" vertical="top"/>
    </xf>
    <xf numFmtId="0" fontId="24" fillId="0" borderId="1" xfId="180" applyFont="1" applyFill="1" applyBorder="1" applyAlignment="1">
      <alignment horizontal="center" vertical="top" wrapText="1"/>
    </xf>
    <xf numFmtId="0" fontId="25" fillId="0" borderId="1" xfId="180" applyFont="1" applyFill="1" applyBorder="1" applyAlignment="1">
      <alignment vertical="top" wrapText="1"/>
    </xf>
    <xf numFmtId="0" fontId="25" fillId="0" borderId="0" xfId="180" applyFont="1" applyFill="1" applyBorder="1" applyAlignment="1">
      <alignment vertical="top" wrapText="1"/>
    </xf>
    <xf numFmtId="0" fontId="24" fillId="0" borderId="2" xfId="180" applyFont="1" applyFill="1" applyBorder="1" applyAlignment="1">
      <alignment horizontal="center" vertical="top" wrapText="1"/>
    </xf>
    <xf numFmtId="0" fontId="24" fillId="0" borderId="0" xfId="180" applyFont="1" applyFill="1" applyBorder="1" applyAlignment="1">
      <alignment horizontal="left" vertical="top" wrapText="1"/>
    </xf>
    <xf numFmtId="0" fontId="24" fillId="0" borderId="2" xfId="180" applyFont="1" applyFill="1" applyBorder="1" applyAlignment="1">
      <alignment horizontal="left" vertical="top" wrapText="1"/>
    </xf>
    <xf numFmtId="0" fontId="24" fillId="0" borderId="0" xfId="180" applyFont="1" applyFill="1" applyBorder="1" applyAlignment="1">
      <alignment horizontal="center" vertical="top" wrapText="1"/>
    </xf>
    <xf numFmtId="0" fontId="24" fillId="0" borderId="13" xfId="180" applyFont="1" applyFill="1" applyBorder="1" applyAlignment="1">
      <alignment horizontal="center" vertical="center"/>
    </xf>
    <xf numFmtId="0" fontId="26" fillId="0" borderId="0" xfId="180" applyFont="1" applyBorder="1" applyAlignment="1">
      <alignment vertical="center" wrapText="1"/>
    </xf>
    <xf numFmtId="0" fontId="25" fillId="0" borderId="0" xfId="180" applyFont="1" applyFill="1" applyBorder="1" applyAlignment="1">
      <alignment horizontal="right" vertical="center" wrapText="1"/>
    </xf>
    <xf numFmtId="0" fontId="24" fillId="0" borderId="10" xfId="180" applyFont="1" applyBorder="1" applyAlignment="1">
      <alignment horizontal="center"/>
    </xf>
    <xf numFmtId="0" fontId="24" fillId="0" borderId="8" xfId="180" applyFont="1" applyBorder="1" applyAlignment="1">
      <alignment horizontal="center"/>
    </xf>
    <xf numFmtId="0" fontId="24" fillId="0" borderId="9" xfId="180" applyFont="1" applyBorder="1" applyAlignment="1">
      <alignment horizontal="center"/>
    </xf>
    <xf numFmtId="0" fontId="24" fillId="0" borderId="10" xfId="180" applyFont="1" applyFill="1" applyBorder="1" applyAlignment="1">
      <alignment horizontal="center"/>
    </xf>
    <xf numFmtId="0" fontId="24" fillId="0" borderId="8" xfId="180" applyFont="1" applyFill="1" applyBorder="1" applyAlignment="1">
      <alignment horizontal="center"/>
    </xf>
    <xf numFmtId="0" fontId="24" fillId="0" borderId="9" xfId="180" applyFont="1" applyFill="1" applyBorder="1" applyAlignment="1">
      <alignment horizontal="center"/>
    </xf>
    <xf numFmtId="0" fontId="24" fillId="0" borderId="109" xfId="180" applyFont="1" applyFill="1" applyBorder="1" applyAlignment="1">
      <alignment horizontal="center" vertical="center"/>
    </xf>
    <xf numFmtId="0" fontId="24" fillId="0" borderId="97" xfId="180" applyFont="1" applyFill="1" applyBorder="1" applyAlignment="1">
      <alignment horizontal="center" vertical="center"/>
    </xf>
    <xf numFmtId="0" fontId="24" fillId="0" borderId="108" xfId="180" applyFont="1" applyFill="1" applyBorder="1" applyAlignment="1">
      <alignment horizontal="center" vertical="center"/>
    </xf>
    <xf numFmtId="0" fontId="24" fillId="0" borderId="1" xfId="180" applyFont="1" applyFill="1" applyBorder="1" applyAlignment="1">
      <alignment vertical="top" wrapText="1"/>
    </xf>
    <xf numFmtId="0" fontId="24" fillId="0" borderId="0" xfId="180" applyFont="1" applyFill="1" applyBorder="1" applyAlignment="1">
      <alignment vertical="top" wrapText="1"/>
    </xf>
    <xf numFmtId="0" fontId="24" fillId="0" borderId="40" xfId="180" applyFont="1" applyFill="1" applyBorder="1" applyAlignment="1">
      <alignment horizontal="center" wrapText="1"/>
    </xf>
    <xf numFmtId="0" fontId="24" fillId="0" borderId="38" xfId="180" applyFont="1" applyFill="1" applyBorder="1" applyAlignment="1">
      <alignment horizontal="center" wrapText="1"/>
    </xf>
    <xf numFmtId="0" fontId="24" fillId="0" borderId="39" xfId="180" applyFont="1" applyFill="1" applyBorder="1" applyAlignment="1">
      <alignment horizontal="center" wrapText="1"/>
    </xf>
    <xf numFmtId="0" fontId="24" fillId="0" borderId="10" xfId="180" applyFont="1" applyFill="1" applyBorder="1" applyAlignment="1">
      <alignment horizontal="center" wrapText="1"/>
    </xf>
    <xf numFmtId="0" fontId="24" fillId="0" borderId="8" xfId="180" applyFont="1" applyFill="1" applyBorder="1" applyAlignment="1">
      <alignment horizontal="center" wrapText="1"/>
    </xf>
    <xf numFmtId="0" fontId="24" fillId="0" borderId="9" xfId="180" applyFont="1" applyFill="1" applyBorder="1" applyAlignment="1">
      <alignment horizontal="center" wrapText="1"/>
    </xf>
    <xf numFmtId="0" fontId="24" fillId="0" borderId="23" xfId="180" applyFont="1" applyFill="1" applyBorder="1" applyAlignment="1">
      <alignment horizontal="center" vertical="top" wrapText="1"/>
    </xf>
    <xf numFmtId="166" fontId="24" fillId="0" borderId="1" xfId="180" applyNumberFormat="1" applyFont="1" applyFill="1" applyBorder="1" applyAlignment="1">
      <alignment horizontal="left" vertical="top" wrapText="1"/>
    </xf>
    <xf numFmtId="0" fontId="24" fillId="0" borderId="2" xfId="180" applyFont="1" applyFill="1" applyBorder="1" applyAlignment="1">
      <alignment vertical="center"/>
    </xf>
    <xf numFmtId="166" fontId="24" fillId="0" borderId="0" xfId="180" applyNumberFormat="1" applyFont="1" applyFill="1" applyBorder="1" applyAlignment="1">
      <alignment horizontal="left" vertical="top" wrapText="1"/>
    </xf>
    <xf numFmtId="0" fontId="32" fillId="22" borderId="20" xfId="15" applyFont="1" applyFill="1" applyBorder="1" applyAlignment="1">
      <alignment horizontal="center" vertical="center"/>
    </xf>
    <xf numFmtId="0" fontId="32" fillId="22" borderId="0" xfId="15" applyFont="1" applyFill="1" applyBorder="1" applyAlignment="1">
      <alignment horizontal="center" vertical="center"/>
    </xf>
    <xf numFmtId="165" fontId="24" fillId="0" borderId="36" xfId="15" applyNumberFormat="1" applyFont="1" applyFill="1" applyBorder="1" applyAlignment="1">
      <alignment horizontal="center"/>
    </xf>
    <xf numFmtId="165" fontId="24" fillId="0" borderId="30" xfId="15" applyNumberFormat="1" applyFont="1" applyFill="1" applyBorder="1" applyAlignment="1">
      <alignment horizontal="center"/>
    </xf>
    <xf numFmtId="165" fontId="24" fillId="0" borderId="35" xfId="15" applyNumberFormat="1" applyFont="1" applyFill="1" applyBorder="1" applyAlignment="1">
      <alignment horizontal="center"/>
    </xf>
    <xf numFmtId="165" fontId="24" fillId="0" borderId="10" xfId="15" applyNumberFormat="1" applyFont="1" applyFill="1" applyBorder="1" applyAlignment="1">
      <alignment horizontal="center"/>
    </xf>
    <xf numFmtId="165" fontId="24" fillId="0" borderId="8" xfId="15" applyNumberFormat="1" applyFont="1" applyFill="1" applyBorder="1" applyAlignment="1">
      <alignment horizontal="center"/>
    </xf>
    <xf numFmtId="165" fontId="24" fillId="0" borderId="9" xfId="15" applyNumberFormat="1" applyFont="1" applyFill="1" applyBorder="1" applyAlignment="1">
      <alignment horizontal="center"/>
    </xf>
    <xf numFmtId="165" fontId="24" fillId="0" borderId="16" xfId="15" applyNumberFormat="1" applyFont="1" applyFill="1" applyBorder="1" applyAlignment="1">
      <alignment horizontal="center"/>
    </xf>
    <xf numFmtId="165" fontId="24" fillId="0" borderId="17" xfId="15" applyNumberFormat="1" applyFont="1" applyFill="1" applyBorder="1" applyAlignment="1">
      <alignment horizontal="center"/>
    </xf>
    <xf numFmtId="165" fontId="24" fillId="0" borderId="18" xfId="15" applyNumberFormat="1" applyFont="1" applyFill="1" applyBorder="1" applyAlignment="1">
      <alignment horizontal="center"/>
    </xf>
    <xf numFmtId="165" fontId="24" fillId="0" borderId="120" xfId="15" applyNumberFormat="1" applyFont="1" applyFill="1" applyBorder="1" applyAlignment="1">
      <alignment horizontal="center"/>
    </xf>
    <xf numFmtId="165" fontId="24" fillId="0" borderId="122" xfId="15" applyNumberFormat="1" applyFont="1" applyFill="1" applyBorder="1" applyAlignment="1">
      <alignment horizontal="center"/>
    </xf>
    <xf numFmtId="165" fontId="24" fillId="0" borderId="121" xfId="15" applyNumberFormat="1" applyFont="1" applyFill="1" applyBorder="1" applyAlignment="1">
      <alignment horizontal="center"/>
    </xf>
    <xf numFmtId="165" fontId="24" fillId="0" borderId="40" xfId="15" applyNumberFormat="1" applyFont="1" applyFill="1" applyBorder="1" applyAlignment="1">
      <alignment horizontal="center"/>
    </xf>
    <xf numFmtId="165" fontId="24" fillId="0" borderId="38" xfId="15" applyNumberFormat="1" applyFont="1" applyFill="1" applyBorder="1" applyAlignment="1">
      <alignment horizontal="center"/>
    </xf>
    <xf numFmtId="165" fontId="24" fillId="0" borderId="39" xfId="15" applyNumberFormat="1" applyFont="1" applyFill="1" applyBorder="1" applyAlignment="1">
      <alignment horizontal="center"/>
    </xf>
    <xf numFmtId="49" fontId="24" fillId="6" borderId="56" xfId="2" applyNumberFormat="1" applyFont="1" applyFill="1" applyBorder="1" applyAlignment="1">
      <alignment horizontal="center" textRotation="90"/>
    </xf>
    <xf numFmtId="0" fontId="63" fillId="0" borderId="0" xfId="180" applyFont="1" applyAlignment="1">
      <alignment horizontal="center"/>
    </xf>
    <xf numFmtId="0" fontId="24" fillId="6" borderId="69" xfId="180" applyFont="1" applyFill="1" applyBorder="1" applyAlignment="1">
      <alignment horizontal="center" vertical="center" textRotation="90" wrapText="1"/>
    </xf>
    <xf numFmtId="0" fontId="25" fillId="6" borderId="0" xfId="181" applyFont="1" applyFill="1" applyBorder="1" applyAlignment="1">
      <alignment horizontal="center" vertical="center"/>
    </xf>
    <xf numFmtId="0" fontId="25" fillId="6" borderId="23" xfId="181" applyFont="1" applyFill="1" applyBorder="1" applyAlignment="1">
      <alignment horizontal="center" vertical="center"/>
    </xf>
    <xf numFmtId="0" fontId="17" fillId="0" borderId="0" xfId="180" applyFill="1" applyBorder="1" applyAlignment="1"/>
    <xf numFmtId="0" fontId="17" fillId="0" borderId="2" xfId="180" applyFill="1" applyBorder="1" applyAlignment="1">
      <alignment horizontal="left" vertical="top" wrapText="1"/>
    </xf>
    <xf numFmtId="0" fontId="17" fillId="0" borderId="0" xfId="180" applyFill="1" applyBorder="1" applyAlignment="1">
      <alignment vertical="center" wrapText="1"/>
    </xf>
    <xf numFmtId="0" fontId="24" fillId="0" borderId="23" xfId="180" applyFont="1" applyFill="1" applyBorder="1" applyAlignment="1">
      <alignment vertical="top" wrapText="1"/>
    </xf>
    <xf numFmtId="0" fontId="17" fillId="0" borderId="0" xfId="180" applyFill="1" applyBorder="1" applyAlignment="1">
      <alignment vertical="top" wrapText="1"/>
    </xf>
    <xf numFmtId="0" fontId="17" fillId="0" borderId="1" xfId="180" applyFill="1" applyBorder="1" applyAlignment="1">
      <alignment vertical="top" wrapText="1"/>
    </xf>
    <xf numFmtId="0" fontId="17" fillId="0" borderId="2" xfId="180" applyFill="1" applyBorder="1" applyAlignment="1">
      <alignment vertical="top" wrapText="1"/>
    </xf>
    <xf numFmtId="0" fontId="24" fillId="0" borderId="128" xfId="180" applyFont="1" applyFill="1" applyBorder="1" applyAlignment="1">
      <alignment horizontal="center" wrapText="1"/>
    </xf>
    <xf numFmtId="0" fontId="24" fillId="0" borderId="129" xfId="180" applyFont="1" applyFill="1" applyBorder="1" applyAlignment="1">
      <alignment horizontal="center" wrapText="1"/>
    </xf>
    <xf numFmtId="0" fontId="24" fillId="0" borderId="43" xfId="180" applyFont="1" applyFill="1" applyBorder="1" applyAlignment="1">
      <alignment horizontal="center" vertical="top"/>
    </xf>
    <xf numFmtId="166" fontId="24" fillId="0" borderId="23" xfId="180" applyNumberFormat="1" applyFont="1" applyFill="1" applyBorder="1" applyAlignment="1">
      <alignment horizontal="left" vertical="top" wrapText="1"/>
    </xf>
    <xf numFmtId="0" fontId="24" fillId="0" borderId="5" xfId="180" applyFont="1" applyFill="1" applyBorder="1" applyAlignment="1">
      <alignment horizontal="center" wrapText="1"/>
    </xf>
    <xf numFmtId="0" fontId="24" fillId="0" borderId="6" xfId="180" applyFont="1" applyFill="1" applyBorder="1" applyAlignment="1">
      <alignment horizontal="center" wrapText="1"/>
    </xf>
    <xf numFmtId="0" fontId="24" fillId="0" borderId="7" xfId="180" applyFont="1" applyFill="1" applyBorder="1" applyAlignment="1">
      <alignment horizontal="center" wrapText="1"/>
    </xf>
    <xf numFmtId="0" fontId="24" fillId="0" borderId="143" xfId="180" applyFont="1" applyBorder="1" applyAlignment="1">
      <alignment horizontal="center"/>
    </xf>
    <xf numFmtId="0" fontId="17" fillId="0" borderId="1" xfId="180" applyBorder="1" applyAlignment="1">
      <alignment horizontal="left" vertical="top" wrapText="1"/>
    </xf>
    <xf numFmtId="0" fontId="17" fillId="0" borderId="0" xfId="180" applyBorder="1" applyAlignment="1">
      <alignment horizontal="left" vertical="top" wrapText="1"/>
    </xf>
    <xf numFmtId="0" fontId="17" fillId="0" borderId="2" xfId="180" applyBorder="1" applyAlignment="1">
      <alignment horizontal="left" vertical="top" wrapText="1"/>
    </xf>
    <xf numFmtId="0" fontId="41" fillId="0" borderId="0" xfId="180" applyFont="1" applyBorder="1" applyAlignment="1">
      <alignment horizontal="left" vertical="top" wrapText="1"/>
    </xf>
    <xf numFmtId="0" fontId="41" fillId="0" borderId="0" xfId="180" applyFont="1" applyBorder="1" applyAlignment="1">
      <alignment horizontal="center" vertical="top" wrapText="1"/>
    </xf>
    <xf numFmtId="0" fontId="24" fillId="0" borderId="37" xfId="4" applyFont="1" applyFill="1" applyBorder="1" applyAlignment="1">
      <alignment horizontal="center" vertical="center" wrapText="1"/>
    </xf>
    <xf numFmtId="0" fontId="24" fillId="6" borderId="0" xfId="15" applyFont="1" applyFill="1" applyBorder="1" applyAlignment="1">
      <alignment horizontal="left" vertical="center" wrapText="1"/>
    </xf>
    <xf numFmtId="0" fontId="17" fillId="0" borderId="1" xfId="180" applyFill="1" applyBorder="1" applyAlignment="1">
      <alignment horizontal="left" vertical="top" wrapText="1"/>
    </xf>
    <xf numFmtId="0" fontId="17" fillId="0" borderId="0" xfId="180" applyBorder="1" applyAlignment="1"/>
    <xf numFmtId="0" fontId="24" fillId="0" borderId="260" xfId="180" applyFont="1" applyFill="1" applyBorder="1"/>
    <xf numFmtId="0" fontId="24" fillId="0" borderId="260" xfId="180" applyFont="1" applyFill="1" applyBorder="1" applyAlignment="1">
      <alignment horizontal="center"/>
    </xf>
    <xf numFmtId="0" fontId="24" fillId="0" borderId="194" xfId="180" applyFont="1" applyFill="1" applyBorder="1" applyAlignment="1">
      <alignment horizontal="center" wrapText="1"/>
    </xf>
    <xf numFmtId="0" fontId="24" fillId="0" borderId="262" xfId="180" applyFont="1" applyFill="1" applyBorder="1" applyAlignment="1">
      <alignment horizontal="center" wrapText="1"/>
    </xf>
    <xf numFmtId="0" fontId="24" fillId="0" borderId="26" xfId="180" applyFont="1" applyFill="1" applyBorder="1" applyAlignment="1">
      <alignment horizontal="center" wrapText="1"/>
    </xf>
    <xf numFmtId="166" fontId="67" fillId="39" borderId="0" xfId="180" applyNumberFormat="1" applyFont="1" applyFill="1" applyAlignment="1">
      <alignment horizontal="center" vertical="center"/>
    </xf>
    <xf numFmtId="0" fontId="24" fillId="0" borderId="254" xfId="180" applyFont="1" applyFill="1" applyBorder="1"/>
    <xf numFmtId="0" fontId="24" fillId="0" borderId="260" xfId="180" applyFont="1" applyFill="1" applyBorder="1" applyAlignment="1">
      <alignment horizontal="right" vertical="top"/>
    </xf>
    <xf numFmtId="0" fontId="101" fillId="0" borderId="260" xfId="180" applyFont="1" applyBorder="1" applyAlignment="1">
      <alignment vertical="center"/>
    </xf>
    <xf numFmtId="0" fontId="24" fillId="0" borderId="250" xfId="180" applyFont="1" applyFill="1" applyBorder="1" applyAlignment="1">
      <alignment vertical="center"/>
    </xf>
    <xf numFmtId="0" fontId="24" fillId="0" borderId="239" xfId="180" applyFont="1" applyFill="1" applyBorder="1" applyAlignment="1">
      <alignment vertical="center"/>
    </xf>
    <xf numFmtId="0" fontId="24" fillId="0" borderId="242" xfId="180" applyFont="1" applyFill="1" applyBorder="1" applyAlignment="1">
      <alignment vertical="center"/>
    </xf>
    <xf numFmtId="0" fontId="24" fillId="0" borderId="240" xfId="180" applyFont="1" applyFill="1" applyBorder="1" applyAlignment="1">
      <alignment vertical="center"/>
    </xf>
    <xf numFmtId="0" fontId="67" fillId="0" borderId="260" xfId="180" applyFont="1" applyBorder="1" applyAlignment="1">
      <alignment vertical="center"/>
    </xf>
    <xf numFmtId="0" fontId="67" fillId="6" borderId="260" xfId="180" applyFont="1" applyFill="1" applyBorder="1" applyAlignment="1">
      <alignment vertical="center"/>
    </xf>
    <xf numFmtId="0" fontId="41" fillId="6" borderId="260" xfId="180" applyFont="1" applyFill="1" applyBorder="1"/>
    <xf numFmtId="166" fontId="67" fillId="0" borderId="14" xfId="180" applyNumberFormat="1" applyFont="1" applyFill="1" applyBorder="1" applyAlignment="1">
      <alignment horizontal="center" vertical="center" textRotation="90"/>
    </xf>
    <xf numFmtId="0" fontId="67" fillId="0" borderId="0" xfId="180" applyFont="1" applyFill="1"/>
    <xf numFmtId="0" fontId="67" fillId="0" borderId="0" xfId="15" applyFont="1" applyFill="1" applyAlignment="1">
      <alignment horizontal="center" vertical="center"/>
    </xf>
    <xf numFmtId="0" fontId="24" fillId="2" borderId="260" xfId="2" applyFont="1" applyFill="1" applyBorder="1" applyAlignment="1">
      <alignment vertical="top"/>
    </xf>
    <xf numFmtId="0" fontId="51" fillId="0" borderId="260" xfId="15" applyFont="1" applyBorder="1" applyAlignment="1">
      <alignment vertical="top"/>
    </xf>
    <xf numFmtId="165" fontId="24" fillId="0" borderId="264" xfId="15" applyNumberFormat="1" applyFont="1" applyFill="1" applyBorder="1" applyAlignment="1">
      <alignment horizontal="center" vertical="top" wrapText="1"/>
    </xf>
    <xf numFmtId="0" fontId="51" fillId="0" borderId="260" xfId="15" applyFont="1" applyFill="1" applyBorder="1" applyAlignment="1">
      <alignment vertical="top"/>
    </xf>
    <xf numFmtId="0" fontId="24" fillId="0" borderId="249" xfId="15" applyFont="1" applyFill="1" applyBorder="1" applyAlignment="1">
      <alignment horizontal="center"/>
    </xf>
    <xf numFmtId="0" fontId="24" fillId="0" borderId="251" xfId="15" applyFont="1" applyFill="1" applyBorder="1" applyAlignment="1">
      <alignment horizontal="center"/>
    </xf>
    <xf numFmtId="0" fontId="24" fillId="0" borderId="254" xfId="15" applyFont="1" applyFill="1" applyBorder="1" applyAlignment="1">
      <alignment horizontal="left" vertical="top" wrapText="1"/>
    </xf>
    <xf numFmtId="0" fontId="24" fillId="0" borderId="258" xfId="15" applyFont="1" applyFill="1" applyBorder="1" applyAlignment="1">
      <alignment horizontal="left" vertical="top" wrapText="1"/>
    </xf>
    <xf numFmtId="165" fontId="24" fillId="0" borderId="264" xfId="15" applyNumberFormat="1" applyFont="1" applyFill="1" applyBorder="1" applyAlignment="1">
      <alignment horizontal="center" vertical="top"/>
    </xf>
    <xf numFmtId="0" fontId="24" fillId="0" borderId="260" xfId="15" applyFont="1" applyFill="1" applyBorder="1" applyAlignment="1">
      <alignment horizontal="left" vertical="top"/>
    </xf>
    <xf numFmtId="0" fontId="24" fillId="0" borderId="256" xfId="15" applyFont="1" applyFill="1" applyBorder="1" applyAlignment="1">
      <alignment horizontal="left" vertical="top"/>
    </xf>
    <xf numFmtId="0" fontId="24" fillId="0" borderId="257" xfId="15" applyFont="1" applyFill="1" applyBorder="1" applyAlignment="1">
      <alignment horizontal="left" vertical="top" wrapText="1"/>
    </xf>
    <xf numFmtId="0" fontId="24" fillId="0" borderId="257" xfId="180" applyFont="1" applyFill="1" applyBorder="1" applyAlignment="1">
      <alignment horizontal="left" vertical="top" wrapText="1"/>
    </xf>
    <xf numFmtId="0" fontId="24" fillId="0" borderId="254" xfId="180" applyFont="1" applyFill="1" applyBorder="1" applyAlignment="1">
      <alignment horizontal="left" vertical="top" wrapText="1"/>
    </xf>
    <xf numFmtId="0" fontId="51" fillId="0" borderId="254" xfId="15" applyFont="1" applyFill="1" applyBorder="1" applyAlignment="1">
      <alignment vertical="top" wrapText="1"/>
    </xf>
    <xf numFmtId="165" fontId="24" fillId="0" borderId="259" xfId="15" applyNumberFormat="1" applyFont="1" applyFill="1" applyBorder="1" applyAlignment="1">
      <alignment horizontal="center" vertical="center"/>
    </xf>
    <xf numFmtId="0" fontId="24" fillId="0" borderId="255" xfId="15" applyFont="1" applyFill="1" applyBorder="1"/>
    <xf numFmtId="166" fontId="24" fillId="0" borderId="250" xfId="15" applyNumberFormat="1" applyFont="1" applyFill="1" applyBorder="1" applyAlignment="1">
      <alignment horizontal="left" vertical="top" wrapText="1"/>
    </xf>
    <xf numFmtId="0" fontId="24" fillId="0" borderId="255" xfId="15" applyFont="1" applyFill="1" applyBorder="1" applyAlignment="1">
      <alignment horizontal="left" vertical="top"/>
    </xf>
    <xf numFmtId="167" fontId="25" fillId="0" borderId="256" xfId="15" applyNumberFormat="1" applyFont="1" applyFill="1" applyBorder="1" applyAlignment="1">
      <alignment horizontal="center" vertical="top"/>
    </xf>
    <xf numFmtId="0" fontId="24" fillId="0" borderId="34" xfId="15" applyFont="1" applyFill="1" applyBorder="1"/>
    <xf numFmtId="0" fontId="24" fillId="0" borderId="9" xfId="15" applyFont="1" applyFill="1" applyBorder="1"/>
    <xf numFmtId="165" fontId="24" fillId="0" borderId="239" xfId="15" applyNumberFormat="1" applyFont="1" applyFill="1" applyBorder="1" applyAlignment="1">
      <alignment horizontal="center"/>
    </xf>
    <xf numFmtId="165" fontId="24" fillId="0" borderId="240" xfId="15" applyNumberFormat="1" applyFont="1" applyFill="1" applyBorder="1" applyAlignment="1">
      <alignment horizontal="center"/>
    </xf>
    <xf numFmtId="0" fontId="24" fillId="0" borderId="239" xfId="15" applyFont="1" applyFill="1" applyBorder="1"/>
    <xf numFmtId="0" fontId="24" fillId="0" borderId="242" xfId="15" applyFont="1" applyFill="1" applyBorder="1"/>
    <xf numFmtId="0" fontId="24" fillId="0" borderId="240" xfId="15" applyFont="1" applyFill="1" applyBorder="1"/>
    <xf numFmtId="0" fontId="24" fillId="0" borderId="178" xfId="15" applyFont="1" applyFill="1" applyBorder="1" applyAlignment="1">
      <alignment horizontal="center"/>
    </xf>
    <xf numFmtId="0" fontId="24" fillId="0" borderId="121" xfId="15" applyFont="1" applyFill="1" applyBorder="1"/>
    <xf numFmtId="0" fontId="24" fillId="0" borderId="18" xfId="15" applyFont="1" applyFill="1" applyBorder="1"/>
    <xf numFmtId="165" fontId="24" fillId="0" borderId="5" xfId="15" applyNumberFormat="1" applyFont="1" applyFill="1" applyBorder="1" applyAlignment="1"/>
    <xf numFmtId="0" fontId="24" fillId="0" borderId="7" xfId="15" applyFont="1" applyFill="1" applyBorder="1"/>
    <xf numFmtId="0" fontId="30" fillId="0" borderId="9" xfId="15" applyFont="1" applyFill="1" applyBorder="1"/>
    <xf numFmtId="0" fontId="30" fillId="0" borderId="108" xfId="15" applyFont="1" applyFill="1" applyBorder="1"/>
    <xf numFmtId="0" fontId="39" fillId="6" borderId="260" xfId="180" applyFont="1" applyFill="1" applyBorder="1" applyAlignment="1">
      <alignment vertical="center"/>
    </xf>
    <xf numFmtId="0" fontId="39" fillId="6" borderId="260" xfId="180" applyFont="1" applyFill="1" applyBorder="1" applyAlignment="1">
      <alignment vertical="center" wrapText="1"/>
    </xf>
    <xf numFmtId="0" fontId="39" fillId="6" borderId="254" xfId="180" applyFont="1" applyFill="1" applyBorder="1" applyAlignment="1">
      <alignment horizontal="left" vertical="center" wrapText="1"/>
    </xf>
    <xf numFmtId="166" fontId="67" fillId="39" borderId="84" xfId="181" applyNumberFormat="1" applyFont="1" applyFill="1" applyBorder="1" applyAlignment="1">
      <alignment horizontal="center" vertical="center"/>
    </xf>
    <xf numFmtId="0" fontId="29" fillId="0" borderId="21" xfId="180" applyFont="1" applyFill="1" applyBorder="1"/>
    <xf numFmtId="0" fontId="24" fillId="0" borderId="269" xfId="180" applyFont="1" applyFill="1" applyBorder="1" applyAlignment="1">
      <alignment vertical="top" wrapText="1"/>
    </xf>
    <xf numFmtId="166" fontId="67" fillId="39" borderId="28" xfId="15" applyNumberFormat="1" applyFont="1" applyFill="1" applyBorder="1" applyAlignment="1">
      <alignment horizontal="center" vertical="center"/>
    </xf>
    <xf numFmtId="0" fontId="67" fillId="0" borderId="0" xfId="180" applyFont="1" applyFill="1" applyAlignment="1">
      <alignment horizontal="center"/>
    </xf>
    <xf numFmtId="0" fontId="24" fillId="0" borderId="257" xfId="180" applyFont="1" applyFill="1" applyBorder="1" applyAlignment="1">
      <alignment vertical="top" wrapText="1"/>
    </xf>
    <xf numFmtId="0" fontId="24" fillId="0" borderId="258" xfId="180" applyFont="1" applyFill="1" applyBorder="1" applyAlignment="1">
      <alignment vertical="top" wrapText="1"/>
    </xf>
    <xf numFmtId="0" fontId="24" fillId="0" borderId="271" xfId="180" applyFont="1" applyFill="1" applyBorder="1" applyAlignment="1">
      <alignment horizontal="left" vertical="top"/>
    </xf>
    <xf numFmtId="0" fontId="24" fillId="0" borderId="254" xfId="180" applyFont="1" applyFill="1" applyBorder="1" applyAlignment="1">
      <alignment vertical="top" wrapText="1"/>
    </xf>
    <xf numFmtId="0" fontId="24" fillId="0" borderId="258" xfId="180" applyFont="1" applyFill="1" applyBorder="1" applyAlignment="1">
      <alignment horizontal="center" vertical="center"/>
    </xf>
    <xf numFmtId="0" fontId="24" fillId="0" borderId="257" xfId="180" applyFont="1" applyFill="1" applyBorder="1" applyAlignment="1">
      <alignment horizontal="left" vertical="top"/>
    </xf>
    <xf numFmtId="0" fontId="24" fillId="0" borderId="256" xfId="180" applyFont="1" applyFill="1" applyBorder="1" applyAlignment="1">
      <alignment horizontal="center" vertical="center"/>
    </xf>
    <xf numFmtId="0" fontId="17" fillId="0" borderId="272" xfId="180" applyBorder="1" applyAlignment="1"/>
    <xf numFmtId="0" fontId="17" fillId="0" borderId="250" xfId="180" applyBorder="1" applyAlignment="1"/>
    <xf numFmtId="0" fontId="17" fillId="0" borderId="261" xfId="180" applyBorder="1" applyAlignment="1"/>
    <xf numFmtId="0" fontId="24" fillId="0" borderId="268" xfId="180" applyFont="1" applyFill="1" applyBorder="1"/>
    <xf numFmtId="0" fontId="30" fillId="0" borderId="260" xfId="180" applyFont="1" applyFill="1" applyBorder="1"/>
    <xf numFmtId="0" fontId="24" fillId="0" borderId="271" xfId="180" applyFont="1" applyFill="1" applyBorder="1"/>
    <xf numFmtId="0" fontId="67" fillId="13" borderId="0" xfId="177" quotePrefix="1" applyFont="1" applyFill="1" applyAlignment="1">
      <alignment horizontal="left"/>
    </xf>
    <xf numFmtId="0" fontId="98" fillId="0" borderId="10" xfId="177" applyFont="1" applyFill="1" applyBorder="1"/>
    <xf numFmtId="0" fontId="98" fillId="0" borderId="8" xfId="177" applyFont="1" applyFill="1" applyBorder="1"/>
    <xf numFmtId="0" fontId="98" fillId="0" borderId="9" xfId="177" applyFont="1" applyFill="1" applyBorder="1"/>
    <xf numFmtId="0" fontId="40" fillId="0" borderId="0" xfId="180" applyFont="1" applyFill="1"/>
    <xf numFmtId="165" fontId="24" fillId="0" borderId="62" xfId="180" applyNumberFormat="1" applyFont="1" applyBorder="1" applyAlignment="1">
      <alignment horizontal="center"/>
    </xf>
    <xf numFmtId="0" fontId="24" fillId="0" borderId="35" xfId="180" applyFont="1" applyBorder="1"/>
    <xf numFmtId="165" fontId="24" fillId="0" borderId="66" xfId="180" applyNumberFormat="1" applyFont="1" applyBorder="1" applyAlignment="1">
      <alignment horizontal="center"/>
    </xf>
    <xf numFmtId="0" fontId="24" fillId="0" borderId="37" xfId="180" applyFont="1" applyBorder="1" applyAlignment="1">
      <alignment horizontal="center"/>
    </xf>
    <xf numFmtId="165" fontId="24" fillId="0" borderId="78" xfId="180" applyNumberFormat="1" applyFont="1" applyBorder="1" applyAlignment="1">
      <alignment horizontal="center"/>
    </xf>
    <xf numFmtId="0" fontId="24" fillId="0" borderId="39" xfId="180" applyFont="1" applyBorder="1"/>
    <xf numFmtId="166" fontId="40" fillId="0" borderId="62" xfId="180" applyNumberFormat="1" applyFont="1" applyFill="1" applyBorder="1" applyAlignment="1">
      <alignment horizontal="center" vertical="center" textRotation="90"/>
    </xf>
    <xf numFmtId="0" fontId="40" fillId="0" borderId="36" xfId="180" applyFont="1" applyFill="1" applyBorder="1" applyAlignment="1">
      <alignment horizontal="center" vertical="center"/>
    </xf>
    <xf numFmtId="0" fontId="40" fillId="0" borderId="30" xfId="180" applyFont="1" applyFill="1" applyBorder="1" applyAlignment="1">
      <alignment horizontal="center" vertical="center"/>
    </xf>
    <xf numFmtId="0" fontId="40" fillId="0" borderId="35" xfId="180" applyFont="1" applyFill="1" applyBorder="1" applyAlignment="1">
      <alignment horizontal="center" vertical="center"/>
    </xf>
    <xf numFmtId="0" fontId="24" fillId="0" borderId="272" xfId="180" applyFont="1" applyFill="1" applyBorder="1" applyAlignment="1">
      <alignment wrapText="1"/>
    </xf>
    <xf numFmtId="0" fontId="24" fillId="0" borderId="250" xfId="180" applyFont="1" applyFill="1" applyBorder="1" applyAlignment="1">
      <alignment wrapText="1"/>
    </xf>
    <xf numFmtId="0" fontId="24" fillId="0" borderId="261" xfId="180" applyFont="1" applyFill="1" applyBorder="1" applyAlignment="1">
      <alignment wrapText="1"/>
    </xf>
    <xf numFmtId="0" fontId="24" fillId="0" borderId="256" xfId="180" applyFont="1" applyFill="1" applyBorder="1"/>
    <xf numFmtId="0" fontId="24" fillId="0" borderId="273" xfId="180" applyFont="1" applyFill="1" applyBorder="1" applyAlignment="1">
      <alignment wrapText="1"/>
    </xf>
    <xf numFmtId="0" fontId="24" fillId="0" borderId="254" xfId="180" applyFont="1" applyFill="1" applyBorder="1" applyAlignment="1">
      <alignment horizontal="center"/>
    </xf>
    <xf numFmtId="0" fontId="24" fillId="0" borderId="258" xfId="180" applyFont="1" applyFill="1" applyBorder="1" applyAlignment="1">
      <alignment horizontal="center"/>
    </xf>
    <xf numFmtId="0" fontId="24" fillId="0" borderId="109" xfId="180" applyFont="1" applyFill="1" applyBorder="1"/>
    <xf numFmtId="0" fontId="24" fillId="0" borderId="108" xfId="180" applyFont="1" applyFill="1" applyBorder="1"/>
    <xf numFmtId="0" fontId="24" fillId="0" borderId="286" xfId="180" applyFont="1" applyFill="1" applyBorder="1"/>
    <xf numFmtId="0" fontId="37" fillId="0" borderId="0" xfId="177" applyFont="1" applyBorder="1"/>
    <xf numFmtId="165" fontId="24" fillId="0" borderId="35" xfId="15" applyNumberFormat="1" applyFont="1" applyFill="1" applyBorder="1" applyAlignment="1"/>
    <xf numFmtId="165" fontId="24" fillId="0" borderId="9" xfId="15" applyNumberFormat="1" applyFont="1" applyFill="1" applyBorder="1" applyAlignment="1"/>
    <xf numFmtId="165" fontId="24" fillId="0" borderId="240" xfId="15" applyNumberFormat="1" applyFont="1" applyFill="1" applyBorder="1" applyAlignment="1"/>
    <xf numFmtId="165" fontId="24" fillId="0" borderId="121" xfId="15" applyNumberFormat="1" applyFont="1" applyFill="1" applyBorder="1" applyAlignment="1"/>
    <xf numFmtId="165" fontId="24" fillId="0" borderId="18" xfId="15" applyNumberFormat="1" applyFont="1" applyFill="1" applyBorder="1" applyAlignment="1"/>
    <xf numFmtId="0" fontId="41" fillId="0" borderId="249" xfId="15" applyFont="1" applyFill="1" applyBorder="1" applyAlignment="1">
      <alignment horizontal="right" vertical="top" wrapText="1"/>
    </xf>
    <xf numFmtId="166" fontId="40" fillId="0" borderId="251" xfId="15" applyNumberFormat="1" applyFont="1" applyFill="1" applyBorder="1" applyAlignment="1">
      <alignment horizontal="left" vertical="top" wrapText="1"/>
    </xf>
    <xf numFmtId="0" fontId="40" fillId="0" borderId="249" xfId="15" applyFont="1" applyFill="1" applyBorder="1" applyAlignment="1">
      <alignment horizontal="right" vertical="top" wrapText="1"/>
    </xf>
    <xf numFmtId="166" fontId="40" fillId="0" borderId="250" xfId="15" applyNumberFormat="1" applyFont="1" applyFill="1" applyBorder="1" applyAlignment="1">
      <alignment horizontal="left" vertical="top" wrapText="1"/>
    </xf>
    <xf numFmtId="0" fontId="120" fillId="0" borderId="0" xfId="0" applyFont="1"/>
    <xf numFmtId="0" fontId="24" fillId="0" borderId="10" xfId="2" applyFont="1" applyFill="1" applyBorder="1" applyAlignment="1"/>
    <xf numFmtId="0" fontId="24" fillId="0" borderId="9" xfId="2" applyFont="1" applyFill="1" applyBorder="1" applyAlignment="1"/>
    <xf numFmtId="0" fontId="24" fillId="0" borderId="21" xfId="2" applyFont="1" applyFill="1" applyBorder="1" applyAlignment="1">
      <alignment vertical="center" wrapText="1"/>
    </xf>
    <xf numFmtId="0" fontId="24" fillId="0" borderId="2" xfId="2" applyFont="1" applyFill="1" applyBorder="1" applyAlignment="1">
      <alignment vertical="center" wrapText="1"/>
    </xf>
    <xf numFmtId="0" fontId="17" fillId="0" borderId="97" xfId="180" applyBorder="1" applyAlignment="1">
      <alignment horizontal="center"/>
    </xf>
    <xf numFmtId="0" fontId="17" fillId="0" borderId="30" xfId="180" applyBorder="1" applyAlignment="1">
      <alignment horizontal="center"/>
    </xf>
    <xf numFmtId="0" fontId="17" fillId="0" borderId="8" xfId="180" applyBorder="1" applyAlignment="1">
      <alignment horizontal="center"/>
    </xf>
    <xf numFmtId="0" fontId="41" fillId="0" borderId="260" xfId="180" applyFont="1" applyBorder="1" applyAlignment="1">
      <alignment vertical="top" wrapText="1"/>
    </xf>
    <xf numFmtId="0" fontId="41" fillId="0" borderId="250" xfId="180" applyFont="1" applyBorder="1" applyAlignment="1">
      <alignment vertical="top" wrapText="1"/>
    </xf>
    <xf numFmtId="0" fontId="24" fillId="0" borderId="19" xfId="113" applyFont="1" applyBorder="1" applyAlignment="1"/>
    <xf numFmtId="0" fontId="24" fillId="0" borderId="24" xfId="113" applyFont="1" applyBorder="1" applyAlignment="1">
      <alignment horizontal="left" wrapText="1"/>
    </xf>
    <xf numFmtId="0" fontId="24" fillId="0" borderId="22" xfId="113" applyFont="1" applyBorder="1" applyAlignment="1"/>
    <xf numFmtId="0" fontId="24" fillId="0" borderId="27" xfId="180" applyFont="1" applyFill="1" applyBorder="1" applyAlignment="1">
      <alignment vertical="center"/>
    </xf>
    <xf numFmtId="0" fontId="67" fillId="0" borderId="97" xfId="180" applyFont="1" applyBorder="1" applyAlignment="1">
      <alignment vertical="center"/>
    </xf>
    <xf numFmtId="0" fontId="67" fillId="0" borderId="110" xfId="180" applyFont="1" applyBorder="1" applyAlignment="1">
      <alignment vertical="center"/>
    </xf>
    <xf numFmtId="0" fontId="17" fillId="0" borderId="32" xfId="180" applyBorder="1" applyAlignment="1"/>
    <xf numFmtId="0" fontId="17" fillId="0" borderId="37" xfId="180" applyBorder="1" applyAlignment="1"/>
    <xf numFmtId="0" fontId="17" fillId="0" borderId="10" xfId="180" applyFill="1" applyBorder="1" applyAlignment="1">
      <alignment horizontal="center"/>
    </xf>
    <xf numFmtId="0" fontId="17" fillId="0" borderId="8" xfId="180" applyFill="1" applyBorder="1" applyAlignment="1">
      <alignment horizontal="center"/>
    </xf>
    <xf numFmtId="0" fontId="17" fillId="0" borderId="8" xfId="180" applyFill="1" applyBorder="1" applyAlignment="1"/>
    <xf numFmtId="0" fontId="17" fillId="0" borderId="37" xfId="180" applyFill="1" applyBorder="1" applyAlignment="1"/>
    <xf numFmtId="0" fontId="41" fillId="0" borderId="23" xfId="180" applyFont="1" applyBorder="1" applyAlignment="1">
      <alignment vertical="top" wrapText="1"/>
    </xf>
    <xf numFmtId="0" fontId="123" fillId="0" borderId="21" xfId="180" applyFont="1" applyBorder="1" applyAlignment="1">
      <alignment horizontal="center" vertical="center" wrapText="1"/>
    </xf>
    <xf numFmtId="0" fontId="124" fillId="0" borderId="21" xfId="180" applyFont="1" applyBorder="1" applyAlignment="1">
      <alignment horizontal="center" vertical="center"/>
    </xf>
    <xf numFmtId="0" fontId="67" fillId="0" borderId="21" xfId="180" quotePrefix="1" applyFont="1" applyFill="1" applyBorder="1" applyAlignment="1">
      <alignment vertical="top" wrapText="1"/>
    </xf>
    <xf numFmtId="0" fontId="67" fillId="0" borderId="21" xfId="180" applyFont="1" applyFill="1" applyBorder="1" applyAlignment="1">
      <alignment vertical="top" wrapText="1"/>
    </xf>
    <xf numFmtId="0" fontId="24" fillId="0" borderId="14" xfId="78" applyFont="1" applyFill="1" applyBorder="1" applyAlignment="1">
      <alignment horizontal="left" vertical="center" shrinkToFit="1"/>
    </xf>
    <xf numFmtId="0" fontId="24" fillId="0" borderId="14" xfId="78" quotePrefix="1" applyFont="1" applyFill="1" applyBorder="1" applyAlignment="1">
      <alignment horizontal="left" vertical="center" shrinkToFit="1"/>
    </xf>
    <xf numFmtId="0" fontId="24" fillId="0" borderId="28" xfId="4" applyFont="1" applyFill="1" applyBorder="1" applyAlignment="1">
      <alignment horizontal="center" vertical="center" wrapText="1"/>
    </xf>
    <xf numFmtId="0" fontId="25" fillId="0" borderId="0" xfId="78" applyNumberFormat="1" applyFont="1" applyFill="1" applyBorder="1" applyAlignment="1">
      <alignment vertical="center"/>
    </xf>
    <xf numFmtId="0" fontId="40" fillId="39" borderId="0" xfId="78" applyNumberFormat="1" applyFont="1" applyFill="1" applyBorder="1" applyAlignment="1">
      <alignment horizontal="left" vertical="center"/>
    </xf>
    <xf numFmtId="0" fontId="17" fillId="0" borderId="19" xfId="78" applyFill="1" applyBorder="1" applyAlignment="1">
      <alignment vertical="center"/>
    </xf>
    <xf numFmtId="0" fontId="24" fillId="0" borderId="242" xfId="4" applyFont="1" applyFill="1" applyBorder="1" applyAlignment="1">
      <alignment horizontal="center" vertical="center" wrapText="1"/>
    </xf>
    <xf numFmtId="0" fontId="24" fillId="0" borderId="178" xfId="4" applyFont="1" applyFill="1" applyBorder="1" applyAlignment="1">
      <alignment horizontal="center" vertical="center" wrapText="1"/>
    </xf>
    <xf numFmtId="0" fontId="24" fillId="0" borderId="69" xfId="15" applyFont="1" applyFill="1" applyBorder="1" applyAlignment="1">
      <alignment vertical="center"/>
    </xf>
    <xf numFmtId="49" fontId="95" fillId="0" borderId="72" xfId="171" applyNumberFormat="1" applyFont="1" applyFill="1" applyBorder="1" applyAlignment="1">
      <alignment horizontal="center" vertical="center" shrinkToFit="1"/>
    </xf>
    <xf numFmtId="0" fontId="30" fillId="0" borderId="51" xfId="15" applyFont="1" applyFill="1" applyBorder="1" applyAlignment="1">
      <alignment horizontal="left" vertical="center" wrapText="1"/>
    </xf>
    <xf numFmtId="49" fontId="95" fillId="0" borderId="22" xfId="171" applyNumberFormat="1" applyFont="1" applyFill="1" applyBorder="1" applyAlignment="1">
      <alignment horizontal="center" vertical="center" shrinkToFit="1"/>
    </xf>
    <xf numFmtId="0" fontId="26" fillId="0" borderId="54" xfId="78" applyNumberFormat="1" applyFont="1" applyFill="1" applyBorder="1" applyAlignment="1">
      <alignment horizontal="center" vertical="center"/>
    </xf>
    <xf numFmtId="0" fontId="26" fillId="0" borderId="66" xfId="78" applyNumberFormat="1" applyFont="1" applyFill="1" applyBorder="1" applyAlignment="1">
      <alignment horizontal="center" vertical="center"/>
    </xf>
    <xf numFmtId="0" fontId="26" fillId="0" borderId="43" xfId="78" applyNumberFormat="1" applyFont="1" applyFill="1" applyBorder="1" applyAlignment="1">
      <alignment horizontal="center" vertical="center"/>
    </xf>
    <xf numFmtId="0" fontId="24" fillId="6" borderId="14" xfId="173" applyFont="1" applyFill="1" applyBorder="1" applyAlignment="1">
      <alignment vertical="center" wrapText="1"/>
    </xf>
    <xf numFmtId="0" fontId="24" fillId="6" borderId="14" xfId="173" applyFont="1" applyFill="1" applyBorder="1" applyAlignment="1">
      <alignment vertical="center"/>
    </xf>
    <xf numFmtId="0" fontId="63" fillId="39" borderId="0" xfId="78" applyNumberFormat="1" applyFont="1" applyFill="1" applyBorder="1" applyAlignment="1">
      <alignment horizontal="center" vertical="center"/>
    </xf>
    <xf numFmtId="0" fontId="22" fillId="0" borderId="0" xfId="78" applyFont="1" applyFill="1" applyAlignment="1">
      <alignment vertical="center" readingOrder="2"/>
    </xf>
    <xf numFmtId="2" fontId="63" fillId="39" borderId="84" xfId="78" applyNumberFormat="1" applyFont="1" applyFill="1" applyBorder="1" applyAlignment="1">
      <alignment horizontal="left" vertical="center" readingOrder="2"/>
    </xf>
    <xf numFmtId="0" fontId="51" fillId="0" borderId="8" xfId="173" applyFont="1" applyFill="1" applyBorder="1"/>
    <xf numFmtId="0" fontId="19" fillId="0" borderId="14" xfId="0" applyFont="1" applyFill="1" applyBorder="1" applyAlignment="1">
      <alignment wrapText="1"/>
    </xf>
    <xf numFmtId="0" fontId="101" fillId="0" borderId="260" xfId="180" applyFont="1" applyFill="1" applyBorder="1" applyAlignment="1">
      <alignment vertical="center"/>
    </xf>
    <xf numFmtId="0" fontId="101" fillId="0" borderId="0" xfId="180" applyFont="1" applyFill="1" applyBorder="1" applyAlignment="1">
      <alignment vertical="center"/>
    </xf>
    <xf numFmtId="0" fontId="101" fillId="0" borderId="13" xfId="180" applyFont="1" applyFill="1" applyBorder="1" applyAlignment="1">
      <alignment vertical="center"/>
    </xf>
    <xf numFmtId="0" fontId="24" fillId="0" borderId="12" xfId="180" applyFont="1" applyFill="1" applyBorder="1"/>
    <xf numFmtId="0" fontId="101" fillId="0" borderId="12" xfId="180" applyFont="1" applyFill="1" applyBorder="1" applyAlignment="1">
      <alignment vertical="center"/>
    </xf>
    <xf numFmtId="0" fontId="41" fillId="0" borderId="0" xfId="180" applyFont="1" applyFill="1" applyBorder="1"/>
    <xf numFmtId="0" fontId="18" fillId="0" borderId="0" xfId="180" applyFont="1" applyFill="1" applyAlignment="1">
      <alignment horizontal="left"/>
    </xf>
    <xf numFmtId="0" fontId="24" fillId="0" borderId="97" xfId="180" applyFont="1" applyFill="1" applyBorder="1" applyAlignment="1">
      <alignment vertical="top" wrapText="1"/>
    </xf>
    <xf numFmtId="0" fontId="67" fillId="0" borderId="260" xfId="180" applyFont="1" applyFill="1" applyBorder="1" applyAlignment="1">
      <alignment vertical="center"/>
    </xf>
    <xf numFmtId="0" fontId="24" fillId="0" borderId="10" xfId="180" applyFont="1" applyFill="1" applyBorder="1" applyAlignment="1">
      <alignment horizontal="center" wrapText="1"/>
    </xf>
    <xf numFmtId="165" fontId="24" fillId="0" borderId="10" xfId="15" applyNumberFormat="1" applyFont="1" applyFill="1" applyBorder="1" applyAlignment="1">
      <alignment horizontal="center"/>
    </xf>
    <xf numFmtId="165" fontId="24" fillId="0" borderId="120" xfId="15" applyNumberFormat="1" applyFont="1" applyFill="1" applyBorder="1" applyAlignment="1">
      <alignment horizontal="center"/>
    </xf>
    <xf numFmtId="165" fontId="24" fillId="0" borderId="16" xfId="15" applyNumberFormat="1" applyFont="1" applyFill="1" applyBorder="1" applyAlignment="1">
      <alignment horizontal="center"/>
    </xf>
    <xf numFmtId="165" fontId="24" fillId="0" borderId="264" xfId="15" applyNumberFormat="1" applyFont="1" applyFill="1" applyBorder="1" applyAlignment="1">
      <alignment horizontal="center" vertical="top" wrapText="1"/>
    </xf>
    <xf numFmtId="0" fontId="41" fillId="0" borderId="0" xfId="4" applyFont="1" applyFill="1" applyBorder="1" applyAlignment="1">
      <alignment horizontal="left" vertical="top" wrapText="1"/>
    </xf>
    <xf numFmtId="0" fontId="41" fillId="0" borderId="0" xfId="180" applyFont="1" applyFill="1" applyBorder="1" applyAlignment="1">
      <alignment horizontal="left" vertical="center"/>
    </xf>
    <xf numFmtId="0" fontId="41" fillId="0" borderId="0" xfId="180" applyFont="1" applyFill="1" applyBorder="1" applyAlignment="1">
      <alignment vertical="top"/>
    </xf>
    <xf numFmtId="0" fontId="41" fillId="0" borderId="2" xfId="180" applyFont="1" applyFill="1" applyBorder="1" applyAlignment="1">
      <alignment vertical="center"/>
    </xf>
    <xf numFmtId="0" fontId="41" fillId="0" borderId="0" xfId="180" applyFont="1"/>
    <xf numFmtId="0" fontId="41" fillId="0" borderId="1" xfId="180" applyFont="1" applyFill="1" applyBorder="1" applyAlignment="1">
      <alignment vertical="center" wrapText="1"/>
    </xf>
    <xf numFmtId="0" fontId="41" fillId="0" borderId="1" xfId="180" applyFont="1" applyFill="1" applyBorder="1" applyAlignment="1">
      <alignment horizontal="left" vertical="center"/>
    </xf>
    <xf numFmtId="0" fontId="41" fillId="0" borderId="0" xfId="180" applyFont="1" applyAlignment="1"/>
    <xf numFmtId="0" fontId="41" fillId="0" borderId="1" xfId="180" applyFont="1" applyFill="1" applyBorder="1" applyAlignment="1">
      <alignment vertical="center"/>
    </xf>
    <xf numFmtId="0" fontId="41" fillId="0" borderId="1" xfId="180" applyFont="1" applyFill="1" applyBorder="1"/>
    <xf numFmtId="0" fontId="41" fillId="0" borderId="2" xfId="180" applyFont="1" applyFill="1" applyBorder="1" applyAlignment="1">
      <alignment horizontal="center"/>
    </xf>
    <xf numFmtId="0" fontId="41" fillId="0" borderId="2" xfId="180" applyFont="1" applyFill="1" applyBorder="1"/>
    <xf numFmtId="0" fontId="41" fillId="0" borderId="0" xfId="180" applyFont="1" applyFill="1"/>
    <xf numFmtId="0" fontId="41" fillId="0" borderId="260" xfId="180" applyFont="1" applyFill="1" applyBorder="1"/>
    <xf numFmtId="0" fontId="41" fillId="0" borderId="260" xfId="180" applyFont="1" applyFill="1" applyBorder="1" applyAlignment="1">
      <alignment vertical="top" wrapText="1"/>
    </xf>
    <xf numFmtId="165" fontId="41" fillId="0" borderId="260" xfId="180" applyNumberFormat="1" applyFont="1" applyFill="1" applyBorder="1" applyAlignment="1">
      <alignment horizontal="left" vertical="center"/>
    </xf>
    <xf numFmtId="0" fontId="41" fillId="0" borderId="19" xfId="180" applyFont="1" applyFill="1" applyBorder="1"/>
    <xf numFmtId="0" fontId="41" fillId="0" borderId="22" xfId="180" applyFont="1" applyFill="1" applyBorder="1"/>
    <xf numFmtId="0" fontId="41" fillId="0" borderId="97" xfId="180" applyFont="1" applyFill="1" applyBorder="1"/>
    <xf numFmtId="0" fontId="41" fillId="0" borderId="260" xfId="180" applyFont="1" applyFill="1" applyBorder="1" applyAlignment="1">
      <alignment horizontal="right" vertical="top"/>
    </xf>
    <xf numFmtId="0" fontId="41" fillId="0" borderId="97" xfId="180" applyFont="1" applyFill="1" applyBorder="1" applyAlignment="1">
      <alignment horizontal="right" vertical="top"/>
    </xf>
    <xf numFmtId="0" fontId="41" fillId="0" borderId="24" xfId="180" applyFont="1" applyFill="1" applyBorder="1"/>
    <xf numFmtId="0" fontId="41" fillId="0" borderId="23" xfId="180" applyFont="1" applyFill="1" applyBorder="1"/>
    <xf numFmtId="0" fontId="41" fillId="0" borderId="110" xfId="180" applyFont="1" applyFill="1" applyBorder="1"/>
    <xf numFmtId="0" fontId="40" fillId="0" borderId="23" xfId="180" applyFont="1" applyFill="1" applyBorder="1" applyAlignment="1">
      <alignment vertical="top" wrapText="1"/>
    </xf>
    <xf numFmtId="0" fontId="41" fillId="0" borderId="260" xfId="180" applyFont="1" applyFill="1" applyBorder="1" applyAlignment="1">
      <alignment horizontal="left" vertical="center"/>
    </xf>
    <xf numFmtId="0" fontId="41" fillId="0" borderId="0" xfId="180" applyFont="1" applyFill="1" applyBorder="1" applyAlignment="1">
      <alignment horizontal="right" vertical="center"/>
    </xf>
    <xf numFmtId="0" fontId="41" fillId="0" borderId="0" xfId="180" applyFont="1" applyFill="1" applyBorder="1" applyAlignment="1"/>
    <xf numFmtId="0" fontId="41" fillId="0" borderId="237" xfId="3" applyFont="1" applyFill="1" applyBorder="1"/>
    <xf numFmtId="165" fontId="41" fillId="0" borderId="234" xfId="3" applyNumberFormat="1" applyFont="1" applyFill="1" applyBorder="1" applyAlignment="1">
      <alignment horizontal="center"/>
    </xf>
    <xf numFmtId="165" fontId="41" fillId="0" borderId="235" xfId="3" applyNumberFormat="1" applyFont="1" applyFill="1" applyBorder="1" applyAlignment="1">
      <alignment horizontal="center"/>
    </xf>
    <xf numFmtId="165" fontId="41" fillId="0" borderId="87" xfId="3" applyNumberFormat="1" applyFont="1" applyFill="1" applyBorder="1" applyAlignment="1">
      <alignment horizontal="center" vertical="center"/>
    </xf>
    <xf numFmtId="0" fontId="24" fillId="0" borderId="299" xfId="180" applyFont="1" applyFill="1" applyBorder="1"/>
    <xf numFmtId="0" fontId="24" fillId="0" borderId="299" xfId="180" applyFont="1" applyFill="1" applyBorder="1" applyAlignment="1">
      <alignment vertical="top" wrapText="1"/>
    </xf>
    <xf numFmtId="165" fontId="27" fillId="5" borderId="43" xfId="180" applyNumberFormat="1" applyFont="1" applyFill="1" applyBorder="1" applyAlignment="1">
      <alignment horizontal="center" vertical="center"/>
    </xf>
    <xf numFmtId="165" fontId="18" fillId="0" borderId="42" xfId="180" applyNumberFormat="1" applyFont="1" applyFill="1" applyBorder="1" applyAlignment="1">
      <alignment horizontal="center" vertical="center"/>
    </xf>
    <xf numFmtId="165" fontId="27" fillId="5" borderId="42" xfId="180" applyNumberFormat="1" applyFont="1" applyFill="1" applyBorder="1" applyAlignment="1">
      <alignment horizontal="center" vertical="center"/>
    </xf>
    <xf numFmtId="165" fontId="27" fillId="5" borderId="31" xfId="180" applyNumberFormat="1" applyFont="1" applyFill="1" applyBorder="1" applyAlignment="1">
      <alignment horizontal="center" vertical="center"/>
    </xf>
    <xf numFmtId="0" fontId="24" fillId="0" borderId="10" xfId="180" applyFont="1" applyFill="1" applyBorder="1" applyAlignment="1">
      <alignment horizontal="center"/>
    </xf>
    <xf numFmtId="0" fontId="24" fillId="0" borderId="40" xfId="180" applyFont="1" applyFill="1" applyBorder="1" applyAlignment="1">
      <alignment horizontal="center"/>
    </xf>
    <xf numFmtId="0" fontId="24" fillId="0" borderId="10" xfId="180" applyFont="1" applyFill="1" applyBorder="1" applyAlignment="1">
      <alignment horizontal="center" wrapText="1"/>
    </xf>
    <xf numFmtId="0" fontId="24" fillId="0" borderId="8" xfId="180" applyFont="1" applyFill="1" applyBorder="1" applyAlignment="1">
      <alignment horizontal="center" wrapText="1"/>
    </xf>
    <xf numFmtId="0" fontId="24" fillId="0" borderId="9" xfId="180" applyFont="1" applyFill="1" applyBorder="1" applyAlignment="1">
      <alignment horizontal="center" wrapText="1"/>
    </xf>
    <xf numFmtId="0" fontId="24" fillId="0" borderId="39" xfId="180" applyFont="1" applyFill="1" applyBorder="1" applyAlignment="1">
      <alignment horizontal="center" wrapText="1"/>
    </xf>
    <xf numFmtId="0" fontId="24" fillId="0" borderId="128" xfId="180" applyFont="1" applyFill="1" applyBorder="1" applyAlignment="1">
      <alignment horizontal="center" wrapText="1"/>
    </xf>
    <xf numFmtId="0" fontId="24" fillId="0" borderId="5" xfId="180" applyFont="1" applyFill="1" applyBorder="1" applyAlignment="1">
      <alignment horizontal="center"/>
    </xf>
    <xf numFmtId="0" fontId="24" fillId="0" borderId="5" xfId="180" applyFont="1" applyFill="1" applyBorder="1" applyAlignment="1">
      <alignment horizontal="center" wrapText="1"/>
    </xf>
    <xf numFmtId="0" fontId="24" fillId="0" borderId="6" xfId="180" applyFont="1" applyFill="1" applyBorder="1" applyAlignment="1">
      <alignment horizontal="center" wrapText="1"/>
    </xf>
    <xf numFmtId="0" fontId="24" fillId="0" borderId="25" xfId="180" applyFont="1" applyFill="1" applyBorder="1" applyAlignment="1">
      <alignment horizontal="center" wrapText="1"/>
    </xf>
    <xf numFmtId="0" fontId="41" fillId="0" borderId="0" xfId="180" applyFont="1" applyFill="1" applyBorder="1" applyAlignment="1">
      <alignment horizontal="center" vertical="top" wrapText="1"/>
    </xf>
    <xf numFmtId="0" fontId="41" fillId="0" borderId="2" xfId="180" applyFont="1" applyFill="1" applyBorder="1" applyAlignment="1">
      <alignment horizontal="center" vertical="top" wrapText="1"/>
    </xf>
    <xf numFmtId="0" fontId="41" fillId="0" borderId="2" xfId="180" applyFont="1" applyFill="1" applyBorder="1" applyAlignment="1">
      <alignment horizontal="center" vertical="center" wrapText="1"/>
    </xf>
    <xf numFmtId="0" fontId="41" fillId="0" borderId="2" xfId="180" applyFont="1" applyFill="1" applyBorder="1" applyAlignment="1">
      <alignment horizontal="center" vertical="top"/>
    </xf>
    <xf numFmtId="0" fontId="41" fillId="0" borderId="2" xfId="180" applyFont="1" applyFill="1" applyBorder="1" applyAlignment="1">
      <alignment horizontal="center" vertical="center"/>
    </xf>
    <xf numFmtId="0" fontId="41" fillId="0" borderId="11" xfId="180" applyFont="1" applyFill="1" applyBorder="1" applyAlignment="1">
      <alignment horizontal="center" vertical="center" wrapText="1"/>
    </xf>
    <xf numFmtId="0" fontId="41" fillId="0" borderId="1" xfId="180" applyFont="1" applyFill="1" applyBorder="1" applyAlignment="1">
      <alignment horizontal="center" vertical="center"/>
    </xf>
    <xf numFmtId="0" fontId="41" fillId="0" borderId="0" xfId="180" applyFont="1" applyFill="1" applyBorder="1" applyAlignment="1">
      <alignment horizontal="center" vertical="center"/>
    </xf>
    <xf numFmtId="0" fontId="31" fillId="0" borderId="14" xfId="15" applyFont="1" applyBorder="1" applyAlignment="1">
      <alignment vertical="center" wrapText="1"/>
    </xf>
    <xf numFmtId="0" fontId="41" fillId="0" borderId="237" xfId="3" applyFont="1" applyFill="1" applyBorder="1" applyAlignment="1">
      <alignment horizontal="left" wrapText="1"/>
    </xf>
    <xf numFmtId="2" fontId="67" fillId="13" borderId="40" xfId="180" applyNumberFormat="1" applyFont="1" applyFill="1" applyBorder="1" applyAlignment="1">
      <alignment horizontal="center" vertical="center"/>
    </xf>
    <xf numFmtId="0" fontId="24" fillId="0" borderId="10" xfId="180" applyFont="1" applyFill="1" applyBorder="1" applyAlignment="1">
      <alignment horizontal="center" wrapText="1"/>
    </xf>
    <xf numFmtId="0" fontId="24" fillId="0" borderId="8" xfId="180" applyFont="1" applyFill="1" applyBorder="1" applyAlignment="1">
      <alignment horizontal="center" wrapText="1"/>
    </xf>
    <xf numFmtId="0" fontId="24" fillId="0" borderId="9" xfId="180" applyFont="1" applyFill="1" applyBorder="1" applyAlignment="1">
      <alignment horizontal="center" wrapText="1"/>
    </xf>
    <xf numFmtId="0" fontId="24" fillId="0" borderId="36" xfId="180" applyFont="1" applyFill="1" applyBorder="1" applyAlignment="1">
      <alignment horizontal="center" wrapText="1"/>
    </xf>
    <xf numFmtId="0" fontId="24" fillId="0" borderId="35" xfId="180" applyFont="1" applyFill="1" applyBorder="1" applyAlignment="1">
      <alignment horizontal="center" wrapText="1"/>
    </xf>
    <xf numFmtId="0" fontId="24" fillId="0" borderId="265" xfId="180" applyFont="1" applyFill="1" applyBorder="1" applyAlignment="1">
      <alignment horizontal="center" vertical="center"/>
    </xf>
    <xf numFmtId="0" fontId="24" fillId="0" borderId="9" xfId="180" applyFont="1" applyFill="1" applyBorder="1" applyAlignment="1">
      <alignment horizontal="center" vertical="center"/>
    </xf>
    <xf numFmtId="0" fontId="24" fillId="0" borderId="5" xfId="180" applyFont="1" applyFill="1" applyBorder="1" applyAlignment="1">
      <alignment horizontal="center" wrapText="1"/>
    </xf>
    <xf numFmtId="0" fontId="24" fillId="0" borderId="6" xfId="180" applyFont="1" applyFill="1" applyBorder="1" applyAlignment="1">
      <alignment horizontal="center" wrapText="1"/>
    </xf>
    <xf numFmtId="0" fontId="31" fillId="0" borderId="1" xfId="180" applyFont="1" applyFill="1" applyBorder="1" applyAlignment="1">
      <alignment vertical="top" wrapText="1"/>
    </xf>
    <xf numFmtId="0" fontId="41" fillId="0" borderId="257" xfId="180" applyFont="1" applyFill="1" applyBorder="1" applyAlignment="1">
      <alignment vertical="top" wrapText="1"/>
    </xf>
    <xf numFmtId="0" fontId="41" fillId="0" borderId="306" xfId="180" applyFont="1" applyFill="1" applyBorder="1" applyAlignment="1">
      <alignment horizontal="left" vertical="top" wrapText="1"/>
    </xf>
    <xf numFmtId="0" fontId="41" fillId="0" borderId="306" xfId="180" applyFont="1" applyFill="1" applyBorder="1" applyAlignment="1">
      <alignment vertical="top" wrapText="1"/>
    </xf>
    <xf numFmtId="0" fontId="41" fillId="0" borderId="299" xfId="180" applyFont="1" applyFill="1" applyBorder="1" applyAlignment="1">
      <alignment horizontal="left" vertical="top"/>
    </xf>
    <xf numFmtId="0" fontId="41" fillId="0" borderId="306" xfId="180" applyFont="1" applyFill="1" applyBorder="1" applyAlignment="1">
      <alignment horizontal="left" vertical="top"/>
    </xf>
    <xf numFmtId="0" fontId="41" fillId="0" borderId="306" xfId="180" applyFont="1" applyFill="1" applyBorder="1" applyAlignment="1">
      <alignment horizontal="left" vertical="center"/>
    </xf>
    <xf numFmtId="0" fontId="41" fillId="0" borderId="303" xfId="180" applyFont="1" applyFill="1" applyBorder="1" applyAlignment="1">
      <alignment horizontal="center"/>
    </xf>
    <xf numFmtId="165" fontId="27" fillId="5" borderId="62" xfId="180" applyNumberFormat="1" applyFont="1" applyFill="1" applyBorder="1" applyAlignment="1">
      <alignment horizontal="center" vertical="center"/>
    </xf>
    <xf numFmtId="165" fontId="27" fillId="5" borderId="66" xfId="180" applyNumberFormat="1" applyFont="1" applyFill="1" applyBorder="1" applyAlignment="1">
      <alignment horizontal="center" vertical="center"/>
    </xf>
    <xf numFmtId="165" fontId="18" fillId="0" borderId="66" xfId="180" applyNumberFormat="1" applyFont="1" applyFill="1" applyBorder="1" applyAlignment="1">
      <alignment horizontal="center" vertical="center"/>
    </xf>
    <xf numFmtId="165" fontId="27" fillId="5" borderId="78" xfId="180" applyNumberFormat="1" applyFont="1" applyFill="1" applyBorder="1" applyAlignment="1">
      <alignment horizontal="center" vertical="center"/>
    </xf>
    <xf numFmtId="0" fontId="39" fillId="0" borderId="23" xfId="180" applyFont="1" applyFill="1" applyBorder="1" applyAlignment="1">
      <alignment horizontal="left"/>
    </xf>
    <xf numFmtId="0" fontId="24" fillId="0" borderId="239" xfId="3" applyFont="1" applyFill="1" applyBorder="1" applyAlignment="1">
      <alignment horizontal="center" wrapText="1"/>
    </xf>
    <xf numFmtId="0" fontId="24" fillId="0" borderId="240" xfId="3" applyFont="1" applyFill="1" applyBorder="1" applyAlignment="1">
      <alignment horizontal="center" wrapText="1"/>
    </xf>
    <xf numFmtId="165" fontId="24" fillId="0" borderId="240" xfId="3" applyNumberFormat="1" applyFont="1" applyFill="1" applyBorder="1" applyAlignment="1">
      <alignment horizontal="center" wrapText="1"/>
    </xf>
    <xf numFmtId="0" fontId="24" fillId="0" borderId="12" xfId="3" applyFont="1" applyFill="1" applyBorder="1"/>
    <xf numFmtId="0" fontId="24" fillId="0" borderId="239" xfId="3" applyFont="1" applyBorder="1"/>
    <xf numFmtId="0" fontId="24" fillId="0" borderId="242" xfId="3" applyFont="1" applyBorder="1"/>
    <xf numFmtId="0" fontId="24" fillId="0" borderId="240" xfId="3" applyFont="1" applyBorder="1"/>
    <xf numFmtId="0" fontId="24" fillId="0" borderId="240" xfId="3" applyFont="1" applyBorder="1" applyAlignment="1">
      <alignment horizontal="center"/>
    </xf>
    <xf numFmtId="0" fontId="24" fillId="0" borderId="1" xfId="3" applyFont="1" applyBorder="1"/>
    <xf numFmtId="0" fontId="24" fillId="0" borderId="2" xfId="3" applyFont="1" applyBorder="1"/>
    <xf numFmtId="0" fontId="24" fillId="0" borderId="239" xfId="180" applyFont="1" applyFill="1" applyBorder="1" applyAlignment="1">
      <alignment horizontal="center" wrapText="1"/>
    </xf>
    <xf numFmtId="0" fontId="24" fillId="0" borderId="309" xfId="180" applyFont="1" applyFill="1" applyBorder="1" applyAlignment="1">
      <alignment horizontal="center" wrapText="1"/>
    </xf>
    <xf numFmtId="0" fontId="24" fillId="0" borderId="12" xfId="3" applyFont="1" applyBorder="1"/>
    <xf numFmtId="0" fontId="24" fillId="0" borderId="239" xfId="180" applyFont="1" applyBorder="1"/>
    <xf numFmtId="0" fontId="24" fillId="0" borderId="240" xfId="180" applyFont="1" applyBorder="1"/>
    <xf numFmtId="0" fontId="24" fillId="0" borderId="239" xfId="180" applyFont="1" applyFill="1" applyBorder="1"/>
    <xf numFmtId="0" fontId="24" fillId="0" borderId="240" xfId="180" applyFont="1" applyFill="1" applyBorder="1"/>
    <xf numFmtId="0" fontId="24" fillId="0" borderId="242" xfId="180" applyFont="1" applyFill="1" applyBorder="1"/>
    <xf numFmtId="0" fontId="24" fillId="0" borderId="240" xfId="180" applyFont="1" applyFill="1" applyBorder="1" applyAlignment="1">
      <alignment horizontal="center" vertical="center"/>
    </xf>
    <xf numFmtId="0" fontId="24" fillId="0" borderId="12" xfId="180" applyFont="1" applyBorder="1"/>
    <xf numFmtId="0" fontId="24" fillId="0" borderId="5" xfId="180" applyFont="1" applyFill="1" applyBorder="1"/>
    <xf numFmtId="0" fontId="24" fillId="0" borderId="7" xfId="180" applyFont="1" applyBorder="1" applyAlignment="1">
      <alignment horizontal="center" vertical="center"/>
    </xf>
    <xf numFmtId="0" fontId="24" fillId="0" borderId="120" xfId="3" applyFont="1" applyFill="1" applyBorder="1" applyAlignment="1">
      <alignment horizontal="center" wrapText="1"/>
    </xf>
    <xf numFmtId="0" fontId="24" fillId="0" borderId="121" xfId="3" applyFont="1" applyFill="1" applyBorder="1" applyAlignment="1">
      <alignment horizontal="center" wrapText="1"/>
    </xf>
    <xf numFmtId="165" fontId="24" fillId="0" borderId="310" xfId="3" applyNumberFormat="1" applyFont="1" applyFill="1" applyBorder="1" applyAlignment="1">
      <alignment horizontal="center" wrapText="1"/>
    </xf>
    <xf numFmtId="0" fontId="24" fillId="0" borderId="151" xfId="3" applyFont="1" applyFill="1" applyBorder="1"/>
    <xf numFmtId="0" fontId="24" fillId="0" borderId="120" xfId="3" applyFont="1" applyBorder="1"/>
    <xf numFmtId="0" fontId="24" fillId="0" borderId="122" xfId="3" applyFont="1" applyBorder="1"/>
    <xf numFmtId="0" fontId="24" fillId="0" borderId="121" xfId="3" applyFont="1" applyBorder="1"/>
    <xf numFmtId="0" fontId="24" fillId="0" borderId="121" xfId="3" applyFont="1" applyBorder="1" applyAlignment="1">
      <alignment horizontal="center"/>
    </xf>
    <xf numFmtId="165" fontId="24" fillId="0" borderId="121" xfId="3" applyNumberFormat="1" applyFont="1" applyFill="1" applyBorder="1" applyAlignment="1">
      <alignment horizontal="center" wrapText="1"/>
    </xf>
    <xf numFmtId="0" fontId="24" fillId="0" borderId="120" xfId="180" applyFont="1" applyFill="1" applyBorder="1" applyAlignment="1">
      <alignment horizontal="center" wrapText="1"/>
    </xf>
    <xf numFmtId="0" fontId="24" fillId="0" borderId="311" xfId="180" applyFont="1" applyFill="1" applyBorder="1" applyAlignment="1">
      <alignment horizontal="center" wrapText="1"/>
    </xf>
    <xf numFmtId="0" fontId="24" fillId="0" borderId="151" xfId="3" applyFont="1" applyBorder="1"/>
    <xf numFmtId="0" fontId="24" fillId="0" borderId="120" xfId="180" applyFont="1" applyBorder="1"/>
    <xf numFmtId="0" fontId="24" fillId="0" borderId="121" xfId="180" applyFont="1" applyBorder="1"/>
    <xf numFmtId="0" fontId="24" fillId="0" borderId="122" xfId="180" applyFont="1" applyBorder="1"/>
    <xf numFmtId="0" fontId="24" fillId="0" borderId="120" xfId="180" applyFont="1" applyFill="1" applyBorder="1"/>
    <xf numFmtId="0" fontId="24" fillId="0" borderId="121" xfId="180" applyFont="1" applyBorder="1" applyAlignment="1">
      <alignment horizontal="center" vertical="center"/>
    </xf>
    <xf numFmtId="0" fontId="24" fillId="0" borderId="151" xfId="180" applyFont="1" applyBorder="1"/>
    <xf numFmtId="0" fontId="24" fillId="0" borderId="16" xfId="3" applyFont="1" applyFill="1" applyBorder="1" applyAlignment="1">
      <alignment horizontal="center" wrapText="1"/>
    </xf>
    <xf numFmtId="0" fontId="24" fillId="0" borderId="18" xfId="3" applyFont="1" applyFill="1" applyBorder="1" applyAlignment="1">
      <alignment horizontal="center" wrapText="1"/>
    </xf>
    <xf numFmtId="165" fontId="24" fillId="0" borderId="312" xfId="3" applyNumberFormat="1" applyFont="1" applyFill="1" applyBorder="1" applyAlignment="1">
      <alignment horizontal="center" wrapText="1"/>
    </xf>
    <xf numFmtId="0" fontId="24" fillId="0" borderId="153" xfId="3" applyFont="1" applyFill="1" applyBorder="1"/>
    <xf numFmtId="0" fontId="24" fillId="0" borderId="16" xfId="3" applyFont="1" applyBorder="1"/>
    <xf numFmtId="0" fontId="24" fillId="0" borderId="17" xfId="3" applyFont="1" applyBorder="1"/>
    <xf numFmtId="0" fontId="24" fillId="0" borderId="18" xfId="3" applyFont="1" applyBorder="1"/>
    <xf numFmtId="0" fontId="24" fillId="0" borderId="18" xfId="3" applyFont="1" applyBorder="1" applyAlignment="1">
      <alignment horizontal="center"/>
    </xf>
    <xf numFmtId="165" fontId="24" fillId="0" borderId="18" xfId="3" applyNumberFormat="1" applyFont="1" applyFill="1" applyBorder="1" applyAlignment="1">
      <alignment horizontal="center" wrapText="1"/>
    </xf>
    <xf numFmtId="0" fontId="24" fillId="0" borderId="313" xfId="3" applyFont="1" applyBorder="1"/>
    <xf numFmtId="0" fontId="24" fillId="0" borderId="312" xfId="3" applyFont="1" applyBorder="1"/>
    <xf numFmtId="0" fontId="24" fillId="0" borderId="16" xfId="180" applyFont="1" applyFill="1" applyBorder="1" applyAlignment="1">
      <alignment horizontal="center" wrapText="1"/>
    </xf>
    <xf numFmtId="0" fontId="24" fillId="0" borderId="314" xfId="180" applyFont="1" applyFill="1" applyBorder="1" applyAlignment="1">
      <alignment horizontal="center" wrapText="1"/>
    </xf>
    <xf numFmtId="0" fontId="24" fillId="0" borderId="153" xfId="3" applyFont="1" applyBorder="1"/>
    <xf numFmtId="0" fontId="24" fillId="0" borderId="16" xfId="180" applyFont="1" applyBorder="1"/>
    <xf numFmtId="0" fontId="24" fillId="0" borderId="18" xfId="180" applyFont="1" applyBorder="1"/>
    <xf numFmtId="0" fontId="24" fillId="0" borderId="17" xfId="180" applyFont="1" applyBorder="1"/>
    <xf numFmtId="0" fontId="24" fillId="0" borderId="16" xfId="180" applyFont="1" applyFill="1" applyBorder="1"/>
    <xf numFmtId="0" fontId="24" fillId="0" borderId="18" xfId="180" applyFont="1" applyBorder="1" applyAlignment="1">
      <alignment horizontal="center" vertical="center"/>
    </xf>
    <xf numFmtId="0" fontId="24" fillId="0" borderId="153" xfId="180" applyFont="1" applyBorder="1"/>
    <xf numFmtId="0" fontId="24" fillId="0" borderId="242" xfId="180" applyFont="1" applyBorder="1"/>
    <xf numFmtId="0" fontId="24" fillId="0" borderId="240" xfId="180" applyFont="1" applyBorder="1" applyAlignment="1">
      <alignment horizontal="center" vertical="center"/>
    </xf>
    <xf numFmtId="165" fontId="27" fillId="8" borderId="240" xfId="180" applyNumberFormat="1" applyFont="1" applyFill="1" applyBorder="1" applyAlignment="1">
      <alignment horizontal="center" vertical="center"/>
    </xf>
    <xf numFmtId="0" fontId="24" fillId="0" borderId="242" xfId="180" applyFont="1" applyFill="1" applyBorder="1" applyAlignment="1">
      <alignment horizontal="center" wrapText="1"/>
    </xf>
    <xf numFmtId="9" fontId="24" fillId="0" borderId="239" xfId="162" applyFont="1" applyFill="1" applyBorder="1" applyAlignment="1">
      <alignment horizontal="center" wrapText="1"/>
    </xf>
    <xf numFmtId="9" fontId="24" fillId="0" borderId="242" xfId="162" applyFont="1" applyFill="1" applyBorder="1" applyAlignment="1">
      <alignment horizontal="center" wrapText="1"/>
    </xf>
    <xf numFmtId="0" fontId="24" fillId="0" borderId="239" xfId="180" applyFont="1" applyFill="1" applyBorder="1" applyAlignment="1">
      <alignment horizontal="center"/>
    </xf>
    <xf numFmtId="0" fontId="24" fillId="0" borderId="240" xfId="180" applyFont="1" applyFill="1" applyBorder="1" applyAlignment="1">
      <alignment horizontal="center" wrapText="1"/>
    </xf>
    <xf numFmtId="0" fontId="24" fillId="0" borderId="315" xfId="180" applyFont="1" applyFill="1" applyBorder="1" applyAlignment="1">
      <alignment horizontal="center" wrapText="1"/>
    </xf>
    <xf numFmtId="0" fontId="24" fillId="0" borderId="239" xfId="180" applyFont="1" applyFill="1" applyBorder="1" applyAlignment="1">
      <alignment horizontal="center" wrapText="1"/>
    </xf>
    <xf numFmtId="0" fontId="24" fillId="0" borderId="242" xfId="180" applyFont="1" applyFill="1" applyBorder="1" applyAlignment="1">
      <alignment horizontal="center" wrapText="1"/>
    </xf>
    <xf numFmtId="0" fontId="24" fillId="0" borderId="240" xfId="180" applyFont="1" applyFill="1" applyBorder="1" applyAlignment="1">
      <alignment horizontal="center" wrapText="1"/>
    </xf>
    <xf numFmtId="0" fontId="24" fillId="0" borderId="239" xfId="180" applyFont="1" applyFill="1" applyBorder="1" applyAlignment="1">
      <alignment wrapText="1"/>
    </xf>
    <xf numFmtId="0" fontId="24" fillId="0" borderId="242" xfId="180" applyFont="1" applyFill="1" applyBorder="1" applyAlignment="1">
      <alignment wrapText="1"/>
    </xf>
    <xf numFmtId="0" fontId="24" fillId="0" borderId="55" xfId="180" applyFont="1" applyFill="1" applyBorder="1" applyAlignment="1">
      <alignment horizontal="center" wrapText="1"/>
    </xf>
    <xf numFmtId="0" fontId="24" fillId="0" borderId="185" xfId="180" applyFont="1" applyFill="1" applyBorder="1" applyAlignment="1">
      <alignment horizontal="center" wrapText="1"/>
    </xf>
    <xf numFmtId="0" fontId="24" fillId="0" borderId="316" xfId="180" applyFont="1" applyFill="1" applyBorder="1" applyAlignment="1">
      <alignment horizontal="center" wrapText="1"/>
    </xf>
    <xf numFmtId="0" fontId="24" fillId="0" borderId="178" xfId="180" applyFont="1" applyFill="1" applyBorder="1" applyAlignment="1">
      <alignment horizontal="center" wrapText="1"/>
    </xf>
    <xf numFmtId="165" fontId="27" fillId="8" borderId="7" xfId="180" applyNumberFormat="1" applyFont="1" applyFill="1" applyBorder="1" applyAlignment="1">
      <alignment horizontal="center" vertical="center"/>
    </xf>
    <xf numFmtId="9" fontId="24" fillId="0" borderId="5" xfId="162" applyFont="1" applyFill="1" applyBorder="1" applyAlignment="1">
      <alignment horizontal="center" wrapText="1"/>
    </xf>
    <xf numFmtId="9" fontId="24" fillId="0" borderId="6" xfId="162" applyFont="1" applyFill="1" applyBorder="1" applyAlignment="1">
      <alignment horizontal="center" wrapText="1"/>
    </xf>
    <xf numFmtId="0" fontId="24" fillId="0" borderId="317" xfId="180" applyFont="1" applyFill="1" applyBorder="1" applyAlignment="1">
      <alignment horizontal="center" wrapText="1"/>
    </xf>
    <xf numFmtId="0" fontId="24" fillId="0" borderId="7" xfId="180" applyFont="1" applyFill="1" applyBorder="1" applyAlignment="1">
      <alignment horizontal="center" wrapText="1"/>
    </xf>
    <xf numFmtId="0" fontId="24" fillId="0" borderId="5" xfId="180" applyFont="1" applyFill="1" applyBorder="1" applyAlignment="1">
      <alignment wrapText="1"/>
    </xf>
    <xf numFmtId="0" fontId="24" fillId="0" borderId="6" xfId="180" applyFont="1" applyFill="1" applyBorder="1" applyAlignment="1">
      <alignment wrapText="1"/>
    </xf>
    <xf numFmtId="165" fontId="18" fillId="8" borderId="151" xfId="180" applyNumberFormat="1" applyFont="1" applyFill="1" applyBorder="1" applyAlignment="1">
      <alignment horizontal="center" vertical="center"/>
    </xf>
    <xf numFmtId="0" fontId="24" fillId="0" borderId="122" xfId="180" applyFont="1" applyFill="1" applyBorder="1" applyAlignment="1">
      <alignment horizontal="center" wrapText="1"/>
    </xf>
    <xf numFmtId="9" fontId="24" fillId="0" borderId="120" xfId="162" applyFont="1" applyFill="1" applyBorder="1" applyAlignment="1">
      <alignment horizontal="center" wrapText="1"/>
    </xf>
    <xf numFmtId="9" fontId="24" fillId="0" borderId="122" xfId="162" applyFont="1" applyFill="1" applyBorder="1" applyAlignment="1">
      <alignment horizontal="center" wrapText="1"/>
    </xf>
    <xf numFmtId="0" fontId="24" fillId="0" borderId="120" xfId="180" applyFont="1" applyFill="1" applyBorder="1" applyAlignment="1">
      <alignment horizontal="center"/>
    </xf>
    <xf numFmtId="0" fontId="24" fillId="0" borderId="121" xfId="180" applyFont="1" applyFill="1" applyBorder="1" applyAlignment="1">
      <alignment horizontal="center" wrapText="1"/>
    </xf>
    <xf numFmtId="0" fontId="24" fillId="0" borderId="318" xfId="180" applyFont="1" applyFill="1" applyBorder="1" applyAlignment="1">
      <alignment horizontal="center" wrapText="1"/>
    </xf>
    <xf numFmtId="0" fontId="24" fillId="0" borderId="120" xfId="180" applyFont="1" applyFill="1" applyBorder="1" applyAlignment="1">
      <alignment horizontal="center" wrapText="1"/>
    </xf>
    <xf numFmtId="0" fontId="24" fillId="0" borderId="122" xfId="180" applyFont="1" applyFill="1" applyBorder="1" applyAlignment="1">
      <alignment horizontal="center" wrapText="1"/>
    </xf>
    <xf numFmtId="0" fontId="24" fillId="0" borderId="121" xfId="180" applyFont="1" applyFill="1" applyBorder="1" applyAlignment="1">
      <alignment horizontal="center" wrapText="1"/>
    </xf>
    <xf numFmtId="0" fontId="24" fillId="0" borderId="120" xfId="180" applyFont="1" applyFill="1" applyBorder="1" applyAlignment="1">
      <alignment wrapText="1"/>
    </xf>
    <xf numFmtId="0" fontId="24" fillId="0" borderId="122" xfId="180" applyFont="1" applyFill="1" applyBorder="1" applyAlignment="1">
      <alignment wrapText="1"/>
    </xf>
    <xf numFmtId="0" fontId="24" fillId="0" borderId="124" xfId="180" applyFont="1" applyFill="1" applyBorder="1" applyAlignment="1">
      <alignment horizontal="center" wrapText="1"/>
    </xf>
    <xf numFmtId="0" fontId="24" fillId="0" borderId="188" xfId="180" applyFont="1" applyFill="1" applyBorder="1" applyAlignment="1">
      <alignment horizontal="center" wrapText="1"/>
    </xf>
    <xf numFmtId="0" fontId="24" fillId="0" borderId="319" xfId="180" applyFont="1" applyFill="1" applyBorder="1" applyAlignment="1">
      <alignment horizontal="center" wrapText="1"/>
    </xf>
    <xf numFmtId="0" fontId="24" fillId="0" borderId="123" xfId="180" applyFont="1" applyFill="1" applyBorder="1" applyAlignment="1">
      <alignment horizontal="center" wrapText="1"/>
    </xf>
    <xf numFmtId="165" fontId="18" fillId="8" borderId="14" xfId="180" applyNumberFormat="1" applyFont="1" applyFill="1" applyBorder="1" applyAlignment="1">
      <alignment horizontal="center" vertical="center"/>
    </xf>
    <xf numFmtId="165" fontId="18" fillId="8" borderId="153" xfId="180" applyNumberFormat="1" applyFont="1" applyFill="1" applyBorder="1" applyAlignment="1">
      <alignment horizontal="center" vertical="center"/>
    </xf>
    <xf numFmtId="0" fontId="24" fillId="0" borderId="17" xfId="180" applyFont="1" applyFill="1" applyBorder="1" applyAlignment="1">
      <alignment horizontal="center" wrapText="1"/>
    </xf>
    <xf numFmtId="9" fontId="24" fillId="0" borderId="16" xfId="162" applyFont="1" applyFill="1" applyBorder="1" applyAlignment="1">
      <alignment horizontal="center" wrapText="1"/>
    </xf>
    <xf numFmtId="9" fontId="24" fillId="0" borderId="17" xfId="162" applyFont="1" applyFill="1" applyBorder="1" applyAlignment="1">
      <alignment horizontal="center" wrapText="1"/>
    </xf>
    <xf numFmtId="0" fontId="24" fillId="0" borderId="16" xfId="180" applyFont="1" applyFill="1" applyBorder="1" applyAlignment="1">
      <alignment horizontal="center"/>
    </xf>
    <xf numFmtId="0" fontId="24" fillId="0" borderId="18" xfId="180" applyFont="1" applyFill="1" applyBorder="1" applyAlignment="1">
      <alignment horizontal="center" wrapText="1"/>
    </xf>
    <xf numFmtId="0" fontId="24" fillId="0" borderId="320" xfId="180" applyFont="1" applyFill="1" applyBorder="1" applyAlignment="1">
      <alignment horizontal="center" wrapText="1"/>
    </xf>
    <xf numFmtId="0" fontId="24" fillId="0" borderId="16" xfId="180" applyFont="1" applyFill="1" applyBorder="1" applyAlignment="1">
      <alignment horizontal="center" wrapText="1"/>
    </xf>
    <xf numFmtId="0" fontId="24" fillId="0" borderId="17" xfId="180" applyFont="1" applyFill="1" applyBorder="1" applyAlignment="1">
      <alignment horizontal="center" wrapText="1"/>
    </xf>
    <xf numFmtId="0" fontId="24" fillId="0" borderId="18" xfId="180" applyFont="1" applyFill="1" applyBorder="1" applyAlignment="1">
      <alignment horizontal="center" wrapText="1"/>
    </xf>
    <xf numFmtId="0" fontId="24" fillId="0" borderId="16" xfId="180" applyFont="1" applyFill="1" applyBorder="1" applyAlignment="1">
      <alignment wrapText="1"/>
    </xf>
    <xf numFmtId="0" fontId="24" fillId="0" borderId="17" xfId="180" applyFont="1" applyFill="1" applyBorder="1" applyAlignment="1">
      <alignment wrapText="1"/>
    </xf>
    <xf numFmtId="0" fontId="24" fillId="0" borderId="126" xfId="180" applyFont="1" applyFill="1" applyBorder="1" applyAlignment="1">
      <alignment horizontal="center" wrapText="1"/>
    </xf>
    <xf numFmtId="0" fontId="24" fillId="0" borderId="191" xfId="180" applyFont="1" applyFill="1" applyBorder="1" applyAlignment="1">
      <alignment horizontal="center" wrapText="1"/>
    </xf>
    <xf numFmtId="0" fontId="24" fillId="0" borderId="321" xfId="180" applyFont="1" applyFill="1" applyBorder="1" applyAlignment="1">
      <alignment horizontal="center" wrapText="1"/>
    </xf>
    <xf numFmtId="0" fontId="24" fillId="0" borderId="125" xfId="180" applyFont="1" applyFill="1" applyBorder="1" applyAlignment="1">
      <alignment horizontal="center" wrapText="1"/>
    </xf>
    <xf numFmtId="0" fontId="24" fillId="0" borderId="40" xfId="180" applyFont="1" applyFill="1" applyBorder="1" applyAlignment="1">
      <alignment horizontal="center" wrapText="1"/>
    </xf>
    <xf numFmtId="0" fontId="24" fillId="0" borderId="38" xfId="180" applyFont="1" applyFill="1" applyBorder="1" applyAlignment="1">
      <alignment horizontal="center" wrapText="1"/>
    </xf>
    <xf numFmtId="0" fontId="67" fillId="0" borderId="294" xfId="180" applyFont="1" applyFill="1" applyBorder="1" applyAlignment="1">
      <alignment horizontal="center"/>
    </xf>
    <xf numFmtId="0" fontId="67" fillId="0" borderId="157" xfId="180" applyFont="1" applyFill="1" applyBorder="1" applyAlignment="1">
      <alignment horizontal="center"/>
    </xf>
    <xf numFmtId="0" fontId="41" fillId="0" borderId="304" xfId="180" applyFont="1" applyFill="1" applyBorder="1" applyAlignment="1">
      <alignment horizontal="left" vertical="top"/>
    </xf>
    <xf numFmtId="0" fontId="41" fillId="0" borderId="308" xfId="180" applyFont="1" applyFill="1" applyBorder="1" applyAlignment="1">
      <alignment horizontal="left" vertical="center"/>
    </xf>
    <xf numFmtId="0" fontId="41" fillId="0" borderId="1" xfId="180" applyFont="1" applyFill="1" applyBorder="1" applyAlignment="1">
      <alignment horizontal="center"/>
    </xf>
    <xf numFmtId="0" fontId="2" fillId="0" borderId="0" xfId="628"/>
    <xf numFmtId="0" fontId="114" fillId="0" borderId="0" xfId="628" applyFont="1" applyAlignment="1">
      <alignment horizontal="right"/>
    </xf>
    <xf numFmtId="0" fontId="2" fillId="0" borderId="0" xfId="628" applyBorder="1"/>
    <xf numFmtId="0" fontId="2" fillId="0" borderId="68" xfId="628" applyBorder="1"/>
    <xf numFmtId="0" fontId="2" fillId="0" borderId="0" xfId="628" applyAlignment="1">
      <alignment vertical="center"/>
    </xf>
    <xf numFmtId="0" fontId="67" fillId="0" borderId="53" xfId="15" applyFont="1" applyBorder="1" applyAlignment="1">
      <alignment vertical="center" wrapText="1"/>
    </xf>
    <xf numFmtId="0" fontId="41" fillId="0" borderId="53" xfId="15" applyFont="1" applyBorder="1" applyAlignment="1">
      <alignment vertical="top" wrapText="1"/>
    </xf>
    <xf numFmtId="0" fontId="41" fillId="0" borderId="15" xfId="15" applyFont="1" applyBorder="1" applyAlignment="1">
      <alignment vertical="top" wrapText="1"/>
    </xf>
    <xf numFmtId="0" fontId="41" fillId="0" borderId="77" xfId="15" applyFont="1" applyBorder="1" applyAlignment="1">
      <alignment vertical="top" wrapText="1"/>
    </xf>
    <xf numFmtId="0" fontId="2" fillId="0" borderId="21" xfId="628" applyBorder="1"/>
    <xf numFmtId="0" fontId="2" fillId="0" borderId="23" xfId="628" applyBorder="1"/>
    <xf numFmtId="0" fontId="41" fillId="0" borderId="66" xfId="15" applyFont="1" applyBorder="1" applyAlignment="1">
      <alignment vertical="center" wrapText="1"/>
    </xf>
    <xf numFmtId="0" fontId="31" fillId="0" borderId="33" xfId="15" applyFont="1" applyBorder="1" applyAlignment="1">
      <alignment vertical="center" wrapText="1"/>
    </xf>
    <xf numFmtId="0" fontId="31" fillId="0" borderId="137" xfId="15" applyFont="1" applyBorder="1" applyAlignment="1">
      <alignment vertical="center" wrapText="1"/>
    </xf>
    <xf numFmtId="0" fontId="41" fillId="0" borderId="78" xfId="15" applyFont="1" applyBorder="1" applyAlignment="1">
      <alignment vertical="center" wrapText="1"/>
    </xf>
    <xf numFmtId="0" fontId="31" fillId="0" borderId="159" xfId="15" applyFont="1" applyBorder="1" applyAlignment="1">
      <alignment vertical="center" wrapText="1"/>
    </xf>
    <xf numFmtId="0" fontId="31" fillId="0" borderId="161" xfId="15" applyFont="1" applyBorder="1" applyAlignment="1">
      <alignment vertical="center" wrapText="1"/>
    </xf>
    <xf numFmtId="0" fontId="31" fillId="0" borderId="39" xfId="15" applyFont="1" applyBorder="1" applyAlignment="1">
      <alignment vertical="center" wrapText="1"/>
    </xf>
    <xf numFmtId="0" fontId="31" fillId="0" borderId="49" xfId="15" applyFont="1" applyBorder="1" applyAlignment="1">
      <alignment vertical="center" wrapText="1"/>
    </xf>
    <xf numFmtId="0" fontId="67" fillId="0" borderId="6" xfId="15" applyFont="1" applyBorder="1" applyAlignment="1">
      <alignment vertical="center" wrapText="1"/>
    </xf>
    <xf numFmtId="0" fontId="31" fillId="0" borderId="6" xfId="15" applyFont="1" applyBorder="1" applyAlignment="1">
      <alignment vertical="center" wrapText="1"/>
    </xf>
    <xf numFmtId="0" fontId="2" fillId="0" borderId="0" xfId="628" applyBorder="1" applyAlignment="1">
      <alignment vertical="center"/>
    </xf>
    <xf numFmtId="0" fontId="41" fillId="0" borderId="10" xfId="180" applyFont="1" applyBorder="1"/>
    <xf numFmtId="0" fontId="41" fillId="0" borderId="8" xfId="180" applyFont="1" applyBorder="1"/>
    <xf numFmtId="0" fontId="41" fillId="0" borderId="10" xfId="180" applyFont="1" applyFill="1" applyBorder="1"/>
    <xf numFmtId="0" fontId="41" fillId="0" borderId="8" xfId="180" applyFont="1" applyFill="1" applyBorder="1"/>
    <xf numFmtId="0" fontId="41" fillId="0" borderId="6" xfId="180" applyFont="1" applyFill="1" applyBorder="1"/>
    <xf numFmtId="0" fontId="41" fillId="0" borderId="5" xfId="180" applyFont="1" applyFill="1" applyBorder="1" applyAlignment="1">
      <alignment vertical="top" wrapText="1"/>
    </xf>
    <xf numFmtId="0" fontId="41" fillId="0" borderId="6" xfId="180" applyFont="1" applyFill="1" applyBorder="1" applyAlignment="1">
      <alignment vertical="top" wrapText="1"/>
    </xf>
    <xf numFmtId="0" fontId="41" fillId="0" borderId="7" xfId="180" applyFont="1" applyFill="1" applyBorder="1" applyAlignment="1">
      <alignment vertical="top" wrapText="1"/>
    </xf>
    <xf numFmtId="0" fontId="41" fillId="0" borderId="0" xfId="180" applyFont="1" applyFill="1" applyBorder="1" applyAlignment="1">
      <alignment horizontal="right" vertical="top"/>
    </xf>
    <xf numFmtId="0" fontId="41" fillId="0" borderId="224" xfId="3" applyFont="1" applyFill="1" applyBorder="1"/>
    <xf numFmtId="0" fontId="41" fillId="0" borderId="255" xfId="0" applyFont="1" applyFill="1" applyBorder="1" applyAlignment="1">
      <alignment horizontal="left" vertical="top" wrapText="1"/>
    </xf>
    <xf numFmtId="0" fontId="41" fillId="0" borderId="256" xfId="0" applyFont="1" applyFill="1" applyBorder="1" applyAlignment="1">
      <alignment horizontal="center" vertical="top" wrapText="1"/>
    </xf>
    <xf numFmtId="0" fontId="41" fillId="0" borderId="226" xfId="3" applyFont="1" applyFill="1" applyBorder="1"/>
    <xf numFmtId="0" fontId="41" fillId="0" borderId="213" xfId="3" applyFont="1" applyFill="1" applyBorder="1"/>
    <xf numFmtId="0" fontId="41" fillId="6" borderId="213" xfId="3" applyFont="1" applyFill="1" applyBorder="1"/>
    <xf numFmtId="0" fontId="41" fillId="0" borderId="24" xfId="180" applyFont="1" applyFill="1" applyBorder="1" applyAlignment="1">
      <alignment vertical="top" wrapText="1"/>
    </xf>
    <xf numFmtId="0" fontId="41" fillId="0" borderId="23" xfId="180" applyFont="1" applyFill="1" applyBorder="1" applyAlignment="1">
      <alignment vertical="top" wrapText="1"/>
    </xf>
    <xf numFmtId="0" fontId="40" fillId="0" borderId="0" xfId="3" quotePrefix="1" applyFont="1" applyFill="1" applyBorder="1" applyAlignment="1">
      <alignment vertical="top" wrapText="1"/>
    </xf>
    <xf numFmtId="0" fontId="41" fillId="0" borderId="0" xfId="3" applyFont="1" applyFill="1" applyBorder="1"/>
    <xf numFmtId="0" fontId="41" fillId="0" borderId="0" xfId="3" applyFont="1" applyFill="1" applyBorder="1" applyAlignment="1">
      <alignment horizontal="center"/>
    </xf>
    <xf numFmtId="0" fontId="41" fillId="0" borderId="231" xfId="180" applyFont="1" applyFill="1" applyBorder="1"/>
    <xf numFmtId="0" fontId="41" fillId="0" borderId="135" xfId="180" applyFont="1" applyFill="1" applyBorder="1" applyAlignment="1">
      <alignment horizontal="center" wrapText="1"/>
    </xf>
    <xf numFmtId="0" fontId="41" fillId="0" borderId="1" xfId="3" applyFont="1" applyFill="1" applyBorder="1"/>
    <xf numFmtId="0" fontId="41" fillId="0" borderId="2" xfId="3" applyFont="1" applyFill="1" applyBorder="1"/>
    <xf numFmtId="0" fontId="41" fillId="0" borderId="231" xfId="180" applyFont="1" applyFill="1" applyBorder="1" applyAlignment="1">
      <alignment vertical="top"/>
    </xf>
    <xf numFmtId="0" fontId="41" fillId="0" borderId="135" xfId="180" applyFont="1" applyFill="1" applyBorder="1" applyAlignment="1">
      <alignment vertical="top"/>
    </xf>
    <xf numFmtId="0" fontId="41" fillId="0" borderId="231" xfId="3" applyFont="1" applyFill="1" applyBorder="1" applyAlignment="1">
      <alignment vertical="top" wrapText="1"/>
    </xf>
    <xf numFmtId="0" fontId="41" fillId="0" borderId="225" xfId="3" applyFont="1" applyFill="1" applyBorder="1" applyAlignment="1">
      <alignment horizontal="left"/>
    </xf>
    <xf numFmtId="165" fontId="41" fillId="0" borderId="2" xfId="3" applyNumberFormat="1" applyFont="1" applyFill="1" applyBorder="1" applyAlignment="1">
      <alignment horizontal="center" vertical="top" wrapText="1"/>
    </xf>
    <xf numFmtId="0" fontId="41" fillId="0" borderId="295" xfId="180" applyFont="1" applyFill="1" applyBorder="1"/>
    <xf numFmtId="0" fontId="41" fillId="0" borderId="290" xfId="180" applyFont="1" applyFill="1" applyBorder="1"/>
    <xf numFmtId="0" fontId="41" fillId="0" borderId="296" xfId="180" applyFont="1" applyFill="1" applyBorder="1" applyAlignment="1">
      <alignment horizontal="center"/>
    </xf>
    <xf numFmtId="0" fontId="41" fillId="0" borderId="230" xfId="3" applyFont="1" applyFill="1" applyBorder="1" applyAlignment="1">
      <alignment horizontal="left" vertical="top"/>
    </xf>
    <xf numFmtId="0" fontId="41" fillId="0" borderId="135" xfId="180" applyFont="1" applyFill="1" applyBorder="1" applyAlignment="1">
      <alignment horizontal="right" vertical="top"/>
    </xf>
    <xf numFmtId="0" fontId="111" fillId="6" borderId="237" xfId="3" applyFont="1" applyFill="1" applyBorder="1"/>
    <xf numFmtId="165" fontId="41" fillId="0" borderId="236" xfId="3" applyNumberFormat="1" applyFont="1" applyFill="1" applyBorder="1" applyAlignment="1">
      <alignment horizontal="center" vertical="top"/>
    </xf>
    <xf numFmtId="0" fontId="41" fillId="0" borderId="135" xfId="180" applyFont="1" applyFill="1" applyBorder="1" applyAlignment="1">
      <alignment horizontal="center"/>
    </xf>
    <xf numFmtId="0" fontId="41" fillId="0" borderId="295" xfId="3" applyFont="1" applyFill="1" applyBorder="1"/>
    <xf numFmtId="0" fontId="41" fillId="0" borderId="290" xfId="3" applyFont="1" applyFill="1" applyBorder="1"/>
    <xf numFmtId="0" fontId="41" fillId="0" borderId="296" xfId="3" applyFont="1" applyFill="1" applyBorder="1" applyAlignment="1">
      <alignment horizontal="center"/>
    </xf>
    <xf numFmtId="0" fontId="41" fillId="0" borderId="230" xfId="180" applyFont="1" applyFill="1" applyBorder="1"/>
    <xf numFmtId="0" fontId="41" fillId="0" borderId="163" xfId="3" applyFont="1" applyFill="1" applyBorder="1" applyAlignment="1">
      <alignment horizontal="left" wrapText="1"/>
    </xf>
    <xf numFmtId="0" fontId="40" fillId="0" borderId="236" xfId="3" applyFont="1" applyFill="1" applyBorder="1" applyAlignment="1">
      <alignment vertical="center" wrapText="1"/>
    </xf>
    <xf numFmtId="0" fontId="41" fillId="0" borderId="163" xfId="3" applyFont="1" applyFill="1" applyBorder="1"/>
    <xf numFmtId="0" fontId="41" fillId="0" borderId="235" xfId="3" applyFont="1" applyFill="1" applyBorder="1" applyAlignment="1">
      <alignment horizontal="center"/>
    </xf>
    <xf numFmtId="0" fontId="41" fillId="0" borderId="1" xfId="3" applyFont="1" applyFill="1" applyBorder="1" applyAlignment="1">
      <alignment vertical="top"/>
    </xf>
    <xf numFmtId="165" fontId="41" fillId="0" borderId="2" xfId="3" applyNumberFormat="1" applyFont="1" applyFill="1" applyBorder="1" applyAlignment="1">
      <alignment horizontal="center" vertical="top"/>
    </xf>
    <xf numFmtId="0" fontId="41" fillId="6" borderId="0" xfId="3" applyFont="1" applyFill="1" applyBorder="1"/>
    <xf numFmtId="0" fontId="41" fillId="0" borderId="295" xfId="180" applyFont="1" applyFill="1" applyBorder="1" applyAlignment="1">
      <alignment vertical="top"/>
    </xf>
    <xf numFmtId="0" fontId="41" fillId="0" borderId="290" xfId="180" applyFont="1" applyFill="1" applyBorder="1" applyAlignment="1">
      <alignment vertical="top"/>
    </xf>
    <xf numFmtId="0" fontId="41" fillId="0" borderId="296" xfId="180" applyFont="1" applyFill="1" applyBorder="1" applyAlignment="1">
      <alignment horizontal="center" vertical="top"/>
    </xf>
    <xf numFmtId="0" fontId="41" fillId="0" borderId="9" xfId="180" applyFont="1" applyFill="1" applyBorder="1" applyAlignment="1">
      <alignment horizontal="center"/>
    </xf>
    <xf numFmtId="0" fontId="41" fillId="0" borderId="14" xfId="180" applyFont="1" applyFill="1" applyBorder="1" applyAlignment="1">
      <alignment horizontal="center"/>
    </xf>
    <xf numFmtId="0" fontId="41" fillId="0" borderId="1" xfId="3" applyFont="1" applyFill="1" applyBorder="1" applyAlignment="1">
      <alignment horizontal="left" wrapText="1"/>
    </xf>
    <xf numFmtId="0" fontId="40" fillId="0" borderId="2" xfId="3" applyFont="1" applyFill="1" applyBorder="1" applyAlignment="1">
      <alignment vertical="center" wrapText="1"/>
    </xf>
    <xf numFmtId="0" fontId="41" fillId="0" borderId="236" xfId="3" applyFont="1" applyFill="1" applyBorder="1" applyAlignment="1">
      <alignment horizontal="center"/>
    </xf>
    <xf numFmtId="165" fontId="41" fillId="0" borderId="0" xfId="180" applyNumberFormat="1" applyFont="1" applyFill="1" applyBorder="1" applyAlignment="1">
      <alignment horizontal="right" vertical="center"/>
    </xf>
    <xf numFmtId="0" fontId="41" fillId="6" borderId="227" xfId="180" applyNumberFormat="1" applyFont="1" applyFill="1" applyBorder="1" applyAlignment="1">
      <alignment horizontal="center"/>
    </xf>
    <xf numFmtId="0" fontId="31" fillId="0" borderId="290" xfId="180" applyFont="1" applyFill="1" applyBorder="1" applyAlignment="1">
      <alignment vertical="top"/>
    </xf>
    <xf numFmtId="165" fontId="41" fillId="0" borderId="2" xfId="3" applyNumberFormat="1" applyFont="1" applyFill="1" applyBorder="1" applyAlignment="1">
      <alignment horizontal="center"/>
    </xf>
    <xf numFmtId="0" fontId="41" fillId="0" borderId="2" xfId="3" applyFont="1" applyFill="1" applyBorder="1" applyAlignment="1">
      <alignment horizontal="center"/>
    </xf>
    <xf numFmtId="0" fontId="41" fillId="0" borderId="0" xfId="3" applyFont="1" applyFill="1"/>
    <xf numFmtId="0" fontId="41" fillId="0" borderId="45" xfId="180" applyNumberFormat="1" applyFont="1" applyFill="1" applyBorder="1" applyAlignment="1">
      <alignment horizontal="center"/>
    </xf>
    <xf numFmtId="0" fontId="41" fillId="0" borderId="1" xfId="180" applyFont="1" applyFill="1" applyBorder="1" applyAlignment="1">
      <alignment vertical="top"/>
    </xf>
    <xf numFmtId="0" fontId="41" fillId="0" borderId="15" xfId="3" applyFont="1" applyFill="1" applyBorder="1"/>
    <xf numFmtId="0" fontId="31" fillId="0" borderId="0" xfId="180" applyFont="1" applyFill="1" applyBorder="1"/>
    <xf numFmtId="0" fontId="41" fillId="0" borderId="15" xfId="3" applyFont="1" applyFill="1" applyBorder="1" applyAlignment="1">
      <alignment vertical="center" wrapText="1"/>
    </xf>
    <xf numFmtId="0" fontId="31" fillId="0" borderId="1" xfId="180" applyFont="1" applyFill="1" applyBorder="1" applyAlignment="1">
      <alignment vertical="top"/>
    </xf>
    <xf numFmtId="0" fontId="31" fillId="0" borderId="0" xfId="180" applyFont="1" applyFill="1" applyBorder="1" applyAlignment="1">
      <alignment vertical="top"/>
    </xf>
    <xf numFmtId="0" fontId="31" fillId="0" borderId="2" xfId="180" applyFont="1" applyFill="1" applyBorder="1" applyAlignment="1">
      <alignment horizontal="center" vertical="top"/>
    </xf>
    <xf numFmtId="0" fontId="40" fillId="0" borderId="5" xfId="3" applyFont="1" applyFill="1" applyBorder="1" applyAlignment="1">
      <alignment horizontal="center" vertical="center" wrapText="1"/>
    </xf>
    <xf numFmtId="0" fontId="40" fillId="0" borderId="6" xfId="3" applyFont="1" applyFill="1" applyBorder="1" applyAlignment="1">
      <alignment horizontal="center" vertical="center" wrapText="1"/>
    </xf>
    <xf numFmtId="0" fontId="40" fillId="0" borderId="0" xfId="3" applyFont="1" applyFill="1" applyBorder="1" applyAlignment="1">
      <alignment horizontal="center" vertical="center" wrapText="1"/>
    </xf>
    <xf numFmtId="165" fontId="41" fillId="0" borderId="7" xfId="3" applyNumberFormat="1" applyFont="1" applyFill="1" applyBorder="1" applyAlignment="1">
      <alignment horizontal="center" vertical="top"/>
    </xf>
    <xf numFmtId="0" fontId="41" fillId="0" borderId="0" xfId="180" applyFont="1" applyFill="1" applyBorder="1" applyAlignment="1">
      <alignment vertical="center"/>
    </xf>
    <xf numFmtId="0" fontId="31" fillId="0" borderId="15" xfId="180" applyFont="1" applyFill="1" applyBorder="1" applyAlignment="1">
      <alignment horizontal="center" vertical="top" wrapText="1"/>
    </xf>
    <xf numFmtId="0" fontId="41" fillId="0" borderId="237" xfId="3" applyFont="1" applyFill="1" applyBorder="1" applyAlignment="1">
      <alignment vertical="center"/>
    </xf>
    <xf numFmtId="0" fontId="41" fillId="0" borderId="213" xfId="3" applyFont="1" applyFill="1" applyBorder="1" applyAlignment="1">
      <alignment vertical="center"/>
    </xf>
    <xf numFmtId="0" fontId="40" fillId="0" borderId="1" xfId="3" quotePrefix="1" applyFont="1" applyFill="1" applyBorder="1" applyAlignment="1">
      <alignment vertical="center" wrapText="1"/>
    </xf>
    <xf numFmtId="0" fontId="41" fillId="0" borderId="234" xfId="3" applyFont="1" applyFill="1" applyBorder="1" applyAlignment="1">
      <alignment vertical="center"/>
    </xf>
    <xf numFmtId="0" fontId="31" fillId="0" borderId="15" xfId="180" applyFont="1" applyFill="1" applyBorder="1" applyAlignment="1">
      <alignment horizontal="center" vertical="center" wrapText="1"/>
    </xf>
    <xf numFmtId="0" fontId="41" fillId="0" borderId="15" xfId="180" applyFont="1" applyFill="1" applyBorder="1" applyAlignment="1">
      <alignment horizontal="center" vertical="center" wrapText="1"/>
    </xf>
    <xf numFmtId="0" fontId="41" fillId="0" borderId="305" xfId="180" applyFont="1" applyFill="1" applyBorder="1" applyAlignment="1">
      <alignment vertical="top" wrapText="1"/>
    </xf>
    <xf numFmtId="0" fontId="41" fillId="0" borderId="304" xfId="180" applyFont="1" applyFill="1" applyBorder="1" applyAlignment="1">
      <alignment vertical="top" wrapText="1"/>
    </xf>
    <xf numFmtId="0" fontId="41" fillId="0" borderId="294" xfId="180" applyFont="1" applyFill="1" applyBorder="1" applyAlignment="1">
      <alignment vertical="top" wrapText="1"/>
    </xf>
    <xf numFmtId="0" fontId="41" fillId="0" borderId="305" xfId="3" applyFont="1" applyFill="1" applyBorder="1" applyAlignment="1">
      <alignment vertical="center"/>
    </xf>
    <xf numFmtId="0" fontId="41" fillId="0" borderId="304" xfId="3" applyFont="1" applyFill="1" applyBorder="1" applyAlignment="1">
      <alignment vertical="center"/>
    </xf>
    <xf numFmtId="0" fontId="24" fillId="0" borderId="305" xfId="3" applyFont="1" applyFill="1" applyBorder="1"/>
    <xf numFmtId="0" fontId="24" fillId="0" borderId="304" xfId="180" applyFont="1" applyFill="1" applyBorder="1"/>
    <xf numFmtId="0" fontId="24" fillId="0" borderId="278" xfId="3" applyFont="1" applyFill="1" applyBorder="1"/>
    <xf numFmtId="0" fontId="24" fillId="0" borderId="300" xfId="180" applyFont="1" applyFill="1" applyBorder="1"/>
    <xf numFmtId="166" fontId="36" fillId="3" borderId="6" xfId="180" applyNumberFormat="1" applyFont="1" applyFill="1" applyBorder="1" applyAlignment="1">
      <alignment horizontal="center"/>
    </xf>
    <xf numFmtId="0" fontId="31" fillId="0" borderId="71" xfId="3" applyFont="1" applyFill="1" applyBorder="1" applyAlignment="1">
      <alignment horizontal="right" vertical="top"/>
    </xf>
    <xf numFmtId="166" fontId="40" fillId="0" borderId="45" xfId="3" quotePrefix="1" applyNumberFormat="1" applyFont="1" applyFill="1" applyBorder="1" applyAlignment="1">
      <alignment horizontal="center"/>
    </xf>
    <xf numFmtId="0" fontId="31" fillId="0" borderId="1" xfId="3" applyFont="1" applyFill="1" applyBorder="1" applyAlignment="1">
      <alignment horizontal="right" vertical="top"/>
    </xf>
    <xf numFmtId="166" fontId="41" fillId="0" borderId="2" xfId="3" applyNumberFormat="1" applyFont="1" applyFill="1" applyBorder="1" applyAlignment="1">
      <alignment horizontal="center"/>
    </xf>
    <xf numFmtId="0" fontId="41" fillId="0" borderId="1" xfId="3" applyFont="1" applyFill="1" applyBorder="1" applyAlignment="1">
      <alignment horizontal="left" vertical="top"/>
    </xf>
    <xf numFmtId="0" fontId="41" fillId="0" borderId="2" xfId="3" applyNumberFormat="1" applyFont="1" applyFill="1" applyBorder="1" applyAlignment="1">
      <alignment horizontal="center"/>
    </xf>
    <xf numFmtId="0" fontId="41" fillId="0" borderId="231" xfId="3" applyFont="1" applyFill="1" applyBorder="1" applyAlignment="1">
      <alignment vertical="center" wrapText="1"/>
    </xf>
    <xf numFmtId="0" fontId="41" fillId="0" borderId="139" xfId="3" applyNumberFormat="1" applyFont="1" applyFill="1" applyBorder="1" applyAlignment="1">
      <alignment horizontal="center" vertical="center"/>
    </xf>
    <xf numFmtId="0" fontId="41" fillId="0" borderId="230" xfId="3" applyFont="1" applyFill="1" applyBorder="1" applyAlignment="1">
      <alignment horizontal="left" vertical="center"/>
    </xf>
    <xf numFmtId="0" fontId="41" fillId="0" borderId="139" xfId="3" applyNumberFormat="1" applyFont="1" applyFill="1" applyBorder="1" applyAlignment="1">
      <alignment horizontal="left" vertical="center"/>
    </xf>
    <xf numFmtId="0" fontId="40" fillId="0" borderId="139" xfId="3" applyNumberFormat="1" applyFont="1" applyFill="1" applyBorder="1" applyAlignment="1">
      <alignment horizontal="center" vertical="center"/>
    </xf>
    <xf numFmtId="2" fontId="67" fillId="13" borderId="12" xfId="3" applyNumberFormat="1" applyFont="1" applyFill="1" applyBorder="1" applyAlignment="1">
      <alignment horizontal="center" wrapText="1"/>
    </xf>
    <xf numFmtId="0" fontId="40" fillId="0" borderId="294" xfId="180" applyFont="1" applyFill="1" applyBorder="1" applyAlignment="1">
      <alignment horizontal="center"/>
    </xf>
    <xf numFmtId="2" fontId="67" fillId="13" borderId="49" xfId="180" applyNumberFormat="1" applyFont="1" applyFill="1" applyBorder="1" applyAlignment="1">
      <alignment horizontal="center" vertical="center"/>
    </xf>
    <xf numFmtId="0" fontId="41" fillId="0" borderId="305" xfId="3" applyFont="1" applyFill="1" applyBorder="1" applyAlignment="1">
      <alignment horizontal="left" vertical="top"/>
    </xf>
    <xf numFmtId="0" fontId="31" fillId="0" borderId="294" xfId="180" applyFont="1" applyFill="1" applyBorder="1" applyAlignment="1">
      <alignment horizontal="right"/>
    </xf>
    <xf numFmtId="0" fontId="24" fillId="0" borderId="0" xfId="180" applyFont="1" applyFill="1" applyBorder="1" applyAlignment="1">
      <alignment horizontal="right" vertical="top" wrapText="1"/>
    </xf>
    <xf numFmtId="0" fontId="67" fillId="13" borderId="74" xfId="180" applyFont="1" applyFill="1" applyBorder="1" applyAlignment="1">
      <alignment horizontal="center" vertical="center" wrapText="1"/>
    </xf>
    <xf numFmtId="2" fontId="67" fillId="13" borderId="248" xfId="180" applyNumberFormat="1" applyFont="1" applyFill="1" applyBorder="1" applyAlignment="1">
      <alignment horizontal="center" vertical="center" wrapText="1"/>
    </xf>
    <xf numFmtId="0" fontId="41" fillId="0" borderId="228" xfId="180" applyFont="1" applyFill="1" applyBorder="1" applyAlignment="1">
      <alignment horizontal="left" vertical="top" wrapText="1"/>
    </xf>
    <xf numFmtId="0" fontId="41" fillId="0" borderId="213" xfId="180" applyFont="1" applyFill="1" applyBorder="1" applyAlignment="1">
      <alignment horizontal="right"/>
    </xf>
    <xf numFmtId="0" fontId="41" fillId="0" borderId="230" xfId="180" applyFont="1" applyFill="1" applyBorder="1" applyAlignment="1">
      <alignment horizontal="left" vertical="top" wrapText="1"/>
    </xf>
    <xf numFmtId="0" fontId="41" fillId="0" borderId="231" xfId="180" applyFont="1" applyFill="1" applyBorder="1" applyAlignment="1">
      <alignment horizontal="left" vertical="top" wrapText="1"/>
    </xf>
    <xf numFmtId="0" fontId="67" fillId="13" borderId="74" xfId="180" applyFont="1" applyFill="1" applyBorder="1" applyAlignment="1">
      <alignment vertical="top" wrapText="1"/>
    </xf>
    <xf numFmtId="0" fontId="67" fillId="13" borderId="73" xfId="180" applyFont="1" applyFill="1" applyBorder="1" applyAlignment="1">
      <alignment vertical="top" wrapText="1"/>
    </xf>
    <xf numFmtId="0" fontId="24" fillId="0" borderId="36" xfId="180" applyFont="1" applyFill="1" applyBorder="1" applyAlignment="1">
      <alignment vertical="center"/>
    </xf>
    <xf numFmtId="0" fontId="24" fillId="0" borderId="35" xfId="180" applyFont="1" applyFill="1" applyBorder="1" applyAlignment="1">
      <alignment vertical="center"/>
    </xf>
    <xf numFmtId="0" fontId="40" fillId="0" borderId="289" xfId="180" applyFont="1" applyFill="1" applyBorder="1" applyAlignment="1">
      <alignment horizontal="left" vertical="top"/>
    </xf>
    <xf numFmtId="0" fontId="40" fillId="0" borderId="254" xfId="180" applyFont="1" applyFill="1" applyBorder="1" applyAlignment="1">
      <alignment horizontal="left" vertical="top"/>
    </xf>
    <xf numFmtId="0" fontId="41" fillId="0" borderId="135" xfId="180" applyFont="1" applyFill="1" applyBorder="1" applyAlignment="1">
      <alignment horizontal="left" vertical="top"/>
    </xf>
    <xf numFmtId="0" fontId="41" fillId="0" borderId="295" xfId="180" applyFont="1" applyFill="1" applyBorder="1" applyAlignment="1">
      <alignment horizontal="left"/>
    </xf>
    <xf numFmtId="0" fontId="41" fillId="0" borderId="290" xfId="180" applyFont="1" applyFill="1" applyBorder="1" applyAlignment="1">
      <alignment horizontal="center"/>
    </xf>
    <xf numFmtId="0" fontId="41" fillId="0" borderId="271" xfId="0" applyFont="1" applyBorder="1" applyAlignment="1">
      <alignment vertical="top"/>
    </xf>
    <xf numFmtId="0" fontId="41" fillId="0" borderId="293" xfId="0" applyFont="1" applyBorder="1" applyAlignment="1">
      <alignment vertical="top"/>
    </xf>
    <xf numFmtId="0" fontId="41" fillId="0" borderId="231" xfId="2" applyFont="1" applyFill="1" applyBorder="1" applyAlignment="1">
      <alignment vertical="top"/>
    </xf>
    <xf numFmtId="0" fontId="41" fillId="0" borderId="232" xfId="2" applyFont="1" applyFill="1" applyBorder="1" applyAlignment="1">
      <alignment vertical="top"/>
    </xf>
    <xf numFmtId="0" fontId="41" fillId="0" borderId="232" xfId="180" applyFont="1" applyFill="1" applyBorder="1"/>
    <xf numFmtId="0" fontId="41" fillId="0" borderId="230" xfId="2" applyFont="1" applyFill="1" applyBorder="1" applyAlignment="1">
      <alignment vertical="top"/>
    </xf>
    <xf numFmtId="0" fontId="41" fillId="0" borderId="135" xfId="2" applyFont="1" applyFill="1" applyBorder="1" applyAlignment="1">
      <alignment vertical="top"/>
    </xf>
    <xf numFmtId="0" fontId="41" fillId="0" borderId="1" xfId="180" applyFont="1" applyFill="1" applyBorder="1" applyAlignment="1"/>
    <xf numFmtId="0" fontId="41" fillId="0" borderId="1" xfId="180" applyFont="1" applyFill="1" applyBorder="1" applyAlignment="1">
      <alignment horizontal="right" vertical="top"/>
    </xf>
    <xf numFmtId="0" fontId="41" fillId="0" borderId="230" xfId="180" applyFont="1" applyFill="1" applyBorder="1" applyAlignment="1"/>
    <xf numFmtId="0" fontId="41" fillId="0" borderId="139" xfId="180" applyFont="1" applyFill="1" applyBorder="1" applyAlignment="1">
      <alignment horizontal="center"/>
    </xf>
    <xf numFmtId="0" fontId="41" fillId="0" borderId="255" xfId="2" applyFont="1" applyFill="1" applyBorder="1" applyAlignment="1">
      <alignment vertical="top"/>
    </xf>
    <xf numFmtId="0" fontId="41" fillId="0" borderId="260" xfId="2" applyFont="1" applyFill="1" applyBorder="1" applyAlignment="1">
      <alignment vertical="top"/>
    </xf>
    <xf numFmtId="0" fontId="41" fillId="0" borderId="290" xfId="180" applyFont="1" applyFill="1" applyBorder="1" applyAlignment="1">
      <alignment horizontal="center" wrapText="1"/>
    </xf>
    <xf numFmtId="0" fontId="41" fillId="0" borderId="71" xfId="180" applyFont="1" applyFill="1" applyBorder="1" applyAlignment="1"/>
    <xf numFmtId="0" fontId="41" fillId="0" borderId="2" xfId="180" applyFont="1" applyFill="1" applyBorder="1" applyAlignment="1">
      <alignment horizontal="right" vertical="top"/>
    </xf>
    <xf numFmtId="165" fontId="41" fillId="0" borderId="135" xfId="180" applyNumberFormat="1" applyFont="1" applyFill="1" applyBorder="1" applyAlignment="1">
      <alignment horizontal="center" vertical="top"/>
    </xf>
    <xf numFmtId="0" fontId="41" fillId="0" borderId="213" xfId="180" applyFont="1" applyFill="1" applyBorder="1" applyAlignment="1"/>
    <xf numFmtId="0" fontId="40" fillId="0" borderId="1" xfId="180" applyFont="1" applyFill="1" applyBorder="1" applyAlignment="1">
      <alignment horizontal="center" vertical="top"/>
    </xf>
    <xf numFmtId="0" fontId="40" fillId="0" borderId="0" xfId="180" applyFont="1" applyFill="1" applyBorder="1" applyAlignment="1">
      <alignment horizontal="center" vertical="top"/>
    </xf>
    <xf numFmtId="0" fontId="40" fillId="0" borderId="2" xfId="180" applyFont="1" applyFill="1" applyBorder="1" applyAlignment="1">
      <alignment horizontal="center"/>
    </xf>
    <xf numFmtId="0" fontId="41" fillId="0" borderId="15" xfId="180" applyFont="1" applyFill="1" applyBorder="1" applyAlignment="1"/>
    <xf numFmtId="0" fontId="40" fillId="0" borderId="1" xfId="180" applyFont="1" applyFill="1" applyBorder="1" applyAlignment="1">
      <alignment horizontal="center"/>
    </xf>
    <xf numFmtId="0" fontId="40" fillId="0" borderId="0" xfId="180" applyFont="1" applyFill="1" applyBorder="1" applyAlignment="1">
      <alignment horizontal="center"/>
    </xf>
    <xf numFmtId="0" fontId="41" fillId="0" borderId="233" xfId="180" applyFont="1" applyFill="1" applyBorder="1" applyAlignment="1">
      <alignment horizontal="center" vertical="top"/>
    </xf>
    <xf numFmtId="0" fontId="41" fillId="0" borderId="0" xfId="180" applyFont="1" applyFill="1" applyBorder="1" applyAlignment="1">
      <alignment horizontal="center"/>
    </xf>
    <xf numFmtId="0" fontId="31" fillId="0" borderId="2" xfId="180" applyFont="1" applyFill="1" applyBorder="1" applyAlignment="1">
      <alignment horizontal="center"/>
    </xf>
    <xf numFmtId="0" fontId="41" fillId="0" borderId="290" xfId="180" applyFont="1" applyFill="1" applyBorder="1" applyAlignment="1">
      <alignment horizontal="center" vertical="center"/>
    </xf>
    <xf numFmtId="0" fontId="41" fillId="0" borderId="257" xfId="0" applyFont="1" applyBorder="1" applyAlignment="1">
      <alignment vertical="top" wrapText="1"/>
    </xf>
    <xf numFmtId="0" fontId="41" fillId="0" borderId="254" xfId="0" applyFont="1" applyBorder="1" applyAlignment="1">
      <alignment vertical="top" wrapText="1"/>
    </xf>
    <xf numFmtId="0" fontId="41" fillId="0" borderId="295" xfId="180" applyFont="1" applyFill="1" applyBorder="1" applyAlignment="1">
      <alignment horizontal="left" vertical="top"/>
    </xf>
    <xf numFmtId="0" fontId="41" fillId="0" borderId="290" xfId="180" applyFont="1" applyFill="1" applyBorder="1" applyAlignment="1">
      <alignment horizontal="center" vertical="center" wrapText="1"/>
    </xf>
    <xf numFmtId="0" fontId="31" fillId="0" borderId="290" xfId="180" applyFont="1" applyFill="1" applyBorder="1" applyAlignment="1">
      <alignment horizontal="left" vertical="center" wrapText="1"/>
    </xf>
    <xf numFmtId="0" fontId="41" fillId="0" borderId="296" xfId="180" applyFont="1" applyFill="1" applyBorder="1" applyAlignment="1">
      <alignment horizontal="center" vertical="center"/>
    </xf>
    <xf numFmtId="0" fontId="41" fillId="0" borderId="2" xfId="180" applyFont="1" applyFill="1" applyBorder="1" applyAlignment="1">
      <alignment vertical="top"/>
    </xf>
    <xf numFmtId="0" fontId="41" fillId="0" borderId="295" xfId="180" applyFont="1" applyFill="1" applyBorder="1" applyAlignment="1">
      <alignment horizontal="left" vertical="center"/>
    </xf>
    <xf numFmtId="0" fontId="41" fillId="0" borderId="296" xfId="180" applyFont="1" applyFill="1" applyBorder="1" applyAlignment="1">
      <alignment horizontal="left" vertical="center" wrapText="1"/>
    </xf>
    <xf numFmtId="0" fontId="31" fillId="0" borderId="15" xfId="180" applyFont="1" applyFill="1" applyBorder="1" applyAlignment="1">
      <alignment horizontal="center"/>
    </xf>
    <xf numFmtId="0" fontId="41" fillId="0" borderId="15" xfId="180" applyFont="1" applyFill="1" applyBorder="1" applyAlignment="1">
      <alignment vertical="center"/>
    </xf>
    <xf numFmtId="0" fontId="41" fillId="0" borderId="15" xfId="180" applyFont="1" applyFill="1" applyBorder="1" applyAlignment="1">
      <alignment vertical="top" wrapText="1"/>
    </xf>
    <xf numFmtId="0" fontId="41" fillId="0" borderId="295" xfId="180" applyFont="1" applyFill="1" applyBorder="1" applyAlignment="1"/>
    <xf numFmtId="0" fontId="31" fillId="0" borderId="290" xfId="180" applyFont="1" applyFill="1" applyBorder="1" applyAlignment="1">
      <alignment horizontal="right" vertical="center" wrapText="1"/>
    </xf>
    <xf numFmtId="0" fontId="41" fillId="0" borderId="254" xfId="180" applyFont="1" applyFill="1" applyBorder="1" applyAlignment="1"/>
    <xf numFmtId="0" fontId="31" fillId="6" borderId="15" xfId="180" applyFont="1" applyFill="1" applyBorder="1" applyAlignment="1">
      <alignment horizontal="center" vertical="top" wrapText="1"/>
    </xf>
    <xf numFmtId="0" fontId="41" fillId="0" borderId="271" xfId="0" applyFont="1" applyBorder="1" applyAlignment="1">
      <alignment vertical="top" wrapText="1"/>
    </xf>
    <xf numFmtId="0" fontId="31" fillId="0" borderId="1" xfId="180" applyFont="1" applyFill="1" applyBorder="1" applyAlignment="1">
      <alignment horizontal="center"/>
    </xf>
    <xf numFmtId="0" fontId="31" fillId="0" borderId="0" xfId="180" applyFont="1" applyFill="1" applyBorder="1" applyAlignment="1">
      <alignment horizontal="center"/>
    </xf>
    <xf numFmtId="0" fontId="41" fillId="0" borderId="290" xfId="180" applyFont="1" applyFill="1" applyBorder="1" applyAlignment="1">
      <alignment horizontal="right" vertical="top"/>
    </xf>
    <xf numFmtId="0" fontId="41" fillId="0" borderId="296" xfId="180" applyFont="1" applyFill="1" applyBorder="1" applyAlignment="1"/>
    <xf numFmtId="0" fontId="41" fillId="0" borderId="256" xfId="180" applyFont="1" applyFill="1" applyBorder="1" applyAlignment="1">
      <alignment horizontal="center" vertical="center"/>
    </xf>
    <xf numFmtId="166" fontId="41" fillId="0" borderId="1" xfId="180" applyNumberFormat="1" applyFont="1" applyFill="1" applyBorder="1" applyAlignment="1">
      <alignment horizontal="left" vertical="center"/>
    </xf>
    <xf numFmtId="0" fontId="41" fillId="0" borderId="23" xfId="180" applyFont="1" applyFill="1" applyBorder="1" applyAlignment="1">
      <alignment vertical="center" wrapText="1"/>
    </xf>
    <xf numFmtId="0" fontId="41" fillId="0" borderId="257" xfId="2" applyFont="1" applyFill="1" applyBorder="1" applyAlignment="1">
      <alignment vertical="top"/>
    </xf>
    <xf numFmtId="0" fontId="41" fillId="0" borderId="254" xfId="2" applyFont="1" applyFill="1" applyBorder="1" applyAlignment="1">
      <alignment vertical="top"/>
    </xf>
    <xf numFmtId="0" fontId="31" fillId="0" borderId="21" xfId="180" applyFont="1" applyFill="1" applyBorder="1" applyAlignment="1">
      <alignment horizontal="center"/>
    </xf>
    <xf numFmtId="0" fontId="31" fillId="0" borderId="12" xfId="180" applyFont="1" applyFill="1" applyBorder="1" applyAlignment="1">
      <alignment vertical="center" wrapText="1"/>
    </xf>
    <xf numFmtId="0" fontId="31" fillId="0" borderId="294" xfId="180" applyFont="1" applyFill="1" applyBorder="1" applyAlignment="1">
      <alignment horizontal="right" vertical="top"/>
    </xf>
    <xf numFmtId="0" fontId="40" fillId="0" borderId="292" xfId="180" applyFont="1" applyFill="1" applyBorder="1" applyAlignment="1">
      <alignment horizontal="left" vertical="top"/>
    </xf>
    <xf numFmtId="165" fontId="41" fillId="0" borderId="139" xfId="180" applyNumberFormat="1" applyFont="1" applyFill="1" applyBorder="1" applyAlignment="1">
      <alignment horizontal="center" vertical="center"/>
    </xf>
    <xf numFmtId="0" fontId="41" fillId="2" borderId="49" xfId="180" applyFont="1" applyFill="1" applyBorder="1" applyAlignment="1">
      <alignment horizontal="center" vertical="center" wrapText="1"/>
    </xf>
    <xf numFmtId="0" fontId="41" fillId="0" borderId="161" xfId="180" applyFont="1" applyFill="1" applyBorder="1" applyAlignment="1">
      <alignment horizontal="center" vertical="center" wrapText="1"/>
    </xf>
    <xf numFmtId="0" fontId="41" fillId="0" borderId="109" xfId="180" applyFont="1" applyFill="1" applyBorder="1" applyAlignment="1">
      <alignment horizontal="center" wrapText="1"/>
    </xf>
    <xf numFmtId="0" fontId="41" fillId="0" borderId="97" xfId="180" applyFont="1" applyFill="1" applyBorder="1" applyAlignment="1">
      <alignment horizontal="center" wrapText="1"/>
    </xf>
    <xf numFmtId="0" fontId="41" fillId="0" borderId="22" xfId="180" applyFont="1" applyFill="1" applyBorder="1" applyAlignment="1">
      <alignment vertical="center"/>
    </xf>
    <xf numFmtId="0" fontId="41" fillId="0" borderId="108" xfId="180" applyFont="1" applyFill="1" applyBorder="1" applyAlignment="1">
      <alignment vertical="center"/>
    </xf>
    <xf numFmtId="0" fontId="41" fillId="0" borderId="109" xfId="180" applyFont="1" applyFill="1" applyBorder="1" applyAlignment="1">
      <alignment vertical="center"/>
    </xf>
    <xf numFmtId="0" fontId="41" fillId="0" borderId="97" xfId="180" applyFont="1" applyFill="1" applyBorder="1" applyAlignment="1">
      <alignment vertical="center"/>
    </xf>
    <xf numFmtId="0" fontId="41" fillId="0" borderId="49" xfId="180" applyFont="1" applyFill="1" applyBorder="1" applyAlignment="1">
      <alignment horizontal="center" vertical="center" wrapText="1"/>
    </xf>
    <xf numFmtId="0" fontId="41" fillId="0" borderId="5" xfId="0" applyFont="1" applyBorder="1" applyAlignment="1">
      <alignment vertical="top" wrapText="1"/>
    </xf>
    <xf numFmtId="0" fontId="41" fillId="0" borderId="6" xfId="0" applyFont="1" applyBorder="1" applyAlignment="1">
      <alignment vertical="top" wrapText="1"/>
    </xf>
    <xf numFmtId="165" fontId="41" fillId="0" borderId="7" xfId="180" applyNumberFormat="1" applyFont="1" applyFill="1" applyBorder="1" applyAlignment="1">
      <alignment vertical="center"/>
    </xf>
    <xf numFmtId="0" fontId="41" fillId="0" borderId="1" xfId="0" applyFont="1" applyBorder="1" applyAlignment="1">
      <alignment horizontal="left" vertical="top" wrapText="1"/>
    </xf>
    <xf numFmtId="0" fontId="41" fillId="0" borderId="0" xfId="0" applyFont="1" applyBorder="1" applyAlignment="1">
      <alignment horizontal="left" vertical="top" wrapText="1"/>
    </xf>
    <xf numFmtId="165" fontId="41" fillId="0" borderId="2" xfId="180" applyNumberFormat="1" applyFont="1" applyFill="1" applyBorder="1" applyAlignment="1">
      <alignment vertical="center"/>
    </xf>
    <xf numFmtId="0" fontId="41" fillId="0" borderId="0" xfId="0" applyFont="1" applyBorder="1" applyAlignment="1">
      <alignment vertical="top" wrapText="1"/>
    </xf>
    <xf numFmtId="0" fontId="41" fillId="0" borderId="157" xfId="180" applyFont="1" applyFill="1" applyBorder="1" applyAlignment="1">
      <alignment horizontal="center"/>
    </xf>
    <xf numFmtId="165" fontId="41" fillId="0" borderId="307" xfId="180" applyNumberFormat="1" applyFont="1" applyFill="1" applyBorder="1" applyAlignment="1">
      <alignment vertical="center"/>
    </xf>
    <xf numFmtId="0" fontId="41" fillId="0" borderId="308" xfId="180" applyFont="1" applyFill="1" applyBorder="1" applyAlignment="1">
      <alignment horizontal="center" vertical="center" wrapText="1"/>
    </xf>
    <xf numFmtId="0" fontId="41" fillId="0" borderId="305" xfId="180" applyFont="1" applyFill="1" applyBorder="1" applyAlignment="1">
      <alignment vertical="top"/>
    </xf>
    <xf numFmtId="0" fontId="41" fillId="0" borderId="5" xfId="180" applyFont="1" applyFill="1" applyBorder="1" applyAlignment="1">
      <alignment vertical="center"/>
    </xf>
    <xf numFmtId="0" fontId="41" fillId="0" borderId="259" xfId="180" applyFont="1" applyFill="1" applyBorder="1" applyAlignment="1">
      <alignment vertical="center"/>
    </xf>
    <xf numFmtId="0" fontId="41" fillId="0" borderId="23" xfId="180" applyFont="1" applyFill="1" applyBorder="1" applyAlignment="1">
      <alignment vertical="center"/>
    </xf>
    <xf numFmtId="0" fontId="41" fillId="0" borderId="299" xfId="180" applyFont="1" applyFill="1" applyBorder="1" applyAlignment="1"/>
    <xf numFmtId="0" fontId="41" fillId="0" borderId="308" xfId="180" applyFont="1" applyFill="1" applyBorder="1" applyAlignment="1">
      <alignment horizontal="center"/>
    </xf>
    <xf numFmtId="0" fontId="41" fillId="0" borderId="307" xfId="180" applyFont="1" applyFill="1" applyBorder="1" applyAlignment="1">
      <alignment horizontal="center" vertical="center" wrapText="1"/>
    </xf>
    <xf numFmtId="0" fontId="41" fillId="0" borderId="157" xfId="180" applyFont="1" applyFill="1" applyBorder="1" applyAlignment="1">
      <alignment horizontal="center" vertical="center" wrapText="1"/>
    </xf>
    <xf numFmtId="0" fontId="41" fillId="0" borderId="305" xfId="180" applyFont="1" applyFill="1" applyBorder="1" applyAlignment="1"/>
    <xf numFmtId="0" fontId="36" fillId="3" borderId="34" xfId="180" applyFont="1" applyFill="1" applyBorder="1" applyAlignment="1">
      <alignment horizontal="center"/>
    </xf>
    <xf numFmtId="0" fontId="25" fillId="0" borderId="1" xfId="180" applyFont="1" applyFill="1" applyBorder="1"/>
    <xf numFmtId="165" fontId="24" fillId="0" borderId="307" xfId="180" applyNumberFormat="1" applyFont="1" applyFill="1" applyBorder="1" applyAlignment="1">
      <alignment horizontal="center"/>
    </xf>
    <xf numFmtId="165" fontId="24" fillId="0" borderId="307" xfId="180" applyNumberFormat="1" applyFont="1" applyFill="1" applyBorder="1" applyAlignment="1">
      <alignment horizontal="center" vertical="top"/>
    </xf>
    <xf numFmtId="165" fontId="24" fillId="0" borderId="307" xfId="180" applyNumberFormat="1" applyFont="1" applyFill="1" applyBorder="1" applyAlignment="1">
      <alignment horizontal="center" vertical="center"/>
    </xf>
    <xf numFmtId="165" fontId="24" fillId="0" borderId="307" xfId="180" applyNumberFormat="1" applyFont="1" applyFill="1" applyBorder="1" applyAlignment="1">
      <alignment horizontal="center" vertical="top" wrapText="1"/>
    </xf>
    <xf numFmtId="165" fontId="24" fillId="0" borderId="157" xfId="180" applyNumberFormat="1" applyFont="1" applyFill="1" applyBorder="1" applyAlignment="1">
      <alignment horizontal="center" vertical="center"/>
    </xf>
    <xf numFmtId="0" fontId="24" fillId="0" borderId="307" xfId="180" applyFont="1" applyFill="1" applyBorder="1" applyAlignment="1">
      <alignment horizontal="center"/>
    </xf>
    <xf numFmtId="0" fontId="41" fillId="0" borderId="302" xfId="15" applyFont="1" applyBorder="1" applyAlignment="1">
      <alignment horizontal="left" vertical="top" wrapText="1"/>
    </xf>
    <xf numFmtId="0" fontId="52" fillId="0" borderId="302" xfId="628" applyFont="1" applyBorder="1" applyAlignment="1">
      <alignment horizontal="center"/>
    </xf>
    <xf numFmtId="0" fontId="0" fillId="0" borderId="108" xfId="0" applyBorder="1" applyAlignment="1"/>
    <xf numFmtId="0" fontId="51" fillId="0" borderId="260" xfId="15" applyFont="1" applyBorder="1" applyAlignment="1">
      <alignment horizontal="left" vertical="top"/>
    </xf>
    <xf numFmtId="0" fontId="24" fillId="0" borderId="0" xfId="180" applyFont="1" applyFill="1" applyBorder="1" applyAlignment="1">
      <alignment horizontal="left" vertical="top" wrapText="1"/>
    </xf>
    <xf numFmtId="0" fontId="24" fillId="0" borderId="302" xfId="180" applyFont="1" applyFill="1" applyBorder="1" applyAlignment="1">
      <alignment horizontal="left" vertical="top" wrapText="1"/>
    </xf>
    <xf numFmtId="0" fontId="21" fillId="0" borderId="0" xfId="15" applyFont="1" applyBorder="1" applyAlignment="1">
      <alignment horizontal="left" vertical="top" wrapText="1"/>
    </xf>
    <xf numFmtId="0" fontId="41" fillId="0" borderId="237" xfId="3" applyFont="1" applyFill="1" applyBorder="1" applyAlignment="1">
      <alignment horizontal="left" vertical="center" wrapText="1"/>
    </xf>
    <xf numFmtId="165" fontId="41" fillId="0" borderId="235" xfId="3" applyNumberFormat="1" applyFont="1" applyFill="1" applyBorder="1" applyAlignment="1">
      <alignment horizontal="center" vertical="center"/>
    </xf>
    <xf numFmtId="0" fontId="24" fillId="0" borderId="306" xfId="180" applyFont="1" applyFill="1" applyBorder="1" applyAlignment="1">
      <alignment horizontal="left" vertical="top"/>
    </xf>
    <xf numFmtId="0" fontId="24" fillId="0" borderId="302" xfId="180" applyFont="1" applyFill="1" applyBorder="1" applyAlignment="1">
      <alignment horizontal="left" vertical="top"/>
    </xf>
    <xf numFmtId="0" fontId="24" fillId="0" borderId="306" xfId="180" applyFont="1" applyFill="1" applyBorder="1" applyAlignment="1">
      <alignment horizontal="left" vertical="top" wrapText="1"/>
    </xf>
    <xf numFmtId="0" fontId="41" fillId="0" borderId="250" xfId="180" applyFont="1" applyFill="1" applyBorder="1" applyAlignment="1">
      <alignment vertical="center" wrapText="1"/>
    </xf>
    <xf numFmtId="0" fontId="24" fillId="0" borderId="0" xfId="180" applyFont="1" applyFill="1" applyAlignment="1">
      <alignment vertical="center" wrapText="1"/>
    </xf>
    <xf numFmtId="165" fontId="41" fillId="0" borderId="234" xfId="3" applyNumberFormat="1" applyFont="1" applyFill="1" applyBorder="1" applyAlignment="1">
      <alignment horizontal="center" vertical="center"/>
    </xf>
    <xf numFmtId="166" fontId="36" fillId="3" borderId="20" xfId="180" applyNumberFormat="1" applyFont="1" applyFill="1" applyBorder="1" applyAlignment="1">
      <alignment vertical="center"/>
    </xf>
    <xf numFmtId="166" fontId="36" fillId="3" borderId="20" xfId="180" applyNumberFormat="1" applyFont="1" applyFill="1" applyBorder="1" applyAlignment="1">
      <alignment horizontal="center" vertical="center"/>
    </xf>
    <xf numFmtId="166" fontId="36" fillId="3" borderId="50" xfId="180" applyNumberFormat="1" applyFont="1" applyFill="1" applyBorder="1" applyAlignment="1">
      <alignment vertical="center"/>
    </xf>
    <xf numFmtId="0" fontId="24" fillId="0" borderId="52" xfId="180" applyFont="1" applyBorder="1" applyAlignment="1">
      <alignment horizontal="center" vertical="center" wrapText="1"/>
    </xf>
    <xf numFmtId="0" fontId="24" fillId="0" borderId="12" xfId="180" applyFont="1" applyBorder="1" applyAlignment="1">
      <alignment horizontal="center" vertical="center" wrapText="1"/>
    </xf>
    <xf numFmtId="0" fontId="24" fillId="0" borderId="63" xfId="180" applyFont="1" applyBorder="1" applyAlignment="1">
      <alignment horizontal="center" vertical="center" wrapText="1"/>
    </xf>
    <xf numFmtId="0" fontId="24" fillId="0" borderId="28" xfId="15" applyFont="1" applyFill="1" applyBorder="1"/>
    <xf numFmtId="0" fontId="51" fillId="0" borderId="97" xfId="15" applyFont="1" applyFill="1" applyBorder="1" applyAlignment="1">
      <alignment vertical="top"/>
    </xf>
    <xf numFmtId="0" fontId="24" fillId="0" borderId="260" xfId="15" applyFont="1" applyFill="1" applyBorder="1" applyAlignment="1">
      <alignment vertical="top"/>
    </xf>
    <xf numFmtId="166" fontId="67" fillId="39" borderId="28" xfId="181" applyNumberFormat="1" applyFont="1" applyFill="1" applyBorder="1" applyAlignment="1">
      <alignment horizontal="center" vertical="center"/>
    </xf>
    <xf numFmtId="49" fontId="24" fillId="6" borderId="56" xfId="2" applyNumberFormat="1" applyFont="1" applyFill="1" applyBorder="1" applyAlignment="1">
      <alignment horizontal="center" textRotation="90"/>
    </xf>
    <xf numFmtId="0" fontId="24" fillId="6" borderId="69" xfId="180" applyFont="1" applyFill="1" applyBorder="1" applyAlignment="1">
      <alignment horizontal="center" vertical="center" textRotation="90" wrapText="1"/>
    </xf>
    <xf numFmtId="0" fontId="25" fillId="6" borderId="0" xfId="181" applyFont="1" applyFill="1" applyBorder="1" applyAlignment="1">
      <alignment horizontal="center" vertical="center"/>
    </xf>
    <xf numFmtId="0" fontId="25" fillId="6" borderId="23" xfId="181" applyFont="1" applyFill="1" applyBorder="1" applyAlignment="1">
      <alignment horizontal="center" vertical="center"/>
    </xf>
    <xf numFmtId="0" fontId="24" fillId="0" borderId="23" xfId="180" applyFont="1" applyFill="1" applyBorder="1" applyAlignment="1">
      <alignment horizontal="center" vertical="top" wrapText="1"/>
    </xf>
    <xf numFmtId="0" fontId="24" fillId="0" borderId="29" xfId="181" applyFont="1" applyFill="1" applyBorder="1" applyAlignment="1">
      <alignment horizontal="center" vertical="center" wrapText="1"/>
    </xf>
    <xf numFmtId="0" fontId="24" fillId="0" borderId="23" xfId="181" applyFont="1" applyFill="1" applyBorder="1" applyAlignment="1">
      <alignment horizontal="center" vertical="center" wrapText="1"/>
    </xf>
    <xf numFmtId="0" fontId="24" fillId="0" borderId="25" xfId="181" applyFont="1" applyFill="1" applyBorder="1" applyAlignment="1">
      <alignment horizontal="center" vertical="center" wrapText="1"/>
    </xf>
    <xf numFmtId="0" fontId="24" fillId="0" borderId="37" xfId="181" applyFont="1" applyFill="1" applyBorder="1" applyAlignment="1">
      <alignment horizontal="center" vertical="center" wrapText="1"/>
    </xf>
    <xf numFmtId="0" fontId="24" fillId="0" borderId="41" xfId="181" applyFont="1" applyFill="1" applyBorder="1" applyAlignment="1">
      <alignment horizontal="center" vertical="center" wrapText="1"/>
    </xf>
    <xf numFmtId="0" fontId="24" fillId="0" borderId="32" xfId="181" applyFont="1" applyFill="1" applyBorder="1" applyAlignment="1">
      <alignment horizontal="center" vertical="center" wrapText="1"/>
    </xf>
    <xf numFmtId="0" fontId="24" fillId="0" borderId="0" xfId="181" applyFont="1" applyAlignment="1">
      <alignment horizontal="center" vertical="center"/>
    </xf>
    <xf numFmtId="0" fontId="41" fillId="0" borderId="1" xfId="180" applyFont="1" applyFill="1" applyBorder="1" applyAlignment="1">
      <alignment horizontal="center" vertical="top" wrapText="1"/>
    </xf>
    <xf numFmtId="0" fontId="41" fillId="0" borderId="2" xfId="180" applyFont="1" applyFill="1" applyBorder="1" applyAlignment="1">
      <alignment horizontal="center" vertical="top" wrapText="1"/>
    </xf>
    <xf numFmtId="0" fontId="40" fillId="0" borderId="1" xfId="180" applyFont="1" applyFill="1" applyBorder="1" applyAlignment="1">
      <alignment vertical="top" wrapText="1"/>
    </xf>
    <xf numFmtId="0" fontId="40" fillId="0" borderId="2" xfId="180" applyFont="1" applyFill="1" applyBorder="1" applyAlignment="1">
      <alignment vertical="top" wrapText="1"/>
    </xf>
    <xf numFmtId="0" fontId="24" fillId="0" borderId="108" xfId="180" applyFont="1" applyFill="1" applyBorder="1" applyAlignment="1">
      <alignment horizontal="center" vertical="center"/>
    </xf>
    <xf numFmtId="49" fontId="91" fillId="6" borderId="15" xfId="2" applyNumberFormat="1" applyFont="1" applyFill="1" applyBorder="1" applyAlignment="1">
      <alignment vertical="top" wrapText="1"/>
    </xf>
    <xf numFmtId="0" fontId="24" fillId="0" borderId="329" xfId="180" applyFont="1" applyFill="1" applyBorder="1"/>
    <xf numFmtId="0" fontId="24" fillId="0" borderId="330" xfId="180" applyFont="1" applyFill="1" applyBorder="1" applyAlignment="1">
      <alignment wrapText="1"/>
    </xf>
    <xf numFmtId="0" fontId="24" fillId="0" borderId="328" xfId="0" applyFont="1" applyBorder="1" applyAlignment="1">
      <alignment vertical="top" wrapText="1"/>
    </xf>
    <xf numFmtId="0" fontId="24" fillId="0" borderId="329" xfId="180" applyFont="1" applyFill="1" applyBorder="1" applyAlignment="1">
      <alignment vertical="top" wrapText="1"/>
    </xf>
    <xf numFmtId="0" fontId="24" fillId="0" borderId="330" xfId="180" applyFont="1" applyFill="1" applyBorder="1" applyAlignment="1">
      <alignment vertical="top" wrapText="1"/>
    </xf>
    <xf numFmtId="0" fontId="39" fillId="0" borderId="23" xfId="181" applyFont="1" applyFill="1" applyBorder="1" applyAlignment="1">
      <alignment horizontal="center" vertical="top" wrapText="1"/>
    </xf>
    <xf numFmtId="0" fontId="24" fillId="0" borderId="333" xfId="180" applyFont="1" applyFill="1" applyBorder="1" applyAlignment="1">
      <alignment horizontal="center" vertical="top" wrapText="1"/>
    </xf>
    <xf numFmtId="0" fontId="24" fillId="0" borderId="326" xfId="0" applyFont="1" applyBorder="1" applyAlignment="1">
      <alignment horizontal="center" wrapText="1"/>
    </xf>
    <xf numFmtId="0" fontId="24" fillId="0" borderId="327" xfId="0" applyFont="1" applyBorder="1" applyAlignment="1">
      <alignment horizontal="center" wrapText="1"/>
    </xf>
    <xf numFmtId="0" fontId="24" fillId="0" borderId="333" xfId="0" applyFont="1" applyBorder="1" applyAlignment="1">
      <alignment horizontal="center"/>
    </xf>
    <xf numFmtId="0" fontId="24" fillId="0" borderId="333" xfId="0" applyFont="1" applyBorder="1" applyAlignment="1">
      <alignment horizontal="center" vertical="top" wrapText="1"/>
    </xf>
    <xf numFmtId="0" fontId="41" fillId="6" borderId="287" xfId="181" applyFont="1" applyFill="1" applyBorder="1" applyAlignment="1"/>
    <xf numFmtId="0" fontId="24" fillId="0" borderId="23" xfId="0" applyFont="1" applyBorder="1" applyAlignment="1">
      <alignment horizontal="center" wrapText="1"/>
    </xf>
    <xf numFmtId="0" fontId="30" fillId="0" borderId="23" xfId="181" applyFont="1" applyBorder="1" applyAlignment="1"/>
    <xf numFmtId="0" fontId="24" fillId="0" borderId="21" xfId="0" applyFont="1" applyBorder="1" applyAlignment="1">
      <alignment wrapText="1"/>
    </xf>
    <xf numFmtId="0" fontId="24" fillId="0" borderId="329" xfId="0" applyFont="1" applyBorder="1" applyAlignment="1">
      <alignment wrapText="1"/>
    </xf>
    <xf numFmtId="0" fontId="24" fillId="0" borderId="330" xfId="0" applyFont="1" applyBorder="1" applyAlignment="1"/>
    <xf numFmtId="0" fontId="24" fillId="0" borderId="326" xfId="0" applyFont="1" applyBorder="1" applyAlignment="1">
      <alignment horizontal="left" vertical="top" wrapText="1"/>
    </xf>
    <xf numFmtId="0" fontId="24" fillId="0" borderId="22" xfId="0" applyFont="1" applyBorder="1" applyAlignment="1">
      <alignment horizontal="left" vertical="top" wrapText="1"/>
    </xf>
    <xf numFmtId="0" fontId="24" fillId="0" borderId="110" xfId="0" applyFont="1" applyBorder="1" applyAlignment="1">
      <alignment horizontal="center" vertical="top" wrapText="1"/>
    </xf>
    <xf numFmtId="0" fontId="30" fillId="0" borderId="21" xfId="181" applyFont="1" applyBorder="1" applyAlignment="1"/>
    <xf numFmtId="0" fontId="40" fillId="0" borderId="1" xfId="180" applyFont="1" applyFill="1" applyBorder="1" applyAlignment="1">
      <alignment vertical="top" wrapText="1"/>
    </xf>
    <xf numFmtId="0" fontId="40" fillId="0" borderId="0" xfId="180" applyFont="1" applyFill="1" applyBorder="1" applyAlignment="1">
      <alignment vertical="top" wrapText="1"/>
    </xf>
    <xf numFmtId="0" fontId="21" fillId="0" borderId="0" xfId="15" applyFont="1" applyBorder="1" applyAlignment="1">
      <alignment horizontal="left" vertical="top" wrapText="1"/>
    </xf>
    <xf numFmtId="0" fontId="24" fillId="0" borderId="108" xfId="3" applyFont="1" applyFill="1" applyBorder="1" applyAlignment="1">
      <alignment horizontal="center" vertical="center"/>
    </xf>
    <xf numFmtId="165" fontId="41" fillId="0" borderId="235" xfId="3" applyNumberFormat="1" applyFont="1" applyFill="1" applyBorder="1" applyAlignment="1">
      <alignment horizontal="center" vertical="center"/>
    </xf>
    <xf numFmtId="0" fontId="40" fillId="0" borderId="2" xfId="180" applyFont="1" applyFill="1" applyBorder="1" applyAlignment="1">
      <alignment vertical="top" wrapText="1"/>
    </xf>
    <xf numFmtId="0" fontId="109" fillId="13" borderId="0" xfId="177" quotePrefix="1" applyFont="1" applyFill="1" applyAlignment="1">
      <alignment horizontal="left"/>
    </xf>
    <xf numFmtId="0" fontId="21" fillId="0" borderId="0" xfId="15" applyFont="1" applyFill="1" applyAlignment="1">
      <alignment vertical="center"/>
    </xf>
    <xf numFmtId="0" fontId="20" fillId="0" borderId="0" xfId="15" applyFont="1" applyFill="1" applyBorder="1" applyAlignment="1">
      <alignment vertical="center"/>
    </xf>
    <xf numFmtId="0" fontId="18" fillId="0" borderId="0" xfId="15" applyFont="1" applyFill="1" applyBorder="1" applyAlignment="1">
      <alignment horizontal="right" vertical="center"/>
    </xf>
    <xf numFmtId="0" fontId="18" fillId="0" borderId="0" xfId="180" applyFont="1" applyAlignment="1">
      <alignment horizontal="right" vertical="center"/>
    </xf>
    <xf numFmtId="0" fontId="41" fillId="0" borderId="254" xfId="180" applyFont="1" applyFill="1" applyBorder="1" applyAlignment="1">
      <alignment horizontal="left"/>
    </xf>
    <xf numFmtId="0" fontId="41" fillId="0" borderId="0" xfId="180" applyFont="1" applyFill="1" applyBorder="1" applyAlignment="1">
      <alignment horizontal="left" vertical="top"/>
    </xf>
    <xf numFmtId="0" fontId="63" fillId="0" borderId="0" xfId="180" applyFont="1" applyFill="1" applyBorder="1" applyAlignment="1">
      <alignment horizontal="center"/>
    </xf>
    <xf numFmtId="0" fontId="32" fillId="0" borderId="0" xfId="180" applyFont="1" applyFill="1" applyAlignment="1">
      <alignment horizontal="center" vertical="center"/>
    </xf>
    <xf numFmtId="0" fontId="24" fillId="0" borderId="0" xfId="180" applyFont="1" applyFill="1" applyAlignment="1">
      <alignment horizontal="center" vertical="center"/>
    </xf>
    <xf numFmtId="0" fontId="41" fillId="0" borderId="258" xfId="180" applyFont="1" applyFill="1" applyBorder="1" applyAlignment="1">
      <alignment vertical="top" wrapText="1"/>
    </xf>
    <xf numFmtId="0" fontId="41" fillId="0" borderId="261" xfId="180" applyFont="1" applyFill="1" applyBorder="1" applyAlignment="1">
      <alignment horizontal="center" vertical="center"/>
    </xf>
    <xf numFmtId="0" fontId="40" fillId="0" borderId="250" xfId="180" applyFont="1" applyFill="1" applyBorder="1" applyAlignment="1">
      <alignment horizontal="right" vertical="top" wrapText="1"/>
    </xf>
    <xf numFmtId="0" fontId="41" fillId="0" borderId="259" xfId="180" applyFont="1" applyFill="1" applyBorder="1" applyAlignment="1">
      <alignment vertical="top" wrapText="1"/>
    </xf>
    <xf numFmtId="0" fontId="41" fillId="0" borderId="257" xfId="180" applyFont="1" applyFill="1" applyBorder="1" applyAlignment="1">
      <alignment horizontal="left" vertical="top"/>
    </xf>
    <xf numFmtId="0" fontId="40" fillId="0" borderId="272" xfId="180" applyFont="1" applyFill="1" applyBorder="1" applyAlignment="1">
      <alignment horizontal="right" vertical="top" wrapText="1"/>
    </xf>
    <xf numFmtId="0" fontId="31" fillId="0" borderId="1" xfId="180" applyFont="1" applyBorder="1" applyAlignment="1">
      <alignment vertical="top" wrapText="1"/>
    </xf>
    <xf numFmtId="0" fontId="127" fillId="0" borderId="0" xfId="180" applyFont="1" applyBorder="1" applyAlignment="1">
      <alignment vertical="center"/>
    </xf>
    <xf numFmtId="0" fontId="127" fillId="0" borderId="23" xfId="180" applyFont="1" applyBorder="1" applyAlignment="1">
      <alignment vertical="center"/>
    </xf>
    <xf numFmtId="0" fontId="41" fillId="0" borderId="260" xfId="180" applyFont="1" applyBorder="1" applyAlignment="1">
      <alignment horizontal="left" vertical="center"/>
    </xf>
    <xf numFmtId="0" fontId="31" fillId="0" borderId="23" xfId="180" applyFont="1" applyBorder="1" applyAlignment="1">
      <alignment vertical="top" wrapText="1"/>
    </xf>
    <xf numFmtId="0" fontId="41" fillId="0" borderId="256" xfId="180" applyFont="1" applyFill="1" applyBorder="1" applyAlignment="1">
      <alignment horizontal="center" vertical="top" wrapText="1"/>
    </xf>
    <xf numFmtId="0" fontId="41" fillId="0" borderId="1" xfId="180" applyFont="1" applyFill="1" applyBorder="1" applyAlignment="1">
      <alignment horizontal="left" vertical="top"/>
    </xf>
    <xf numFmtId="0" fontId="41" fillId="0" borderId="271" xfId="180" applyFont="1" applyFill="1" applyBorder="1" applyAlignment="1">
      <alignment horizontal="left" vertical="top"/>
    </xf>
    <xf numFmtId="0" fontId="41" fillId="0" borderId="258" xfId="180" applyFont="1" applyFill="1" applyBorder="1" applyAlignment="1">
      <alignment horizontal="center" vertical="center"/>
    </xf>
    <xf numFmtId="0" fontId="41" fillId="0" borderId="2" xfId="180" applyFont="1" applyFill="1" applyBorder="1" applyAlignment="1">
      <alignment vertical="center" wrapText="1"/>
    </xf>
    <xf numFmtId="0" fontId="31" fillId="0" borderId="1" xfId="180" applyFont="1" applyFill="1" applyBorder="1" applyAlignment="1"/>
    <xf numFmtId="0" fontId="41" fillId="0" borderId="109" xfId="180" applyFont="1" applyFill="1" applyBorder="1" applyAlignment="1">
      <alignment horizontal="center" vertical="center"/>
    </xf>
    <xf numFmtId="0" fontId="41" fillId="0" borderId="108" xfId="180" applyFont="1" applyFill="1" applyBorder="1" applyAlignment="1">
      <alignment horizontal="center" vertical="center"/>
    </xf>
    <xf numFmtId="0" fontId="24" fillId="0" borderId="306" xfId="180" applyFont="1" applyFill="1" applyBorder="1"/>
    <xf numFmtId="0" fontId="30" fillId="0" borderId="328" xfId="180" applyFont="1" applyFill="1" applyBorder="1"/>
    <xf numFmtId="0" fontId="24" fillId="0" borderId="294" xfId="180" applyFont="1" applyFill="1" applyBorder="1"/>
    <xf numFmtId="0" fontId="30" fillId="0" borderId="156" xfId="180" applyFont="1" applyFill="1" applyBorder="1"/>
    <xf numFmtId="0" fontId="40" fillId="0" borderId="5" xfId="180" applyFont="1" applyFill="1" applyBorder="1" applyAlignment="1"/>
    <xf numFmtId="0" fontId="24" fillId="0" borderId="229" xfId="180" applyFont="1" applyFill="1" applyBorder="1"/>
    <xf numFmtId="0" fontId="24" fillId="0" borderId="307" xfId="180" applyFont="1" applyFill="1" applyBorder="1"/>
    <xf numFmtId="0" fontId="24" fillId="0" borderId="292" xfId="180" applyFont="1" applyFill="1" applyBorder="1"/>
    <xf numFmtId="0" fontId="41" fillId="0" borderId="36" xfId="180" applyFont="1" applyBorder="1"/>
    <xf numFmtId="0" fontId="41" fillId="0" borderId="30" xfId="180" applyFont="1" applyBorder="1"/>
    <xf numFmtId="0" fontId="41" fillId="0" borderId="38" xfId="180" applyFont="1" applyBorder="1"/>
    <xf numFmtId="0" fontId="18" fillId="0" borderId="0" xfId="180" applyFont="1" applyFill="1" applyBorder="1" applyAlignment="1">
      <alignment horizontal="right" vertical="center"/>
    </xf>
    <xf numFmtId="0" fontId="41" fillId="0" borderId="271" xfId="113" applyFont="1" applyFill="1" applyBorder="1" applyAlignment="1"/>
    <xf numFmtId="0" fontId="41" fillId="0" borderId="260" xfId="113" applyFont="1" applyFill="1" applyBorder="1" applyAlignment="1"/>
    <xf numFmtId="0" fontId="24" fillId="0" borderId="79" xfId="2" applyFont="1" applyBorder="1" applyAlignment="1"/>
    <xf numFmtId="0" fontId="25" fillId="13" borderId="74" xfId="2" applyFont="1" applyFill="1" applyBorder="1" applyAlignment="1">
      <alignment horizontal="center" wrapText="1"/>
    </xf>
    <xf numFmtId="0" fontId="25" fillId="13" borderId="28" xfId="2" applyFont="1" applyFill="1" applyBorder="1" applyAlignment="1">
      <alignment horizontal="center" wrapText="1"/>
    </xf>
    <xf numFmtId="0" fontId="24" fillId="13" borderId="28" xfId="91" applyFont="1" applyFill="1" applyBorder="1" applyAlignment="1"/>
    <xf numFmtId="0" fontId="24" fillId="13" borderId="73" xfId="91" applyFont="1" applyFill="1" applyBorder="1" applyAlignment="1"/>
    <xf numFmtId="0" fontId="24" fillId="0" borderId="328" xfId="2" applyFont="1" applyBorder="1" applyAlignment="1">
      <alignment horizontal="center" vertical="top" wrapText="1"/>
    </xf>
    <xf numFmtId="0" fontId="24" fillId="0" borderId="328" xfId="91" applyFont="1" applyBorder="1" applyAlignment="1"/>
    <xf numFmtId="0" fontId="24" fillId="0" borderId="307" xfId="91" applyFont="1" applyBorder="1" applyAlignment="1"/>
    <xf numFmtId="0" fontId="24" fillId="0" borderId="328" xfId="91" applyFont="1" applyBorder="1" applyAlignment="1">
      <alignment horizontal="center" vertical="top" wrapText="1"/>
    </xf>
    <xf numFmtId="0" fontId="24" fillId="0" borderId="328" xfId="2" applyFont="1" applyBorder="1" applyAlignment="1">
      <alignment vertical="top"/>
    </xf>
    <xf numFmtId="0" fontId="24" fillId="0" borderId="328" xfId="2" applyFont="1" applyBorder="1" applyAlignment="1">
      <alignment vertical="top" wrapText="1"/>
    </xf>
    <xf numFmtId="0" fontId="18" fillId="0" borderId="0" xfId="180" applyFont="1" applyFill="1" applyAlignment="1">
      <alignment horizontal="right"/>
    </xf>
    <xf numFmtId="0" fontId="128" fillId="0" borderId="0" xfId="628" applyFont="1" applyAlignment="1">
      <alignment horizontal="right"/>
    </xf>
    <xf numFmtId="0" fontId="40" fillId="0" borderId="260" xfId="180" applyFont="1" applyFill="1" applyBorder="1" applyAlignment="1">
      <alignment vertical="center"/>
    </xf>
    <xf numFmtId="166" fontId="67" fillId="38" borderId="0" xfId="180" applyNumberFormat="1" applyFont="1" applyFill="1" applyAlignment="1">
      <alignment vertical="center"/>
    </xf>
    <xf numFmtId="166" fontId="31" fillId="0" borderId="0" xfId="180" applyNumberFormat="1" applyFont="1" applyFill="1"/>
    <xf numFmtId="0" fontId="24" fillId="0" borderId="326" xfId="0" applyFont="1" applyBorder="1" applyAlignment="1">
      <alignment wrapText="1"/>
    </xf>
    <xf numFmtId="0" fontId="24" fillId="0" borderId="329" xfId="0" applyFont="1" applyBorder="1" applyAlignment="1"/>
    <xf numFmtId="0" fontId="41" fillId="0" borderId="342" xfId="3" applyFont="1" applyFill="1" applyBorder="1" applyAlignment="1">
      <alignment vertical="center"/>
    </xf>
    <xf numFmtId="0" fontId="41" fillId="0" borderId="331" xfId="3" applyFont="1" applyFill="1" applyBorder="1" applyAlignment="1">
      <alignment vertical="center"/>
    </xf>
    <xf numFmtId="165" fontId="41" fillId="0" borderId="308" xfId="3" applyNumberFormat="1" applyFont="1" applyFill="1" applyBorder="1" applyAlignment="1">
      <alignment horizontal="center" vertical="center"/>
    </xf>
    <xf numFmtId="165" fontId="41" fillId="0" borderId="2" xfId="3" applyNumberFormat="1" applyFont="1" applyFill="1" applyBorder="1" applyAlignment="1">
      <alignment horizontal="center" vertical="center"/>
    </xf>
    <xf numFmtId="0" fontId="23" fillId="0" borderId="0" xfId="3" applyFont="1" applyAlignment="1">
      <alignment horizontal="center" vertical="center"/>
    </xf>
    <xf numFmtId="0" fontId="40" fillId="0" borderId="2" xfId="3" quotePrefix="1" applyFont="1" applyFill="1" applyBorder="1" applyAlignment="1">
      <alignment horizontal="center" vertical="center" wrapText="1"/>
    </xf>
    <xf numFmtId="0" fontId="41" fillId="0" borderId="307" xfId="3" applyFont="1" applyFill="1" applyBorder="1" applyAlignment="1">
      <alignment horizontal="center" vertical="center"/>
    </xf>
    <xf numFmtId="165" fontId="41" fillId="0" borderId="7" xfId="3" applyNumberFormat="1" applyFont="1" applyFill="1" applyBorder="1" applyAlignment="1">
      <alignment horizontal="center" vertical="center"/>
    </xf>
    <xf numFmtId="0" fontId="24" fillId="0" borderId="7" xfId="3" applyFont="1" applyBorder="1" applyAlignment="1">
      <alignment horizontal="center" vertical="center"/>
    </xf>
    <xf numFmtId="0" fontId="24" fillId="0" borderId="9" xfId="3" applyFont="1" applyBorder="1" applyAlignment="1">
      <alignment horizontal="center" vertical="center"/>
    </xf>
    <xf numFmtId="0" fontId="24" fillId="0" borderId="240" xfId="3" applyFont="1" applyBorder="1" applyAlignment="1">
      <alignment horizontal="center" vertical="center"/>
    </xf>
    <xf numFmtId="0" fontId="24" fillId="0" borderId="121" xfId="3" applyFont="1" applyBorder="1" applyAlignment="1">
      <alignment horizontal="center" vertical="center"/>
    </xf>
    <xf numFmtId="0" fontId="24" fillId="0" borderId="18" xfId="3" applyFont="1" applyBorder="1" applyAlignment="1">
      <alignment horizontal="center" vertical="center"/>
    </xf>
    <xf numFmtId="0" fontId="17" fillId="0" borderId="0" xfId="3" applyAlignment="1">
      <alignment horizontal="center" vertical="center"/>
    </xf>
    <xf numFmtId="0" fontId="41" fillId="0" borderId="252" xfId="3" applyFont="1" applyFill="1" applyBorder="1" applyAlignment="1">
      <alignment horizontal="center" vertical="center"/>
    </xf>
    <xf numFmtId="0" fontId="41" fillId="0" borderId="253" xfId="3" applyFont="1" applyFill="1" applyBorder="1" applyAlignment="1">
      <alignment horizontal="center" vertical="center"/>
    </xf>
    <xf numFmtId="0" fontId="41" fillId="0" borderId="250" xfId="3" applyFont="1" applyFill="1" applyBorder="1" applyAlignment="1">
      <alignment horizontal="center" vertical="center"/>
    </xf>
    <xf numFmtId="0" fontId="41" fillId="0" borderId="254" xfId="3" applyFont="1" applyFill="1" applyBorder="1" applyAlignment="1">
      <alignment horizontal="center" vertical="center"/>
    </xf>
    <xf numFmtId="0" fontId="41" fillId="0" borderId="0" xfId="3" applyFont="1" applyFill="1" applyAlignment="1">
      <alignment horizontal="center" vertical="center"/>
    </xf>
    <xf numFmtId="0" fontId="41" fillId="0" borderId="0" xfId="3" applyFont="1" applyFill="1" applyBorder="1" applyAlignment="1">
      <alignment horizontal="center" vertical="center"/>
    </xf>
    <xf numFmtId="0" fontId="41" fillId="0" borderId="305" xfId="3" applyFont="1" applyFill="1" applyBorder="1"/>
    <xf numFmtId="0" fontId="28" fillId="0" borderId="21" xfId="180" applyFont="1" applyFill="1" applyBorder="1"/>
    <xf numFmtId="0" fontId="126" fillId="0" borderId="0" xfId="0" applyFont="1"/>
    <xf numFmtId="0" fontId="111" fillId="0" borderId="0" xfId="177" applyFont="1"/>
    <xf numFmtId="0" fontId="34" fillId="0" borderId="328" xfId="0" applyFont="1" applyBorder="1"/>
    <xf numFmtId="0" fontId="34" fillId="0" borderId="328" xfId="0" applyFont="1" applyFill="1" applyBorder="1" applyAlignment="1">
      <alignment vertical="center"/>
    </xf>
    <xf numFmtId="0" fontId="34" fillId="0" borderId="328" xfId="0" applyFont="1" applyFill="1" applyBorder="1"/>
    <xf numFmtId="0" fontId="34" fillId="0" borderId="307" xfId="0" applyFont="1" applyFill="1" applyBorder="1"/>
    <xf numFmtId="0" fontId="129" fillId="0" borderId="30" xfId="0" applyFont="1" applyBorder="1" applyAlignment="1"/>
    <xf numFmtId="0" fontId="21" fillId="0" borderId="0" xfId="180" applyFont="1" applyFill="1" applyAlignment="1">
      <alignment vertical="center"/>
    </xf>
    <xf numFmtId="165" fontId="24" fillId="0" borderId="121" xfId="15" applyNumberFormat="1" applyFont="1" applyFill="1" applyBorder="1" applyAlignment="1">
      <alignment horizontal="center"/>
    </xf>
    <xf numFmtId="165" fontId="24" fillId="0" borderId="9" xfId="15" applyNumberFormat="1" applyFont="1" applyFill="1" applyBorder="1" applyAlignment="1">
      <alignment horizontal="center"/>
    </xf>
    <xf numFmtId="165" fontId="24" fillId="0" borderId="18" xfId="15" applyNumberFormat="1" applyFont="1" applyFill="1" applyBorder="1" applyAlignment="1">
      <alignment horizontal="center"/>
    </xf>
    <xf numFmtId="165" fontId="24" fillId="0" borderId="7" xfId="15" applyNumberFormat="1" applyFont="1" applyFill="1" applyBorder="1" applyAlignment="1">
      <alignment horizontal="center"/>
    </xf>
    <xf numFmtId="0" fontId="24" fillId="0" borderId="2" xfId="15" applyFont="1" applyFill="1" applyBorder="1" applyAlignment="1">
      <alignment horizontal="left" vertical="top" wrapText="1"/>
    </xf>
    <xf numFmtId="166" fontId="67" fillId="39" borderId="28" xfId="15" applyNumberFormat="1" applyFont="1" applyFill="1" applyBorder="1" applyAlignment="1">
      <alignment horizontal="center" vertical="center"/>
    </xf>
    <xf numFmtId="0" fontId="32" fillId="0" borderId="27" xfId="78" applyNumberFormat="1" applyFont="1" applyFill="1" applyBorder="1" applyAlignment="1">
      <alignment horizontal="center" vertical="center" readingOrder="2"/>
    </xf>
    <xf numFmtId="0" fontId="24" fillId="6" borderId="0" xfId="15" applyFont="1" applyFill="1" applyBorder="1" applyAlignment="1">
      <alignment horizontal="left" vertical="center" wrapText="1"/>
    </xf>
    <xf numFmtId="0" fontId="17" fillId="0" borderId="50" xfId="78" applyFont="1" applyFill="1" applyBorder="1" applyAlignment="1">
      <alignment horizontal="center" vertical="center" wrapText="1" readingOrder="1"/>
    </xf>
    <xf numFmtId="0" fontId="18" fillId="0" borderId="0" xfId="15" applyFont="1" applyFill="1" applyBorder="1" applyAlignment="1">
      <alignment horizontal="left" vertical="center"/>
    </xf>
    <xf numFmtId="0" fontId="18" fillId="0" borderId="0" xfId="180" applyFont="1" applyAlignment="1">
      <alignment horizontal="left" vertical="center"/>
    </xf>
    <xf numFmtId="0" fontId="130" fillId="0" borderId="0" xfId="15" applyFont="1"/>
    <xf numFmtId="0" fontId="34" fillId="0" borderId="331" xfId="0" applyFont="1" applyFill="1" applyBorder="1" applyAlignment="1">
      <alignment vertical="center"/>
    </xf>
    <xf numFmtId="0" fontId="129" fillId="0" borderId="328" xfId="0" applyFont="1" applyFill="1" applyBorder="1" applyAlignment="1">
      <alignment vertical="center"/>
    </xf>
    <xf numFmtId="0" fontId="34" fillId="0" borderId="307" xfId="0" applyFont="1" applyFill="1" applyBorder="1" applyAlignment="1">
      <alignment vertical="center"/>
    </xf>
    <xf numFmtId="0" fontId="34" fillId="0" borderId="0" xfId="0" applyFont="1" applyFill="1" applyBorder="1" applyAlignment="1">
      <alignment horizontal="center"/>
    </xf>
    <xf numFmtId="0" fontId="129" fillId="0" borderId="340" xfId="0" applyFont="1" applyFill="1" applyBorder="1" applyAlignment="1">
      <alignment vertical="center"/>
    </xf>
    <xf numFmtId="0" fontId="34" fillId="0" borderId="340" xfId="0" applyFont="1" applyFill="1" applyBorder="1" applyAlignment="1">
      <alignment vertical="center"/>
    </xf>
    <xf numFmtId="0" fontId="34" fillId="0" borderId="307" xfId="0" applyFont="1" applyBorder="1"/>
    <xf numFmtId="0" fontId="34" fillId="0" borderId="282" xfId="0" applyFont="1" applyBorder="1"/>
    <xf numFmtId="0" fontId="34" fillId="0" borderId="346" xfId="0" applyFont="1" applyBorder="1" applyAlignment="1">
      <alignment horizontal="center"/>
    </xf>
    <xf numFmtId="0" fontId="34" fillId="0" borderId="114" xfId="0" applyFont="1" applyBorder="1"/>
    <xf numFmtId="16" fontId="34" fillId="9" borderId="347" xfId="0" quotePrefix="1" applyNumberFormat="1" applyFont="1" applyFill="1" applyBorder="1" applyAlignment="1">
      <alignment horizontal="center" vertical="center"/>
    </xf>
    <xf numFmtId="0" fontId="34" fillId="9" borderId="347" xfId="0" applyFont="1" applyFill="1" applyBorder="1" applyAlignment="1">
      <alignment horizontal="center" vertical="center"/>
    </xf>
    <xf numFmtId="0" fontId="34" fillId="0" borderId="114" xfId="0" applyFont="1" applyBorder="1" applyAlignment="1"/>
    <xf numFmtId="0" fontId="34" fillId="0" borderId="114" xfId="0" applyFont="1" applyFill="1" applyBorder="1" applyAlignment="1">
      <alignment vertical="center"/>
    </xf>
    <xf numFmtId="0" fontId="34" fillId="0" borderId="176" xfId="0" applyFont="1" applyBorder="1" applyAlignment="1">
      <alignment vertical="center"/>
    </xf>
    <xf numFmtId="0" fontId="34" fillId="0" borderId="175" xfId="0" applyFont="1" applyFill="1" applyBorder="1"/>
    <xf numFmtId="0" fontId="34" fillId="9" borderId="347" xfId="0" quotePrefix="1" applyFont="1" applyFill="1" applyBorder="1" applyAlignment="1">
      <alignment horizontal="center" vertical="center"/>
    </xf>
    <xf numFmtId="0" fontId="34" fillId="9" borderId="348" xfId="0" applyFont="1" applyFill="1" applyBorder="1" applyAlignment="1">
      <alignment horizontal="center" vertical="center"/>
    </xf>
    <xf numFmtId="0" fontId="34" fillId="9" borderId="349" xfId="0" applyFont="1" applyFill="1" applyBorder="1" applyAlignment="1">
      <alignment horizontal="center" vertical="center"/>
    </xf>
    <xf numFmtId="0" fontId="24" fillId="0" borderId="350" xfId="15" applyFont="1" applyFill="1" applyBorder="1" applyAlignment="1">
      <alignment horizontal="center" vertical="center"/>
    </xf>
    <xf numFmtId="0" fontId="24" fillId="0" borderId="292" xfId="15" applyFont="1" applyFill="1" applyBorder="1" applyAlignment="1">
      <alignment horizontal="center" vertical="top" wrapText="1"/>
    </xf>
    <xf numFmtId="0" fontId="24" fillId="0" borderId="351" xfId="15" applyFont="1" applyFill="1" applyBorder="1" applyAlignment="1">
      <alignment horizontal="center" vertical="top" wrapText="1"/>
    </xf>
    <xf numFmtId="166" fontId="67" fillId="0" borderId="79" xfId="15" applyNumberFormat="1" applyFont="1" applyFill="1" applyBorder="1" applyAlignment="1">
      <alignment horizontal="center" vertical="center"/>
    </xf>
    <xf numFmtId="0" fontId="24" fillId="0" borderId="229" xfId="180" quotePrefix="1" applyFont="1" applyFill="1" applyBorder="1" applyAlignment="1">
      <alignment horizontal="center" vertical="center"/>
    </xf>
    <xf numFmtId="0" fontId="24" fillId="0" borderId="229" xfId="180" applyFont="1" applyFill="1" applyBorder="1" applyAlignment="1">
      <alignment horizontal="center" vertical="center"/>
    </xf>
    <xf numFmtId="0" fontId="25" fillId="20" borderId="32" xfId="78" applyFont="1" applyFill="1" applyBorder="1" applyAlignment="1">
      <alignment vertical="center"/>
    </xf>
    <xf numFmtId="0" fontId="30" fillId="6" borderId="328" xfId="15" applyFont="1" applyFill="1" applyBorder="1" applyAlignment="1">
      <alignment vertical="center" wrapText="1"/>
    </xf>
    <xf numFmtId="0" fontId="21" fillId="0" borderId="0" xfId="78" applyFont="1" applyFill="1" applyBorder="1" applyAlignment="1">
      <alignment vertical="center" wrapText="1" shrinkToFit="1"/>
    </xf>
    <xf numFmtId="0" fontId="30" fillId="6" borderId="331" xfId="15" applyFont="1" applyFill="1" applyBorder="1" applyAlignment="1">
      <alignment vertical="center" wrapText="1"/>
    </xf>
    <xf numFmtId="0" fontId="30" fillId="6" borderId="68" xfId="15" applyFont="1" applyFill="1" applyBorder="1" applyAlignment="1">
      <alignment vertical="center" wrapText="1"/>
    </xf>
    <xf numFmtId="0" fontId="30" fillId="6" borderId="72" xfId="15" applyFont="1" applyFill="1" applyBorder="1" applyAlignment="1">
      <alignment vertical="center" wrapText="1"/>
    </xf>
    <xf numFmtId="0" fontId="24" fillId="0" borderId="352" xfId="4" applyFont="1" applyFill="1" applyBorder="1" applyAlignment="1">
      <alignment horizontal="center" vertical="top" wrapText="1"/>
    </xf>
    <xf numFmtId="0" fontId="24" fillId="0" borderId="241" xfId="4" applyFont="1" applyFill="1" applyBorder="1" applyAlignment="1">
      <alignment horizontal="center" wrapText="1"/>
    </xf>
    <xf numFmtId="0" fontId="24" fillId="0" borderId="21" xfId="78" applyFont="1" applyFill="1" applyBorder="1" applyAlignment="1">
      <alignment horizontal="center" vertical="center" wrapText="1" readingOrder="1"/>
    </xf>
    <xf numFmtId="0" fontId="24" fillId="0" borderId="94" xfId="4" applyFont="1" applyFill="1" applyBorder="1" applyAlignment="1">
      <alignment horizontal="left" wrapText="1"/>
    </xf>
    <xf numFmtId="0" fontId="17" fillId="0" borderId="19" xfId="78" applyFont="1" applyFill="1" applyBorder="1" applyAlignment="1">
      <alignment horizontal="center" vertical="center" wrapText="1" readingOrder="1"/>
    </xf>
    <xf numFmtId="0" fontId="93" fillId="0" borderId="1" xfId="78" applyFont="1" applyFill="1" applyBorder="1" applyAlignment="1">
      <alignment vertical="center" readingOrder="2"/>
    </xf>
    <xf numFmtId="0" fontId="17" fillId="0" borderId="1" xfId="78" applyFont="1" applyFill="1" applyBorder="1" applyAlignment="1">
      <alignment horizontal="center" vertical="center" wrapText="1" readingOrder="1"/>
    </xf>
    <xf numFmtId="0" fontId="24" fillId="0" borderId="306" xfId="4" applyFont="1" applyFill="1" applyBorder="1" applyAlignment="1">
      <alignment horizontal="left" vertical="top" wrapText="1"/>
    </xf>
    <xf numFmtId="0" fontId="24" fillId="0" borderId="1" xfId="4" applyFont="1" applyFill="1" applyBorder="1" applyAlignment="1">
      <alignment horizontal="left" vertical="top" wrapText="1"/>
    </xf>
    <xf numFmtId="0" fontId="24" fillId="0" borderId="294" xfId="4" applyFont="1" applyFill="1" applyBorder="1" applyAlignment="1">
      <alignment horizontal="left"/>
    </xf>
    <xf numFmtId="0" fontId="24" fillId="0" borderId="1" xfId="4" applyFont="1" applyFill="1" applyBorder="1" applyAlignment="1">
      <alignment horizontal="left"/>
    </xf>
    <xf numFmtId="49" fontId="95" fillId="20" borderId="14" xfId="171" applyNumberFormat="1" applyFont="1" applyFill="1" applyBorder="1" applyAlignment="1">
      <alignment horizontal="center" vertical="center" shrinkToFit="1"/>
    </xf>
    <xf numFmtId="0" fontId="17" fillId="0" borderId="353" xfId="78" applyFont="1" applyFill="1" applyBorder="1" applyAlignment="1">
      <alignment horizontal="center" vertical="center" wrapText="1" readingOrder="1"/>
    </xf>
    <xf numFmtId="0" fontId="24" fillId="6" borderId="354" xfId="78" applyFont="1" applyFill="1" applyBorder="1"/>
    <xf numFmtId="0" fontId="93" fillId="0" borderId="356" xfId="78" applyFont="1" applyFill="1" applyBorder="1" applyAlignment="1">
      <alignment vertical="center" readingOrder="2"/>
    </xf>
    <xf numFmtId="0" fontId="24" fillId="0" borderId="356" xfId="78" applyFont="1" applyFill="1" applyBorder="1" applyAlignment="1">
      <alignment horizontal="center" vertical="center" wrapText="1" readingOrder="2"/>
    </xf>
    <xf numFmtId="0" fontId="24" fillId="0" borderId="354" xfId="78" applyFont="1" applyFill="1" applyBorder="1" applyAlignment="1">
      <alignment horizontal="center" vertical="center" wrapText="1" readingOrder="2"/>
    </xf>
    <xf numFmtId="0" fontId="30" fillId="6" borderId="19" xfId="15" applyFont="1" applyFill="1" applyBorder="1" applyAlignment="1">
      <alignment vertical="center" wrapText="1"/>
    </xf>
    <xf numFmtId="0" fontId="86" fillId="0" borderId="24" xfId="78" applyFont="1" applyFill="1" applyBorder="1" applyAlignment="1">
      <alignment vertical="center" readingOrder="2"/>
    </xf>
    <xf numFmtId="0" fontId="30" fillId="6" borderId="22" xfId="15" applyFont="1" applyFill="1" applyBorder="1" applyAlignment="1">
      <alignment vertical="center" wrapText="1"/>
    </xf>
    <xf numFmtId="0" fontId="86" fillId="0" borderId="341" xfId="78" applyFont="1" applyFill="1" applyBorder="1" applyAlignment="1">
      <alignment vertical="center" readingOrder="2"/>
    </xf>
    <xf numFmtId="0" fontId="30" fillId="6" borderId="21" xfId="15" applyFont="1" applyFill="1" applyBorder="1" applyAlignment="1">
      <alignment vertical="center" wrapText="1"/>
    </xf>
    <xf numFmtId="0" fontId="86" fillId="0" borderId="23" xfId="78" applyFont="1" applyFill="1" applyBorder="1" applyAlignment="1">
      <alignment vertical="center" readingOrder="2"/>
    </xf>
    <xf numFmtId="0" fontId="30" fillId="6" borderId="326" xfId="15" applyFont="1" applyFill="1" applyBorder="1" applyAlignment="1">
      <alignment vertical="center" wrapText="1"/>
    </xf>
    <xf numFmtId="0" fontId="30" fillId="6" borderId="327" xfId="15" applyFont="1" applyFill="1" applyBorder="1" applyAlignment="1">
      <alignment horizontal="left" vertical="center" wrapText="1"/>
    </xf>
    <xf numFmtId="0" fontId="41" fillId="0" borderId="0" xfId="180" applyFont="1" applyFill="1" applyBorder="1" applyAlignment="1">
      <alignment horizontal="center" vertical="center"/>
    </xf>
    <xf numFmtId="0" fontId="41" fillId="0" borderId="254" xfId="180" applyFont="1" applyFill="1" applyBorder="1" applyAlignment="1">
      <alignment horizontal="left" vertical="center"/>
    </xf>
    <xf numFmtId="0" fontId="41" fillId="0" borderId="260" xfId="180" applyFont="1" applyFill="1" applyBorder="1"/>
    <xf numFmtId="0" fontId="24" fillId="0" borderId="0" xfId="180" applyFont="1" applyFill="1" applyBorder="1" applyAlignment="1">
      <alignment horizontal="center" vertical="center"/>
    </xf>
    <xf numFmtId="0" fontId="41" fillId="0" borderId="0" xfId="180" applyFont="1" applyFill="1" applyBorder="1" applyAlignment="1">
      <alignment horizontal="left" vertical="center" wrapText="1"/>
    </xf>
    <xf numFmtId="0" fontId="41" fillId="0" borderId="0" xfId="180" applyFont="1" applyFill="1" applyBorder="1" applyAlignment="1">
      <alignment vertical="top" wrapText="1"/>
    </xf>
    <xf numFmtId="0" fontId="129" fillId="0" borderId="328" xfId="0" applyFont="1" applyFill="1" applyBorder="1"/>
    <xf numFmtId="0" fontId="129" fillId="0" borderId="175" xfId="0" applyFont="1" applyFill="1" applyBorder="1" applyAlignment="1">
      <alignment vertical="center"/>
    </xf>
    <xf numFmtId="0" fontId="129" fillId="0" borderId="175" xfId="0" applyFont="1" applyFill="1" applyBorder="1"/>
    <xf numFmtId="0" fontId="41" fillId="0" borderId="0" xfId="180" applyFont="1" applyFill="1" applyBorder="1" applyAlignment="1">
      <alignment horizontal="center" vertical="center"/>
    </xf>
    <xf numFmtId="0" fontId="41" fillId="0" borderId="2" xfId="180" applyFont="1" applyFill="1" applyBorder="1" applyAlignment="1">
      <alignment horizontal="center" vertical="center"/>
    </xf>
    <xf numFmtId="0" fontId="41" fillId="0" borderId="2" xfId="180" applyFont="1" applyFill="1" applyBorder="1" applyAlignment="1">
      <alignment horizontal="center" vertical="top"/>
    </xf>
    <xf numFmtId="0" fontId="40" fillId="0" borderId="1" xfId="180" applyFont="1" applyFill="1" applyBorder="1" applyAlignment="1">
      <alignment vertical="top" wrapText="1"/>
    </xf>
    <xf numFmtId="0" fontId="40" fillId="0" borderId="0" xfId="180" applyFont="1" applyFill="1" applyBorder="1" applyAlignment="1">
      <alignment vertical="top" wrapText="1"/>
    </xf>
    <xf numFmtId="0" fontId="41" fillId="0" borderId="1" xfId="180" applyFont="1" applyFill="1" applyBorder="1" applyAlignment="1">
      <alignment horizontal="left" vertical="top" wrapText="1"/>
    </xf>
    <xf numFmtId="0" fontId="41" fillId="0" borderId="0" xfId="180" applyFont="1" applyFill="1" applyBorder="1" applyAlignment="1">
      <alignment horizontal="left" vertical="top" wrapText="1"/>
    </xf>
    <xf numFmtId="0" fontId="41" fillId="0" borderId="2" xfId="180" applyFont="1" applyFill="1" applyBorder="1" applyAlignment="1">
      <alignment horizontal="left" vertical="top" wrapText="1"/>
    </xf>
    <xf numFmtId="0" fontId="41" fillId="0" borderId="0" xfId="180" applyFont="1" applyFill="1" applyBorder="1" applyAlignment="1">
      <alignment vertical="top" wrapText="1"/>
    </xf>
    <xf numFmtId="0" fontId="31" fillId="0" borderId="2" xfId="180" applyFont="1" applyFill="1" applyBorder="1" applyAlignment="1">
      <alignment horizontal="left" vertical="top" wrapText="1"/>
    </xf>
    <xf numFmtId="0" fontId="31" fillId="0" borderId="1" xfId="180" applyFont="1" applyFill="1" applyBorder="1" applyAlignment="1">
      <alignment horizontal="left" vertical="top" wrapText="1"/>
    </xf>
    <xf numFmtId="0" fontId="41" fillId="0" borderId="260" xfId="180" applyFont="1" applyFill="1" applyBorder="1" applyAlignment="1">
      <alignment vertical="center"/>
    </xf>
    <xf numFmtId="0" fontId="41" fillId="0" borderId="260" xfId="180" applyFont="1" applyFill="1" applyBorder="1" applyAlignment="1">
      <alignment horizontal="right" vertical="center"/>
    </xf>
    <xf numFmtId="0" fontId="40" fillId="0" borderId="0" xfId="180" applyFont="1" applyFill="1" applyBorder="1" applyAlignment="1">
      <alignment vertical="center"/>
    </xf>
    <xf numFmtId="165" fontId="41" fillId="0" borderId="260" xfId="180" applyNumberFormat="1" applyFont="1" applyFill="1" applyBorder="1" applyAlignment="1">
      <alignment horizontal="right" vertical="center"/>
    </xf>
    <xf numFmtId="0" fontId="41" fillId="0" borderId="260" xfId="180" applyFont="1" applyBorder="1" applyAlignment="1">
      <alignment vertical="center"/>
    </xf>
    <xf numFmtId="0" fontId="24" fillId="0" borderId="68" xfId="180" applyFont="1" applyFill="1" applyBorder="1" applyAlignment="1">
      <alignment vertical="center"/>
    </xf>
    <xf numFmtId="0" fontId="24" fillId="0" borderId="72" xfId="180" applyFont="1" applyFill="1" applyBorder="1" applyAlignment="1">
      <alignment vertical="center"/>
    </xf>
    <xf numFmtId="0" fontId="24" fillId="0" borderId="0" xfId="180" applyFont="1" applyBorder="1" applyAlignment="1">
      <alignment horizontal="left" vertical="center" wrapText="1"/>
    </xf>
    <xf numFmtId="0" fontId="41" fillId="0" borderId="254" xfId="180" applyFont="1" applyFill="1" applyBorder="1" applyAlignment="1">
      <alignment vertical="center"/>
    </xf>
    <xf numFmtId="0" fontId="41" fillId="0" borderId="250" xfId="180" applyFont="1" applyFill="1" applyBorder="1" applyAlignment="1">
      <alignment vertical="center"/>
    </xf>
    <xf numFmtId="0" fontId="41" fillId="6" borderId="260" xfId="180" applyFont="1" applyFill="1" applyBorder="1" applyAlignment="1">
      <alignment horizontal="right" vertical="top"/>
    </xf>
    <xf numFmtId="0" fontId="41" fillId="6" borderId="97" xfId="180" applyFont="1" applyFill="1" applyBorder="1"/>
    <xf numFmtId="0" fontId="41" fillId="6" borderId="254" xfId="180" applyFont="1" applyFill="1" applyBorder="1" applyAlignment="1">
      <alignment vertical="center"/>
    </xf>
    <xf numFmtId="0" fontId="41" fillId="6" borderId="0" xfId="180" applyFont="1" applyFill="1" applyBorder="1" applyAlignment="1">
      <alignment horizontal="center" vertical="center"/>
    </xf>
    <xf numFmtId="165" fontId="41" fillId="6" borderId="12" xfId="180" applyNumberFormat="1" applyFont="1" applyFill="1" applyBorder="1" applyAlignment="1">
      <alignment horizontal="right" vertical="top"/>
    </xf>
    <xf numFmtId="165" fontId="41" fillId="0" borderId="13" xfId="180" applyNumberFormat="1" applyFont="1" applyFill="1" applyBorder="1" applyAlignment="1">
      <alignment horizontal="right" vertical="top"/>
    </xf>
    <xf numFmtId="165" fontId="41" fillId="0" borderId="0" xfId="180" applyNumberFormat="1" applyFont="1" applyFill="1" applyBorder="1" applyAlignment="1">
      <alignment horizontal="right" vertical="top"/>
    </xf>
    <xf numFmtId="165" fontId="41" fillId="0" borderId="12" xfId="180" applyNumberFormat="1" applyFont="1" applyFill="1" applyBorder="1" applyAlignment="1">
      <alignment horizontal="right" vertical="top"/>
    </xf>
    <xf numFmtId="0" fontId="41" fillId="6" borderId="0" xfId="180" applyFont="1" applyFill="1" applyAlignment="1">
      <alignment vertical="center"/>
    </xf>
    <xf numFmtId="0" fontId="41" fillId="6" borderId="0" xfId="180" applyFont="1" applyFill="1" applyBorder="1" applyAlignment="1">
      <alignment horizontal="left" vertical="center"/>
    </xf>
    <xf numFmtId="0" fontId="41" fillId="6" borderId="260" xfId="180" applyFont="1" applyFill="1" applyBorder="1" applyAlignment="1">
      <alignment vertical="center"/>
    </xf>
    <xf numFmtId="0" fontId="41" fillId="6" borderId="260" xfId="180" applyFont="1" applyFill="1" applyBorder="1" applyAlignment="1">
      <alignment horizontal="left" vertical="center"/>
    </xf>
    <xf numFmtId="0" fontId="41" fillId="0" borderId="306" xfId="15" applyFont="1" applyFill="1" applyBorder="1" applyAlignment="1">
      <alignment horizontal="left" vertical="center" wrapText="1"/>
    </xf>
    <xf numFmtId="0" fontId="41" fillId="0" borderId="307" xfId="15" applyFont="1" applyFill="1" applyBorder="1" applyAlignment="1">
      <alignment horizontal="left" vertical="center" wrapText="1"/>
    </xf>
    <xf numFmtId="0" fontId="41" fillId="0" borderId="305" xfId="15" applyFont="1" applyFill="1" applyBorder="1" applyAlignment="1">
      <alignment horizontal="left" vertical="center" wrapText="1"/>
    </xf>
    <xf numFmtId="0" fontId="41" fillId="0" borderId="1" xfId="15" applyFont="1" applyFill="1" applyBorder="1" applyAlignment="1">
      <alignment horizontal="left" vertical="top" wrapText="1"/>
    </xf>
    <xf numFmtId="0" fontId="41" fillId="0" borderId="2" xfId="15" applyFont="1" applyFill="1" applyBorder="1" applyAlignment="1">
      <alignment horizontal="left" vertical="top" wrapText="1"/>
    </xf>
    <xf numFmtId="0" fontId="41" fillId="0" borderId="294" xfId="15" applyFont="1" applyFill="1" applyBorder="1" applyAlignment="1">
      <alignment horizontal="center" vertical="center" wrapText="1"/>
    </xf>
    <xf numFmtId="0" fontId="31" fillId="0" borderId="5" xfId="15" applyFont="1" applyFill="1" applyBorder="1" applyAlignment="1">
      <alignment horizontal="center" vertical="center" wrapText="1"/>
    </xf>
    <xf numFmtId="0" fontId="31" fillId="0" borderId="6" xfId="15" applyFont="1" applyFill="1" applyBorder="1" applyAlignment="1">
      <alignment horizontal="left" vertical="center" wrapText="1"/>
    </xf>
    <xf numFmtId="0" fontId="24" fillId="0" borderId="12" xfId="180" applyFont="1" applyFill="1" applyBorder="1" applyAlignment="1">
      <alignment horizontal="center"/>
    </xf>
    <xf numFmtId="0" fontId="24" fillId="0" borderId="151" xfId="180" applyFont="1" applyFill="1" applyBorder="1" applyAlignment="1">
      <alignment horizontal="center"/>
    </xf>
    <xf numFmtId="0" fontId="24" fillId="0" borderId="153" xfId="180" applyFont="1" applyFill="1" applyBorder="1" applyAlignment="1">
      <alignment horizontal="center"/>
    </xf>
    <xf numFmtId="0" fontId="24" fillId="0" borderId="13" xfId="180" applyFont="1" applyFill="1" applyBorder="1" applyAlignment="1">
      <alignment horizontal="center"/>
    </xf>
    <xf numFmtId="0" fontId="30" fillId="0" borderId="81" xfId="15" applyFont="1" applyBorder="1" applyAlignment="1">
      <alignment vertical="top"/>
    </xf>
    <xf numFmtId="0" fontId="30" fillId="0" borderId="42" xfId="15" applyFont="1" applyBorder="1" applyAlignment="1">
      <alignment vertical="top"/>
    </xf>
    <xf numFmtId="0" fontId="41" fillId="0" borderId="328" xfId="180" applyFont="1" applyFill="1" applyBorder="1"/>
    <xf numFmtId="0" fontId="41" fillId="0" borderId="328" xfId="0" applyFont="1" applyBorder="1" applyAlignment="1"/>
    <xf numFmtId="0" fontId="41" fillId="0" borderId="328" xfId="0" applyFont="1" applyBorder="1" applyAlignment="1">
      <alignment vertical="top" wrapText="1"/>
    </xf>
    <xf numFmtId="0" fontId="25" fillId="0" borderId="2" xfId="180" applyFont="1" applyFill="1" applyBorder="1" applyAlignment="1">
      <alignment vertical="top" wrapText="1"/>
    </xf>
    <xf numFmtId="0" fontId="24" fillId="0" borderId="307" xfId="180" applyFont="1" applyFill="1" applyBorder="1" applyAlignment="1">
      <alignment horizontal="center" vertical="center"/>
    </xf>
    <xf numFmtId="0" fontId="24" fillId="0" borderId="350" xfId="180" applyFont="1" applyFill="1" applyBorder="1" applyAlignment="1">
      <alignment horizontal="left" vertical="center"/>
    </xf>
    <xf numFmtId="0" fontId="41" fillId="0" borderId="328" xfId="180" applyFont="1" applyFill="1" applyBorder="1" applyAlignment="1">
      <alignment horizontal="center"/>
    </xf>
    <xf numFmtId="0" fontId="41" fillId="0" borderId="328" xfId="180" applyFont="1" applyFill="1" applyBorder="1" applyAlignment="1">
      <alignment horizontal="center" vertical="center"/>
    </xf>
    <xf numFmtId="165" fontId="25" fillId="0" borderId="44" xfId="180" applyNumberFormat="1" applyFont="1" applyFill="1" applyBorder="1" applyAlignment="1">
      <alignment horizontal="center"/>
    </xf>
    <xf numFmtId="165" fontId="25" fillId="22" borderId="13" xfId="180" applyNumberFormat="1" applyFont="1" applyFill="1" applyBorder="1" applyAlignment="1">
      <alignment horizontal="center"/>
    </xf>
    <xf numFmtId="165" fontId="25" fillId="0" borderId="14" xfId="180" applyNumberFormat="1" applyFont="1" applyFill="1" applyBorder="1" applyAlignment="1">
      <alignment horizontal="center"/>
    </xf>
    <xf numFmtId="165" fontId="25" fillId="22" borderId="56" xfId="180" applyNumberFormat="1" applyFont="1" applyFill="1" applyBorder="1" applyAlignment="1">
      <alignment horizontal="center"/>
    </xf>
    <xf numFmtId="0" fontId="41" fillId="0" borderId="1" xfId="15" applyFont="1" applyFill="1" applyBorder="1" applyAlignment="1">
      <alignment horizontal="center"/>
    </xf>
    <xf numFmtId="0" fontId="41" fillId="0" borderId="0" xfId="15" applyFont="1" applyFill="1" applyBorder="1" applyAlignment="1">
      <alignment horizontal="center"/>
    </xf>
    <xf numFmtId="0" fontId="41" fillId="0" borderId="2" xfId="15" applyFont="1" applyFill="1" applyBorder="1" applyAlignment="1"/>
    <xf numFmtId="0" fontId="41" fillId="0" borderId="256" xfId="180" applyFont="1" applyBorder="1" applyAlignment="1">
      <alignment horizontal="center"/>
    </xf>
    <xf numFmtId="0" fontId="41" fillId="0" borderId="1" xfId="180" applyFont="1" applyBorder="1" applyAlignment="1"/>
    <xf numFmtId="0" fontId="41" fillId="0" borderId="0" xfId="180" applyFont="1" applyBorder="1" applyAlignment="1"/>
    <xf numFmtId="0" fontId="41" fillId="0" borderId="2" xfId="180" applyFont="1" applyBorder="1" applyAlignment="1"/>
    <xf numFmtId="0" fontId="41" fillId="0" borderId="271" xfId="180" applyFont="1" applyBorder="1" applyAlignment="1">
      <alignment vertical="center"/>
    </xf>
    <xf numFmtId="0" fontId="47" fillId="0" borderId="258" xfId="180" applyFont="1" applyFill="1" applyBorder="1" applyAlignment="1">
      <alignment vertical="center" wrapText="1"/>
    </xf>
    <xf numFmtId="0" fontId="41" fillId="0" borderId="256" xfId="180" applyFont="1" applyFill="1" applyBorder="1" applyAlignment="1">
      <alignment vertical="center" wrapText="1"/>
    </xf>
    <xf numFmtId="0" fontId="41" fillId="0" borderId="2" xfId="180" applyFont="1" applyFill="1" applyBorder="1" applyAlignment="1">
      <alignment horizontal="center" vertical="top" wrapText="1"/>
    </xf>
    <xf numFmtId="0" fontId="41" fillId="0" borderId="0" xfId="180" applyFont="1" applyFill="1" applyBorder="1" applyAlignment="1">
      <alignment horizontal="left" vertical="top" wrapText="1"/>
    </xf>
    <xf numFmtId="0" fontId="41" fillId="0" borderId="2" xfId="180" applyFont="1" applyFill="1" applyBorder="1" applyAlignment="1">
      <alignment horizontal="center" vertical="top"/>
    </xf>
    <xf numFmtId="0" fontId="41" fillId="0" borderId="2" xfId="180" applyFont="1" applyFill="1" applyBorder="1" applyAlignment="1">
      <alignment horizontal="center" vertical="center"/>
    </xf>
    <xf numFmtId="0" fontId="41" fillId="0" borderId="260" xfId="15" applyFont="1" applyFill="1" applyBorder="1" applyAlignment="1">
      <alignment horizontal="left" vertical="top" wrapText="1"/>
    </xf>
    <xf numFmtId="0" fontId="24" fillId="0" borderId="108" xfId="180" applyFont="1" applyFill="1" applyBorder="1" applyAlignment="1">
      <alignment horizontal="center" vertical="center"/>
    </xf>
    <xf numFmtId="165" fontId="24" fillId="0" borderId="30" xfId="15" applyNumberFormat="1" applyFont="1" applyFill="1" applyBorder="1" applyAlignment="1">
      <alignment horizontal="center"/>
    </xf>
    <xf numFmtId="165" fontId="24" fillId="0" borderId="8" xfId="15" applyNumberFormat="1" applyFont="1" applyFill="1" applyBorder="1" applyAlignment="1">
      <alignment horizontal="center"/>
    </xf>
    <xf numFmtId="165" fontId="24" fillId="0" borderId="242" xfId="15" applyNumberFormat="1" applyFont="1" applyFill="1" applyBorder="1" applyAlignment="1">
      <alignment horizontal="center"/>
    </xf>
    <xf numFmtId="165" fontId="24" fillId="0" borderId="6" xfId="15" applyNumberFormat="1" applyFont="1" applyFill="1" applyBorder="1" applyAlignment="1">
      <alignment horizontal="center"/>
    </xf>
    <xf numFmtId="165" fontId="24" fillId="0" borderId="17" xfId="15" applyNumberFormat="1" applyFont="1" applyFill="1" applyBorder="1" applyAlignment="1">
      <alignment horizontal="center"/>
    </xf>
    <xf numFmtId="165" fontId="24" fillId="0" borderId="122" xfId="15" applyNumberFormat="1" applyFont="1" applyFill="1" applyBorder="1" applyAlignment="1">
      <alignment horizontal="center"/>
    </xf>
    <xf numFmtId="0" fontId="41" fillId="0" borderId="254" xfId="180" applyFont="1" applyFill="1" applyBorder="1" applyAlignment="1">
      <alignment vertical="top" wrapText="1"/>
    </xf>
    <xf numFmtId="0" fontId="41" fillId="0" borderId="258" xfId="180" applyFont="1" applyFill="1" applyBorder="1" applyAlignment="1">
      <alignment horizontal="center" vertical="top" wrapText="1"/>
    </xf>
    <xf numFmtId="0" fontId="41" fillId="0" borderId="261" xfId="180" applyFont="1" applyFill="1" applyBorder="1" applyAlignment="1">
      <alignment horizontal="center" vertical="top" wrapText="1"/>
    </xf>
    <xf numFmtId="0" fontId="24" fillId="0" borderId="0" xfId="180" applyFont="1" applyFill="1" applyBorder="1" applyAlignment="1">
      <alignment horizontal="center"/>
    </xf>
    <xf numFmtId="0" fontId="24" fillId="0" borderId="97" xfId="180" applyFont="1" applyFill="1" applyBorder="1" applyAlignment="1">
      <alignment horizontal="center"/>
    </xf>
    <xf numFmtId="0" fontId="17" fillId="0" borderId="341" xfId="180" applyBorder="1"/>
    <xf numFmtId="0" fontId="41" fillId="0" borderId="11" xfId="180" applyFont="1" applyFill="1" applyBorder="1" applyAlignment="1">
      <alignment vertical="top"/>
    </xf>
    <xf numFmtId="0" fontId="41" fillId="0" borderId="3" xfId="180" applyFont="1" applyFill="1" applyBorder="1" applyAlignment="1">
      <alignment vertical="top" wrapText="1"/>
    </xf>
    <xf numFmtId="0" fontId="41" fillId="0" borderId="4" xfId="180" applyFont="1" applyFill="1" applyBorder="1" applyAlignment="1">
      <alignment vertical="top" wrapText="1"/>
    </xf>
    <xf numFmtId="0" fontId="31" fillId="0" borderId="1" xfId="180" applyFont="1" applyFill="1" applyBorder="1" applyAlignment="1">
      <alignment horizontal="left" vertical="top"/>
    </xf>
    <xf numFmtId="0" fontId="31" fillId="0" borderId="0" xfId="180" applyFont="1" applyFill="1" applyBorder="1" applyAlignment="1">
      <alignment horizontal="left" vertical="top"/>
    </xf>
    <xf numFmtId="0" fontId="31" fillId="0" borderId="23" xfId="180" applyFont="1" applyFill="1" applyBorder="1" applyAlignment="1">
      <alignment horizontal="left" vertical="top"/>
    </xf>
    <xf numFmtId="0" fontId="31" fillId="0" borderId="0" xfId="180" applyFont="1" applyFill="1" applyBorder="1" applyAlignment="1">
      <alignment horizontal="left" vertical="top" wrapText="1"/>
    </xf>
    <xf numFmtId="0" fontId="41" fillId="0" borderId="23" xfId="180" applyFont="1" applyFill="1" applyBorder="1" applyAlignment="1">
      <alignment horizontal="left" vertical="top" wrapText="1"/>
    </xf>
    <xf numFmtId="0" fontId="41" fillId="0" borderId="147" xfId="180" applyFont="1" applyFill="1" applyBorder="1" applyAlignment="1">
      <alignment horizontal="left" vertical="center"/>
    </xf>
    <xf numFmtId="0" fontId="41" fillId="0" borderId="144" xfId="180" applyFont="1" applyFill="1" applyBorder="1" applyAlignment="1">
      <alignment horizontal="left" vertical="center"/>
    </xf>
    <xf numFmtId="0" fontId="41" fillId="0" borderId="148" xfId="180" applyFont="1" applyFill="1" applyBorder="1" applyAlignment="1">
      <alignment horizontal="center" vertical="center"/>
    </xf>
    <xf numFmtId="0" fontId="31" fillId="0" borderId="0" xfId="180" applyFont="1" applyFill="1" applyBorder="1" applyAlignment="1"/>
    <xf numFmtId="0" fontId="31" fillId="0" borderId="2" xfId="180" applyFont="1" applyFill="1" applyBorder="1" applyAlignment="1"/>
    <xf numFmtId="0" fontId="31" fillId="0" borderId="1" xfId="180" applyFont="1" applyFill="1" applyBorder="1"/>
    <xf numFmtId="0" fontId="31" fillId="0" borderId="2" xfId="180" applyFont="1" applyFill="1" applyBorder="1"/>
    <xf numFmtId="0" fontId="31" fillId="0" borderId="23" xfId="180" applyFont="1" applyFill="1" applyBorder="1" applyAlignment="1"/>
    <xf numFmtId="0" fontId="41" fillId="0" borderId="45" xfId="180" applyFont="1" applyFill="1" applyBorder="1" applyAlignment="1">
      <alignment horizontal="center" vertical="top"/>
    </xf>
    <xf numFmtId="0" fontId="41" fillId="0" borderId="71" xfId="180" applyFont="1" applyFill="1" applyBorder="1" applyAlignment="1">
      <alignment horizontal="left" vertical="top"/>
    </xf>
    <xf numFmtId="0" fontId="41" fillId="0" borderId="156" xfId="180" applyFont="1" applyFill="1" applyBorder="1" applyAlignment="1">
      <alignment horizontal="right"/>
    </xf>
    <xf numFmtId="0" fontId="41" fillId="0" borderId="147" xfId="180" applyFont="1" applyFill="1" applyBorder="1"/>
    <xf numFmtId="0" fontId="41" fillId="0" borderId="148" xfId="180" applyFont="1" applyFill="1" applyBorder="1" applyAlignment="1">
      <alignment horizontal="center"/>
    </xf>
    <xf numFmtId="0" fontId="41" fillId="0" borderId="23" xfId="180" applyFont="1" applyFill="1" applyBorder="1" applyAlignment="1">
      <alignment horizontal="center" vertical="center"/>
    </xf>
    <xf numFmtId="0" fontId="41" fillId="0" borderId="71" xfId="180" applyFont="1" applyFill="1" applyBorder="1"/>
    <xf numFmtId="0" fontId="41" fillId="0" borderId="45" xfId="180" applyFont="1" applyFill="1" applyBorder="1"/>
    <xf numFmtId="0" fontId="40" fillId="0" borderId="304" xfId="180" applyFont="1" applyFill="1" applyBorder="1" applyAlignment="1">
      <alignment vertical="top" wrapText="1"/>
    </xf>
    <xf numFmtId="0" fontId="67" fillId="0" borderId="45" xfId="180" applyFont="1" applyFill="1" applyBorder="1" applyAlignment="1"/>
    <xf numFmtId="0" fontId="67" fillId="0" borderId="2" xfId="180" applyFont="1" applyFill="1" applyBorder="1" applyAlignment="1"/>
    <xf numFmtId="0" fontId="67" fillId="0" borderId="0" xfId="180" applyFont="1" applyFill="1" applyBorder="1" applyAlignment="1"/>
    <xf numFmtId="0" fontId="67" fillId="0" borderId="1" xfId="180" applyFont="1" applyFill="1" applyBorder="1" applyAlignment="1"/>
    <xf numFmtId="0" fontId="67" fillId="0" borderId="0" xfId="180" applyFont="1" applyFill="1" applyBorder="1" applyAlignment="1">
      <alignment horizontal="right" vertical="center"/>
    </xf>
    <xf numFmtId="0" fontId="67" fillId="0" borderId="23" xfId="180" applyFont="1" applyFill="1" applyBorder="1" applyAlignment="1">
      <alignment horizontal="right" vertical="center"/>
    </xf>
    <xf numFmtId="0" fontId="41" fillId="0" borderId="97" xfId="180" applyFont="1" applyFill="1" applyBorder="1" applyAlignment="1">
      <alignment horizontal="center" vertical="center"/>
    </xf>
    <xf numFmtId="0" fontId="41" fillId="0" borderId="49" xfId="180" applyFont="1" applyFill="1" applyBorder="1" applyAlignment="1">
      <alignment horizontal="center" vertical="center"/>
    </xf>
    <xf numFmtId="166" fontId="40" fillId="0" borderId="136" xfId="180" applyNumberFormat="1" applyFont="1" applyFill="1" applyBorder="1" applyAlignment="1">
      <alignment horizontal="left"/>
    </xf>
    <xf numFmtId="0" fontId="118" fillId="0" borderId="0" xfId="0" applyFont="1" applyFill="1" applyBorder="1" applyAlignment="1" applyProtection="1">
      <alignment horizontal="left" readingOrder="1"/>
      <protection locked="0"/>
    </xf>
    <xf numFmtId="0" fontId="19" fillId="0" borderId="0" xfId="0" applyFont="1" applyFill="1" applyBorder="1" applyAlignment="1" applyProtection="1">
      <alignment horizontal="center" readingOrder="1"/>
      <protection locked="0"/>
    </xf>
    <xf numFmtId="0" fontId="20" fillId="0" borderId="0" xfId="0" applyFont="1" applyFill="1" applyBorder="1" applyAlignment="1" applyProtection="1">
      <alignment horizontal="left" readingOrder="1"/>
      <protection locked="0"/>
    </xf>
    <xf numFmtId="0" fontId="41" fillId="0" borderId="12" xfId="180" applyFont="1" applyFill="1" applyBorder="1" applyAlignment="1">
      <alignment horizontal="center" vertical="center"/>
    </xf>
    <xf numFmtId="165" fontId="41" fillId="0" borderId="1" xfId="180" applyNumberFormat="1" applyFont="1" applyFill="1" applyBorder="1" applyAlignment="1">
      <alignment horizontal="center" vertical="center"/>
    </xf>
    <xf numFmtId="165" fontId="41" fillId="0" borderId="2" xfId="180" applyNumberFormat="1" applyFont="1" applyFill="1" applyBorder="1" applyAlignment="1">
      <alignment horizontal="center" vertical="center"/>
    </xf>
    <xf numFmtId="0" fontId="24" fillId="0" borderId="97" xfId="180" applyFont="1" applyFill="1" applyBorder="1" applyAlignment="1">
      <alignment horizontal="center" vertical="center"/>
    </xf>
    <xf numFmtId="0" fontId="24" fillId="0" borderId="108" xfId="180" applyFont="1" applyFill="1" applyBorder="1" applyAlignment="1">
      <alignment horizontal="center" vertical="center"/>
    </xf>
    <xf numFmtId="0" fontId="24" fillId="0" borderId="36" xfId="180" applyFont="1" applyFill="1" applyBorder="1" applyAlignment="1">
      <alignment horizontal="center" wrapText="1"/>
    </xf>
    <xf numFmtId="0" fontId="24" fillId="0" borderId="30" xfId="180" applyFont="1" applyFill="1" applyBorder="1" applyAlignment="1">
      <alignment horizontal="center" wrapText="1"/>
    </xf>
    <xf numFmtId="0" fontId="24" fillId="0" borderId="35" xfId="180" applyFont="1" applyFill="1" applyBorder="1" applyAlignment="1">
      <alignment horizontal="center" wrapText="1"/>
    </xf>
    <xf numFmtId="0" fontId="24" fillId="0" borderId="10" xfId="180" applyFont="1" applyFill="1" applyBorder="1" applyAlignment="1">
      <alignment horizontal="center" wrapText="1"/>
    </xf>
    <xf numFmtId="0" fontId="24" fillId="0" borderId="8" xfId="180" applyFont="1" applyFill="1" applyBorder="1" applyAlignment="1">
      <alignment horizontal="center" wrapText="1"/>
    </xf>
    <xf numFmtId="0" fontId="24" fillId="0" borderId="9" xfId="180" applyFont="1" applyFill="1" applyBorder="1" applyAlignment="1">
      <alignment horizontal="center" wrapText="1"/>
    </xf>
    <xf numFmtId="165" fontId="41" fillId="0" borderId="45" xfId="180" applyNumberFormat="1" applyFont="1" applyFill="1" applyBorder="1" applyAlignment="1">
      <alignment horizontal="center" vertical="center"/>
    </xf>
    <xf numFmtId="0" fontId="24" fillId="0" borderId="16" xfId="180" applyFont="1" applyFill="1" applyBorder="1" applyAlignment="1">
      <alignment horizontal="center" wrapText="1"/>
    </xf>
    <xf numFmtId="0" fontId="24" fillId="0" borderId="17" xfId="180" applyFont="1" applyFill="1" applyBorder="1" applyAlignment="1">
      <alignment horizontal="center" wrapText="1"/>
    </xf>
    <xf numFmtId="0" fontId="24" fillId="0" borderId="18" xfId="180" applyFont="1" applyFill="1" applyBorder="1" applyAlignment="1">
      <alignment horizontal="center" wrapText="1"/>
    </xf>
    <xf numFmtId="0" fontId="24" fillId="0" borderId="5" xfId="180" applyFont="1" applyFill="1" applyBorder="1" applyAlignment="1">
      <alignment horizontal="center" wrapText="1"/>
    </xf>
    <xf numFmtId="0" fontId="24" fillId="0" borderId="6" xfId="180" applyFont="1" applyFill="1" applyBorder="1" applyAlignment="1">
      <alignment horizontal="center" wrapText="1"/>
    </xf>
    <xf numFmtId="0" fontId="24" fillId="0" borderId="7" xfId="180" applyFont="1" applyFill="1" applyBorder="1" applyAlignment="1">
      <alignment horizontal="center" wrapText="1"/>
    </xf>
    <xf numFmtId="0" fontId="24" fillId="0" borderId="239" xfId="180" applyFont="1" applyFill="1" applyBorder="1" applyAlignment="1">
      <alignment horizontal="center" wrapText="1"/>
    </xf>
    <xf numFmtId="0" fontId="24" fillId="0" borderId="120" xfId="180" applyFont="1" applyFill="1" applyBorder="1" applyAlignment="1">
      <alignment horizontal="center" wrapText="1"/>
    </xf>
    <xf numFmtId="0" fontId="24" fillId="0" borderId="122" xfId="180" applyFont="1" applyFill="1" applyBorder="1" applyAlignment="1">
      <alignment horizontal="center" wrapText="1"/>
    </xf>
    <xf numFmtId="0" fontId="24" fillId="0" borderId="121" xfId="180" applyFont="1" applyFill="1" applyBorder="1" applyAlignment="1">
      <alignment horizontal="center" wrapText="1"/>
    </xf>
    <xf numFmtId="0" fontId="24" fillId="0" borderId="40" xfId="180" applyFont="1" applyFill="1" applyBorder="1" applyAlignment="1">
      <alignment horizontal="center" wrapText="1"/>
    </xf>
    <xf numFmtId="0" fontId="24" fillId="0" borderId="38" xfId="180" applyFont="1" applyFill="1" applyBorder="1" applyAlignment="1">
      <alignment horizontal="center" wrapText="1"/>
    </xf>
    <xf numFmtId="0" fontId="24" fillId="0" borderId="39" xfId="180" applyFont="1" applyFill="1" applyBorder="1" applyAlignment="1">
      <alignment horizontal="center" wrapText="1"/>
    </xf>
    <xf numFmtId="0" fontId="24" fillId="0" borderId="308" xfId="180" applyFont="1" applyFill="1" applyBorder="1" applyAlignment="1">
      <alignment horizontal="center" vertical="center"/>
    </xf>
    <xf numFmtId="0" fontId="24" fillId="0" borderId="8" xfId="180" applyFont="1" applyFill="1" applyBorder="1" applyAlignment="1">
      <alignment horizontal="center" vertical="center"/>
    </xf>
    <xf numFmtId="0" fontId="41" fillId="0" borderId="0" xfId="4" applyFont="1" applyFill="1" applyBorder="1" applyAlignment="1">
      <alignment horizontal="left" vertical="top" wrapText="1"/>
    </xf>
    <xf numFmtId="0" fontId="24" fillId="0" borderId="0" xfId="78" applyFont="1" applyFill="1" applyBorder="1" applyAlignment="1">
      <alignment horizontal="right" vertical="center" shrinkToFit="1" readingOrder="2"/>
    </xf>
    <xf numFmtId="0" fontId="17" fillId="0" borderId="50" xfId="78" applyFont="1" applyFill="1" applyBorder="1" applyAlignment="1">
      <alignment horizontal="center" vertical="center" wrapText="1" readingOrder="1"/>
    </xf>
    <xf numFmtId="0" fontId="17" fillId="0" borderId="15" xfId="78" applyFont="1" applyFill="1" applyBorder="1" applyAlignment="1">
      <alignment horizontal="center" vertical="center" wrapText="1" readingOrder="1"/>
    </xf>
    <xf numFmtId="0" fontId="129" fillId="0" borderId="57" xfId="0" applyFont="1" applyFill="1" applyBorder="1" applyAlignment="1">
      <alignment vertical="center"/>
    </xf>
    <xf numFmtId="0" fontId="34" fillId="0" borderId="57" xfId="0" applyFont="1" applyFill="1" applyBorder="1" applyAlignment="1">
      <alignment vertical="center"/>
    </xf>
    <xf numFmtId="0" fontId="34" fillId="0" borderId="360" xfId="0" applyFont="1" applyBorder="1"/>
    <xf numFmtId="16" fontId="34" fillId="0" borderId="361" xfId="0" quotePrefix="1" applyNumberFormat="1" applyFont="1" applyFill="1" applyBorder="1" applyAlignment="1">
      <alignment horizontal="center" vertical="center"/>
    </xf>
    <xf numFmtId="0" fontId="34" fillId="0" borderId="0" xfId="0" applyFont="1" applyFill="1" applyBorder="1"/>
    <xf numFmtId="0" fontId="34" fillId="0" borderId="361" xfId="0" applyFont="1" applyFill="1" applyBorder="1" applyAlignment="1">
      <alignment horizontal="center" vertical="center"/>
    </xf>
    <xf numFmtId="0" fontId="0" fillId="0" borderId="97" xfId="0" applyBorder="1" applyAlignment="1"/>
    <xf numFmtId="0" fontId="32" fillId="0" borderId="0" xfId="15" applyFont="1" applyFill="1" applyBorder="1" applyAlignment="1">
      <alignment horizontal="center" vertical="center"/>
    </xf>
    <xf numFmtId="0" fontId="24" fillId="0" borderId="256" xfId="180" quotePrefix="1" applyFont="1" applyFill="1" applyBorder="1" applyAlignment="1">
      <alignment horizontal="center" vertical="center" wrapText="1"/>
    </xf>
    <xf numFmtId="0" fontId="24" fillId="0" borderId="256" xfId="180" applyFont="1" applyFill="1" applyBorder="1" applyAlignment="1">
      <alignment horizontal="center" vertical="center" wrapText="1"/>
    </xf>
    <xf numFmtId="166" fontId="24" fillId="0" borderId="2" xfId="15" applyNumberFormat="1" applyFont="1" applyFill="1" applyBorder="1" applyAlignment="1">
      <alignment horizontal="center" vertical="center" wrapText="1"/>
    </xf>
    <xf numFmtId="165" fontId="24" fillId="0" borderId="30" xfId="15" applyNumberFormat="1" applyFont="1" applyFill="1" applyBorder="1" applyAlignment="1">
      <alignment horizontal="center" vertical="center"/>
    </xf>
    <xf numFmtId="165" fontId="24" fillId="0" borderId="8" xfId="15" applyNumberFormat="1" applyFont="1" applyFill="1" applyBorder="1" applyAlignment="1">
      <alignment horizontal="center" vertical="center"/>
    </xf>
    <xf numFmtId="165" fontId="24" fillId="0" borderId="242" xfId="15" applyNumberFormat="1" applyFont="1" applyFill="1" applyBorder="1" applyAlignment="1">
      <alignment horizontal="center" vertical="center"/>
    </xf>
    <xf numFmtId="165" fontId="24" fillId="0" borderId="122" xfId="15" applyNumberFormat="1" applyFont="1" applyFill="1" applyBorder="1" applyAlignment="1">
      <alignment horizontal="center" vertical="center"/>
    </xf>
    <xf numFmtId="165" fontId="24" fillId="0" borderId="17" xfId="15" applyNumberFormat="1" applyFont="1" applyFill="1" applyBorder="1" applyAlignment="1">
      <alignment horizontal="center" vertical="center"/>
    </xf>
    <xf numFmtId="165" fontId="24" fillId="0" borderId="6" xfId="15" applyNumberFormat="1" applyFont="1" applyFill="1" applyBorder="1" applyAlignment="1">
      <alignment horizontal="center" vertical="center"/>
    </xf>
    <xf numFmtId="165" fontId="24" fillId="0" borderId="38" xfId="15" applyNumberFormat="1" applyFont="1" applyFill="1" applyBorder="1" applyAlignment="1">
      <alignment horizontal="center" vertical="center"/>
    </xf>
    <xf numFmtId="0" fontId="24" fillId="0" borderId="2" xfId="15" applyFont="1" applyFill="1" applyBorder="1" applyAlignment="1">
      <alignment horizontal="center"/>
    </xf>
    <xf numFmtId="0" fontId="47" fillId="0" borderId="258" xfId="180" applyFont="1" applyFill="1" applyBorder="1" applyAlignment="1">
      <alignment horizontal="center" vertical="top" wrapText="1"/>
    </xf>
    <xf numFmtId="166" fontId="24" fillId="0" borderId="2" xfId="15" applyNumberFormat="1" applyFont="1" applyFill="1" applyBorder="1" applyAlignment="1">
      <alignment horizontal="center" vertical="top" wrapText="1"/>
    </xf>
    <xf numFmtId="0" fontId="41" fillId="0" borderId="257" xfId="15" applyFont="1" applyFill="1" applyBorder="1" applyAlignment="1">
      <alignment horizontal="left" vertical="top" wrapText="1"/>
    </xf>
    <xf numFmtId="0" fontId="41" fillId="0" borderId="260" xfId="15" applyFont="1" applyFill="1" applyBorder="1" applyAlignment="1">
      <alignment horizontal="center" vertical="center"/>
    </xf>
    <xf numFmtId="0" fontId="41" fillId="0" borderId="257" xfId="15" applyFont="1" applyFill="1" applyBorder="1" applyAlignment="1">
      <alignment vertical="center"/>
    </xf>
    <xf numFmtId="0" fontId="41" fillId="0" borderId="254" xfId="15" applyFont="1" applyFill="1" applyBorder="1" applyAlignment="1">
      <alignment horizontal="center" vertical="center"/>
    </xf>
    <xf numFmtId="0" fontId="41" fillId="0" borderId="250" xfId="15" applyFont="1" applyFill="1" applyBorder="1" applyAlignment="1">
      <alignment horizontal="right" vertical="center"/>
    </xf>
    <xf numFmtId="166" fontId="40" fillId="0" borderId="250" xfId="15" applyNumberFormat="1" applyFont="1" applyFill="1" applyBorder="1" applyAlignment="1">
      <alignment horizontal="left" vertical="center"/>
    </xf>
    <xf numFmtId="0" fontId="41" fillId="0" borderId="264" xfId="15" applyFont="1" applyFill="1" applyBorder="1" applyAlignment="1">
      <alignment horizontal="center" vertical="center"/>
    </xf>
    <xf numFmtId="0" fontId="41" fillId="0" borderId="259" xfId="15" applyFont="1" applyFill="1" applyBorder="1" applyAlignment="1">
      <alignment horizontal="center" vertical="center"/>
    </xf>
    <xf numFmtId="0" fontId="41" fillId="0" borderId="249" xfId="15" applyFont="1" applyFill="1" applyBorder="1" applyAlignment="1">
      <alignment horizontal="right" vertical="center"/>
    </xf>
    <xf numFmtId="166" fontId="40" fillId="6" borderId="177" xfId="15" applyNumberFormat="1" applyFont="1" applyFill="1" applyBorder="1" applyAlignment="1">
      <alignment horizontal="left" vertical="center"/>
    </xf>
    <xf numFmtId="0" fontId="41" fillId="0" borderId="254" xfId="15" applyFont="1" applyFill="1" applyBorder="1" applyAlignment="1">
      <alignment horizontal="left" vertical="top" wrapText="1"/>
    </xf>
    <xf numFmtId="167" fontId="40" fillId="0" borderId="258" xfId="15" applyNumberFormat="1" applyFont="1" applyFill="1" applyBorder="1" applyAlignment="1">
      <alignment horizontal="center" vertical="top"/>
    </xf>
    <xf numFmtId="0" fontId="41" fillId="0" borderId="342" xfId="15" applyFont="1" applyFill="1" applyBorder="1" applyAlignment="1">
      <alignment horizontal="left" vertical="top" wrapText="1"/>
    </xf>
    <xf numFmtId="0" fontId="41" fillId="0" borderId="331" xfId="15" applyFont="1" applyFill="1" applyBorder="1" applyAlignment="1">
      <alignment horizontal="left" vertical="top" wrapText="1"/>
    </xf>
    <xf numFmtId="167" fontId="40" fillId="0" borderId="308" xfId="15" applyNumberFormat="1" applyFont="1" applyFill="1" applyBorder="1" applyAlignment="1">
      <alignment horizontal="center" vertical="top"/>
    </xf>
    <xf numFmtId="0" fontId="41" fillId="0" borderId="260" xfId="15" applyFont="1" applyFill="1" applyBorder="1" applyAlignment="1">
      <alignment vertical="center"/>
    </xf>
    <xf numFmtId="0" fontId="41" fillId="0" borderId="297" xfId="15" applyFont="1" applyFill="1" applyBorder="1" applyAlignment="1">
      <alignment horizontal="left" vertical="top" wrapText="1"/>
    </xf>
    <xf numFmtId="0" fontId="41" fillId="0" borderId="257" xfId="15" applyFont="1" applyFill="1" applyBorder="1" applyAlignment="1">
      <alignment horizontal="left" vertical="top"/>
    </xf>
    <xf numFmtId="0" fontId="41" fillId="0" borderId="254" xfId="15" applyFont="1" applyFill="1" applyBorder="1" applyAlignment="1">
      <alignment horizontal="left" vertical="top"/>
    </xf>
    <xf numFmtId="0" fontId="41" fillId="0" borderId="258" xfId="15" applyFont="1" applyFill="1" applyBorder="1" applyAlignment="1">
      <alignment horizontal="left" vertical="top" wrapText="1"/>
    </xf>
    <xf numFmtId="0" fontId="41" fillId="0" borderId="260" xfId="15" applyFont="1" applyFill="1" applyBorder="1" applyAlignment="1">
      <alignment horizontal="left" vertical="top"/>
    </xf>
    <xf numFmtId="0" fontId="41" fillId="0" borderId="256" xfId="15" applyFont="1" applyFill="1" applyBorder="1" applyAlignment="1">
      <alignment horizontal="left" vertical="top"/>
    </xf>
    <xf numFmtId="0" fontId="41" fillId="2" borderId="260" xfId="2" applyFont="1" applyFill="1" applyBorder="1" applyAlignment="1">
      <alignment vertical="top"/>
    </xf>
    <xf numFmtId="0" fontId="41" fillId="2" borderId="266" xfId="2" applyFont="1" applyFill="1" applyBorder="1" applyAlignment="1">
      <alignment vertical="top"/>
    </xf>
    <xf numFmtId="0" fontId="41" fillId="0" borderId="2" xfId="15" applyFont="1" applyFill="1" applyBorder="1" applyAlignment="1">
      <alignment vertical="center"/>
    </xf>
    <xf numFmtId="0" fontId="41" fillId="0" borderId="21" xfId="180" applyFont="1" applyFill="1" applyBorder="1" applyAlignment="1">
      <alignment vertical="top" wrapText="1"/>
    </xf>
    <xf numFmtId="0" fontId="41" fillId="0" borderId="269" xfId="180" applyFont="1" applyFill="1" applyBorder="1" applyAlignment="1">
      <alignment vertical="top" wrapText="1"/>
    </xf>
    <xf numFmtId="0" fontId="41" fillId="0" borderId="269" xfId="180" applyFont="1" applyFill="1" applyBorder="1" applyAlignment="1">
      <alignment horizontal="left" vertical="top"/>
    </xf>
    <xf numFmtId="0" fontId="41" fillId="0" borderId="21" xfId="180" applyFont="1" applyFill="1" applyBorder="1" applyAlignment="1">
      <alignment horizontal="center"/>
    </xf>
    <xf numFmtId="0" fontId="41" fillId="0" borderId="21" xfId="180" applyFont="1" applyFill="1" applyBorder="1" applyAlignment="1">
      <alignment horizontal="left" vertical="top"/>
    </xf>
    <xf numFmtId="0" fontId="32" fillId="0" borderId="0" xfId="180" applyFont="1" applyFill="1" applyBorder="1" applyAlignment="1">
      <alignment horizontal="center"/>
    </xf>
    <xf numFmtId="0" fontId="17" fillId="0" borderId="364" xfId="0" applyFont="1" applyBorder="1" applyAlignment="1" applyProtection="1">
      <alignment readingOrder="1"/>
      <protection locked="0"/>
    </xf>
    <xf numFmtId="0" fontId="17" fillId="0" borderId="116" xfId="0" applyFont="1" applyBorder="1" applyAlignment="1" applyProtection="1">
      <alignment readingOrder="1"/>
      <protection locked="0"/>
    </xf>
    <xf numFmtId="0" fontId="0" fillId="0" borderId="116" xfId="0" applyBorder="1"/>
    <xf numFmtId="0" fontId="0" fillId="0" borderId="310" xfId="0" applyBorder="1"/>
    <xf numFmtId="0" fontId="18" fillId="0" borderId="1" xfId="0" applyFont="1" applyFill="1" applyBorder="1" applyAlignment="1" applyProtection="1">
      <alignment horizontal="left" readingOrder="1"/>
      <protection locked="0"/>
    </xf>
    <xf numFmtId="0" fontId="20" fillId="0" borderId="1" xfId="0" applyFont="1" applyFill="1" applyBorder="1" applyAlignment="1" applyProtection="1">
      <alignment horizontal="left" readingOrder="1"/>
      <protection locked="0"/>
    </xf>
    <xf numFmtId="0" fontId="24" fillId="0" borderId="0" xfId="0" applyFont="1" applyFill="1" applyBorder="1" applyAlignment="1">
      <alignment horizontal="left"/>
    </xf>
    <xf numFmtId="0" fontId="20" fillId="0" borderId="239" xfId="0" applyFont="1" applyFill="1" applyBorder="1" applyAlignment="1" applyProtection="1">
      <alignment horizontal="center" readingOrder="1"/>
      <protection locked="0"/>
    </xf>
    <xf numFmtId="0" fontId="17" fillId="0" borderId="239" xfId="0" applyFont="1" applyFill="1" applyBorder="1" applyAlignment="1" applyProtection="1">
      <alignment horizontal="center" readingOrder="1"/>
      <protection locked="0"/>
    </xf>
    <xf numFmtId="0" fontId="17" fillId="0" borderId="111" xfId="0" applyFont="1" applyFill="1" applyBorder="1" applyAlignment="1" applyProtection="1">
      <alignment horizontal="center" readingOrder="1"/>
      <protection locked="0"/>
    </xf>
    <xf numFmtId="0" fontId="17" fillId="0" borderId="331" xfId="0" applyFont="1" applyFill="1" applyBorder="1" applyAlignment="1" applyProtection="1">
      <alignment horizontal="center" readingOrder="1"/>
      <protection locked="0"/>
    </xf>
    <xf numFmtId="0" fontId="19" fillId="0" borderId="331" xfId="0" applyFont="1" applyFill="1" applyBorder="1" applyAlignment="1" applyProtection="1">
      <alignment vertical="center" readingOrder="1"/>
      <protection locked="0"/>
    </xf>
    <xf numFmtId="0" fontId="19" fillId="0" borderId="331" xfId="0" applyFont="1" applyFill="1" applyBorder="1" applyAlignment="1" applyProtection="1">
      <alignment readingOrder="1"/>
      <protection locked="0"/>
    </xf>
    <xf numFmtId="0" fontId="17" fillId="0" borderId="331" xfId="0" applyFont="1" applyFill="1" applyBorder="1" applyAlignment="1">
      <alignment horizontal="center"/>
    </xf>
    <xf numFmtId="0" fontId="24" fillId="0" borderId="331" xfId="0" applyFont="1" applyFill="1" applyBorder="1"/>
    <xf numFmtId="0" fontId="19" fillId="0" borderId="156" xfId="0" applyFont="1" applyFill="1" applyBorder="1" applyAlignment="1" applyProtection="1">
      <alignment vertical="center" readingOrder="1"/>
      <protection locked="0"/>
    </xf>
    <xf numFmtId="0" fontId="19" fillId="0" borderId="156" xfId="0" applyFont="1" applyFill="1" applyBorder="1" applyAlignment="1" applyProtection="1">
      <alignment readingOrder="1"/>
      <protection locked="0"/>
    </xf>
    <xf numFmtId="0" fontId="97" fillId="0" borderId="156" xfId="0" applyFont="1" applyFill="1" applyBorder="1" applyAlignment="1" applyProtection="1">
      <alignment readingOrder="1"/>
      <protection locked="0"/>
    </xf>
    <xf numFmtId="0" fontId="19" fillId="0" borderId="156" xfId="0" applyFont="1" applyFill="1" applyBorder="1"/>
    <xf numFmtId="0" fontId="24" fillId="0" borderId="156" xfId="0" applyFont="1" applyFill="1" applyBorder="1"/>
    <xf numFmtId="0" fontId="20" fillId="0" borderId="156" xfId="0" applyFont="1" applyFill="1" applyBorder="1" applyAlignment="1" applyProtection="1">
      <alignment horizontal="center" readingOrder="1"/>
      <protection locked="0"/>
    </xf>
    <xf numFmtId="0" fontId="20" fillId="0" borderId="156" xfId="0" applyFont="1" applyFill="1" applyBorder="1" applyAlignment="1">
      <alignment horizontal="center"/>
    </xf>
    <xf numFmtId="0" fontId="20" fillId="0" borderId="331" xfId="0" applyFont="1" applyFill="1" applyBorder="1" applyAlignment="1" applyProtection="1">
      <alignment horizontal="center" readingOrder="1"/>
      <protection locked="0"/>
    </xf>
    <xf numFmtId="0" fontId="20" fillId="0" borderId="331" xfId="0" applyFont="1" applyFill="1" applyBorder="1" applyAlignment="1">
      <alignment horizontal="center"/>
    </xf>
    <xf numFmtId="0" fontId="24" fillId="0" borderId="0" xfId="0" applyFont="1" applyFill="1" applyBorder="1" applyAlignment="1">
      <alignment horizontal="center"/>
    </xf>
    <xf numFmtId="0" fontId="18" fillId="0" borderId="156" xfId="0" applyFont="1" applyFill="1" applyBorder="1" applyAlignment="1" applyProtection="1">
      <alignment horizontal="left" readingOrder="1"/>
      <protection locked="0"/>
    </xf>
    <xf numFmtId="0" fontId="19" fillId="0" borderId="313" xfId="0" applyFont="1" applyFill="1" applyBorder="1" applyAlignment="1" applyProtection="1">
      <alignment readingOrder="1"/>
      <protection locked="0"/>
    </xf>
    <xf numFmtId="0" fontId="24" fillId="0" borderId="310" xfId="0" applyFont="1" applyFill="1" applyBorder="1"/>
    <xf numFmtId="0" fontId="19" fillId="0" borderId="2" xfId="0" applyFont="1" applyFill="1" applyBorder="1" applyAlignment="1" applyProtection="1">
      <alignment readingOrder="1"/>
      <protection locked="0"/>
    </xf>
    <xf numFmtId="0" fontId="49" fillId="0" borderId="156" xfId="0" applyFont="1" applyFill="1" applyBorder="1" applyAlignment="1" applyProtection="1">
      <alignment horizontal="left" vertical="center" readingOrder="1"/>
      <protection locked="0"/>
    </xf>
    <xf numFmtId="0" fontId="49" fillId="0" borderId="156" xfId="0" applyFont="1" applyFill="1" applyBorder="1" applyAlignment="1" applyProtection="1">
      <alignment horizontal="left" readingOrder="1"/>
      <protection locked="0"/>
    </xf>
    <xf numFmtId="0" fontId="20" fillId="0" borderId="156" xfId="0" applyFont="1" applyFill="1" applyBorder="1" applyAlignment="1" applyProtection="1">
      <alignment horizontal="left" readingOrder="1"/>
      <protection locked="0"/>
    </xf>
    <xf numFmtId="0" fontId="20" fillId="0" borderId="156" xfId="0" applyFont="1" applyFill="1" applyBorder="1" applyAlignment="1">
      <alignment horizontal="left"/>
    </xf>
    <xf numFmtId="0" fontId="19" fillId="0" borderId="328" xfId="0" applyFont="1" applyFill="1" applyBorder="1" applyAlignment="1" applyProtection="1">
      <alignment readingOrder="1"/>
      <protection locked="0"/>
    </xf>
    <xf numFmtId="0" fontId="24" fillId="0" borderId="328" xfId="0" applyFont="1" applyFill="1" applyBorder="1"/>
    <xf numFmtId="0" fontId="25" fillId="0" borderId="2" xfId="0" applyFont="1" applyFill="1" applyBorder="1" applyAlignment="1">
      <alignment horizontal="left"/>
    </xf>
    <xf numFmtId="0" fontId="20" fillId="0" borderId="306" xfId="0" applyFont="1" applyFill="1" applyBorder="1" applyAlignment="1" applyProtection="1">
      <alignment horizontal="left" readingOrder="1"/>
      <protection locked="0"/>
    </xf>
    <xf numFmtId="0" fontId="49" fillId="0" borderId="328" xfId="0" applyFont="1" applyFill="1" applyBorder="1" applyAlignment="1" applyProtection="1">
      <alignment readingOrder="1"/>
      <protection locked="0"/>
    </xf>
    <xf numFmtId="0" fontId="17" fillId="0" borderId="328" xfId="0" applyFont="1" applyFill="1" applyBorder="1" applyAlignment="1" applyProtection="1">
      <alignment horizontal="center" readingOrder="1"/>
      <protection locked="0"/>
    </xf>
    <xf numFmtId="0" fontId="20" fillId="0" borderId="0" xfId="0" applyFont="1" applyFill="1" applyBorder="1" applyAlignment="1">
      <alignment vertical="center"/>
    </xf>
    <xf numFmtId="0" fontId="25" fillId="0" borderId="239" xfId="0" applyFont="1" applyFill="1" applyBorder="1" applyAlignment="1">
      <alignment horizontal="left"/>
    </xf>
    <xf numFmtId="0" fontId="25" fillId="0" borderId="111" xfId="0" applyFont="1" applyFill="1" applyBorder="1" applyAlignment="1">
      <alignment horizontal="left"/>
    </xf>
    <xf numFmtId="0" fontId="25" fillId="0" borderId="112" xfId="0" applyFont="1" applyFill="1" applyBorder="1" applyAlignment="1">
      <alignment horizontal="left"/>
    </xf>
    <xf numFmtId="0" fontId="25" fillId="0" borderId="0" xfId="0" applyFont="1" applyFill="1" applyBorder="1" applyAlignment="1" applyProtection="1">
      <alignment readingOrder="1"/>
      <protection locked="0"/>
    </xf>
    <xf numFmtId="0" fontId="32" fillId="0" borderId="1" xfId="0" applyFont="1" applyFill="1" applyBorder="1" applyAlignment="1" applyProtection="1">
      <alignment horizontal="left" readingOrder="1"/>
      <protection locked="0"/>
    </xf>
    <xf numFmtId="0" fontId="19" fillId="0" borderId="1" xfId="0" applyFont="1" applyFill="1" applyBorder="1" applyAlignment="1" applyProtection="1">
      <alignment readingOrder="1"/>
      <protection locked="0"/>
    </xf>
    <xf numFmtId="0" fontId="0" fillId="0" borderId="239" xfId="0" applyFill="1" applyBorder="1" applyAlignment="1"/>
    <xf numFmtId="0" fontId="0" fillId="0" borderId="0" xfId="0" applyBorder="1" applyAlignment="1">
      <alignment vertical="center"/>
    </xf>
    <xf numFmtId="0" fontId="0" fillId="0" borderId="0" xfId="0" applyBorder="1" applyAlignment="1"/>
    <xf numFmtId="0" fontId="0" fillId="0" borderId="2" xfId="0" applyBorder="1"/>
    <xf numFmtId="0" fontId="0" fillId="0" borderId="365" xfId="0" applyBorder="1" applyAlignment="1">
      <alignment vertical="center"/>
    </xf>
    <xf numFmtId="0" fontId="20" fillId="0" borderId="6" xfId="0" applyFont="1" applyFill="1" applyBorder="1" applyAlignment="1">
      <alignment horizontal="left" vertical="center"/>
    </xf>
    <xf numFmtId="0" fontId="49" fillId="0" borderId="6" xfId="0" applyFont="1" applyFill="1" applyBorder="1" applyAlignment="1" applyProtection="1">
      <alignment horizontal="left" vertical="center" readingOrder="1"/>
      <protection locked="0"/>
    </xf>
    <xf numFmtId="0" fontId="49" fillId="0" borderId="6" xfId="0" applyFont="1" applyFill="1" applyBorder="1" applyAlignment="1" applyProtection="1">
      <alignment horizontal="left" readingOrder="1"/>
      <protection locked="0"/>
    </xf>
    <xf numFmtId="0" fontId="20" fillId="0" borderId="6" xfId="0" applyFont="1" applyFill="1" applyBorder="1" applyAlignment="1" applyProtection="1">
      <alignment horizontal="left" readingOrder="1"/>
      <protection locked="0"/>
    </xf>
    <xf numFmtId="0" fontId="20" fillId="0" borderId="6" xfId="0" applyFont="1" applyFill="1" applyBorder="1" applyAlignment="1">
      <alignment horizontal="left"/>
    </xf>
    <xf numFmtId="0" fontId="17" fillId="0" borderId="0" xfId="0" applyFont="1" applyFill="1" applyAlignment="1" applyProtection="1">
      <alignment horizontal="right" vertical="center" readingOrder="1"/>
      <protection locked="0"/>
    </xf>
    <xf numFmtId="0" fontId="24" fillId="0" borderId="0" xfId="0" applyFont="1" applyAlignment="1">
      <alignment horizontal="center"/>
    </xf>
    <xf numFmtId="0" fontId="19" fillId="0" borderId="2" xfId="0" applyFont="1" applyFill="1" applyBorder="1" applyAlignment="1" applyProtection="1">
      <alignment horizontal="center" readingOrder="1"/>
      <protection locked="0"/>
    </xf>
    <xf numFmtId="0" fontId="24" fillId="0" borderId="111" xfId="180" applyFont="1" applyFill="1" applyBorder="1" applyAlignment="1">
      <alignment horizontal="center"/>
    </xf>
    <xf numFmtId="0" fontId="24" fillId="0" borderId="112" xfId="180" applyFont="1" applyFill="1" applyBorder="1" applyAlignment="1">
      <alignment horizontal="center"/>
    </xf>
    <xf numFmtId="0" fontId="24" fillId="0" borderId="122" xfId="180" applyFont="1" applyFill="1" applyBorder="1" applyAlignment="1">
      <alignment horizontal="center"/>
    </xf>
    <xf numFmtId="0" fontId="24" fillId="0" borderId="121" xfId="180" applyFont="1" applyFill="1" applyBorder="1" applyAlignment="1">
      <alignment horizontal="center"/>
    </xf>
    <xf numFmtId="0" fontId="24" fillId="0" borderId="17" xfId="180" applyFont="1" applyFill="1" applyBorder="1" applyAlignment="1">
      <alignment horizontal="center"/>
    </xf>
    <xf numFmtId="0" fontId="24" fillId="0" borderId="18" xfId="180" applyFont="1" applyFill="1" applyBorder="1" applyAlignment="1">
      <alignment horizontal="center"/>
    </xf>
    <xf numFmtId="0" fontId="24" fillId="0" borderId="112" xfId="180" applyFont="1" applyFill="1" applyBorder="1" applyAlignment="1">
      <alignment horizontal="center" wrapText="1"/>
    </xf>
    <xf numFmtId="0" fontId="24" fillId="0" borderId="6" xfId="180" applyFont="1" applyFill="1" applyBorder="1" applyAlignment="1">
      <alignment horizontal="center" vertical="center"/>
    </xf>
    <xf numFmtId="0" fontId="24" fillId="0" borderId="122" xfId="180" applyFont="1" applyFill="1" applyBorder="1" applyAlignment="1">
      <alignment horizontal="center" vertical="center"/>
    </xf>
    <xf numFmtId="0" fontId="24" fillId="0" borderId="17" xfId="180" applyFont="1" applyFill="1" applyBorder="1" applyAlignment="1">
      <alignment horizontal="center" vertical="center"/>
    </xf>
    <xf numFmtId="0" fontId="31" fillId="0" borderId="54" xfId="15" applyFont="1" applyBorder="1" applyAlignment="1">
      <alignment horizontal="center" vertical="center" wrapText="1"/>
    </xf>
    <xf numFmtId="0" fontId="41" fillId="0" borderId="10" xfId="15" applyFont="1" applyFill="1" applyBorder="1" applyAlignment="1">
      <alignment horizontal="center" vertical="center" wrapText="1"/>
    </xf>
    <xf numFmtId="0" fontId="41" fillId="0" borderId="137" xfId="15" applyFont="1" applyFill="1" applyBorder="1" applyAlignment="1">
      <alignment horizontal="center" vertical="center" wrapText="1"/>
    </xf>
    <xf numFmtId="0" fontId="41" fillId="0" borderId="66" xfId="15" applyFont="1" applyBorder="1" applyAlignment="1">
      <alignment horizontal="center" vertical="center" wrapText="1"/>
    </xf>
    <xf numFmtId="0" fontId="24" fillId="0" borderId="67" xfId="15" applyFont="1" applyBorder="1" applyAlignment="1">
      <alignment horizontal="center" vertical="center" wrapText="1"/>
    </xf>
    <xf numFmtId="0" fontId="41" fillId="0" borderId="14" xfId="15" applyFont="1" applyBorder="1" applyAlignment="1">
      <alignment horizontal="center" vertical="center" wrapText="1"/>
    </xf>
    <xf numFmtId="0" fontId="41" fillId="0" borderId="67" xfId="15" applyFont="1" applyBorder="1" applyAlignment="1">
      <alignment horizontal="center" vertical="center" wrapText="1"/>
    </xf>
    <xf numFmtId="0" fontId="24" fillId="0" borderId="49" xfId="3" applyFont="1" applyFill="1" applyBorder="1" applyAlignment="1">
      <alignment horizontal="center" vertical="top" wrapText="1"/>
    </xf>
    <xf numFmtId="0" fontId="41" fillId="0" borderId="139" xfId="180" applyFont="1" applyFill="1" applyBorder="1" applyAlignment="1">
      <alignment horizontal="center" wrapText="1"/>
    </xf>
    <xf numFmtId="0" fontId="41" fillId="0" borderId="139" xfId="180" applyNumberFormat="1" applyFont="1" applyFill="1" applyBorder="1" applyAlignment="1">
      <alignment horizontal="center"/>
    </xf>
    <xf numFmtId="0" fontId="24" fillId="0" borderId="308" xfId="180" applyFont="1" applyFill="1" applyBorder="1" applyAlignment="1">
      <alignment horizontal="center"/>
    </xf>
    <xf numFmtId="0" fontId="24" fillId="0" borderId="40" xfId="3" applyFont="1" applyFill="1" applyBorder="1" applyAlignment="1">
      <alignment horizontal="center" wrapText="1"/>
    </xf>
    <xf numFmtId="0" fontId="24" fillId="0" borderId="39" xfId="3" applyFont="1" applyFill="1" applyBorder="1" applyAlignment="1">
      <alignment horizontal="center" wrapText="1"/>
    </xf>
    <xf numFmtId="165" fontId="24" fillId="0" borderId="39" xfId="3" applyNumberFormat="1" applyFont="1" applyFill="1" applyBorder="1" applyAlignment="1">
      <alignment horizontal="center" wrapText="1"/>
    </xf>
    <xf numFmtId="0" fontId="24" fillId="0" borderId="49" xfId="3" applyFont="1" applyFill="1" applyBorder="1"/>
    <xf numFmtId="0" fontId="24" fillId="0" borderId="40" xfId="3" applyFont="1" applyBorder="1"/>
    <xf numFmtId="0" fontId="24" fillId="0" borderId="38" xfId="3" applyFont="1" applyBorder="1"/>
    <xf numFmtId="0" fontId="24" fillId="0" borderId="39" xfId="3" applyFont="1" applyBorder="1" applyAlignment="1">
      <alignment horizontal="center" vertical="center"/>
    </xf>
    <xf numFmtId="0" fontId="24" fillId="0" borderId="39" xfId="3" applyFont="1" applyBorder="1" applyAlignment="1">
      <alignment horizontal="center"/>
    </xf>
    <xf numFmtId="0" fontId="24" fillId="0" borderId="39" xfId="3" applyFont="1" applyBorder="1"/>
    <xf numFmtId="0" fontId="24" fillId="0" borderId="49" xfId="3" applyFont="1" applyBorder="1"/>
    <xf numFmtId="0" fontId="24" fillId="0" borderId="40" xfId="180" applyFont="1" applyBorder="1"/>
    <xf numFmtId="0" fontId="24" fillId="0" borderId="38" xfId="180" applyFont="1" applyBorder="1"/>
    <xf numFmtId="0" fontId="24" fillId="0" borderId="20" xfId="180" applyFont="1" applyFill="1" applyBorder="1" applyAlignment="1">
      <alignment horizontal="center" wrapText="1"/>
    </xf>
    <xf numFmtId="0" fontId="24" fillId="0" borderId="366" xfId="180" applyFont="1" applyFill="1" applyBorder="1" applyAlignment="1">
      <alignment horizontal="center" wrapText="1"/>
    </xf>
    <xf numFmtId="0" fontId="24" fillId="0" borderId="111" xfId="180" applyFont="1" applyBorder="1"/>
    <xf numFmtId="0" fontId="24" fillId="0" borderId="112" xfId="180" applyFont="1" applyBorder="1" applyAlignment="1">
      <alignment horizontal="center" vertical="center"/>
    </xf>
    <xf numFmtId="0" fontId="24" fillId="0" borderId="112" xfId="180" applyFont="1" applyBorder="1"/>
    <xf numFmtId="0" fontId="24" fillId="0" borderId="39" xfId="180" applyFont="1" applyBorder="1" applyAlignment="1">
      <alignment horizontal="center" vertical="center"/>
    </xf>
    <xf numFmtId="0" fontId="24" fillId="0" borderId="49" xfId="180" applyFont="1" applyBorder="1"/>
    <xf numFmtId="165" fontId="41" fillId="0" borderId="232" xfId="180" applyNumberFormat="1" applyFont="1" applyFill="1" applyBorder="1" applyAlignment="1">
      <alignment horizontal="center" vertical="center"/>
    </xf>
    <xf numFmtId="165" fontId="41" fillId="0" borderId="135" xfId="180" applyNumberFormat="1" applyFont="1" applyFill="1" applyBorder="1" applyAlignment="1">
      <alignment horizontal="center" vertical="center"/>
    </xf>
    <xf numFmtId="165" fontId="41" fillId="0" borderId="307" xfId="180" applyNumberFormat="1" applyFont="1" applyFill="1" applyBorder="1" applyAlignment="1"/>
    <xf numFmtId="165" fontId="41" fillId="0" borderId="258" xfId="180" applyNumberFormat="1" applyFont="1" applyFill="1" applyBorder="1" applyAlignment="1">
      <alignment horizontal="center" vertical="center"/>
    </xf>
    <xf numFmtId="165" fontId="41" fillId="0" borderId="307" xfId="180" applyNumberFormat="1" applyFont="1" applyFill="1" applyBorder="1" applyAlignment="1">
      <alignment horizontal="center" vertical="center"/>
    </xf>
    <xf numFmtId="165" fontId="41" fillId="0" borderId="233" xfId="180" applyNumberFormat="1" applyFont="1" applyFill="1" applyBorder="1" applyAlignment="1">
      <alignment horizontal="center" vertical="center"/>
    </xf>
    <xf numFmtId="0" fontId="41" fillId="0" borderId="38" xfId="180" applyFont="1" applyFill="1" applyBorder="1" applyAlignment="1">
      <alignment horizontal="center" vertical="center" wrapText="1"/>
    </xf>
    <xf numFmtId="166" fontId="36" fillId="3" borderId="34" xfId="180" applyNumberFormat="1" applyFont="1" applyFill="1" applyBorder="1" applyAlignment="1"/>
    <xf numFmtId="165" fontId="41" fillId="0" borderId="363" xfId="180" quotePrefix="1" applyNumberFormat="1" applyFont="1" applyFill="1" applyBorder="1" applyAlignment="1">
      <alignment horizontal="right" vertical="center"/>
    </xf>
    <xf numFmtId="165" fontId="41" fillId="0" borderId="307" xfId="180" applyNumberFormat="1" applyFont="1" applyFill="1" applyBorder="1" applyAlignment="1">
      <alignment vertical="top"/>
    </xf>
    <xf numFmtId="165" fontId="41" fillId="0" borderId="307" xfId="180" applyNumberFormat="1" applyFont="1" applyFill="1" applyBorder="1" applyAlignment="1">
      <alignment horizontal="center"/>
    </xf>
    <xf numFmtId="0" fontId="41" fillId="0" borderId="342" xfId="180" applyFont="1" applyFill="1" applyBorder="1" applyAlignment="1">
      <alignment horizontal="left" vertical="top"/>
    </xf>
    <xf numFmtId="165" fontId="41" fillId="0" borderId="308" xfId="180" applyNumberFormat="1" applyFont="1" applyFill="1" applyBorder="1" applyAlignment="1">
      <alignment horizontal="center"/>
    </xf>
    <xf numFmtId="165" fontId="41" fillId="0" borderId="1" xfId="180" applyNumberFormat="1" applyFont="1" applyFill="1" applyBorder="1" applyAlignment="1">
      <alignment horizontal="center"/>
    </xf>
    <xf numFmtId="165" fontId="41" fillId="0" borderId="1" xfId="180" applyNumberFormat="1" applyFont="1" applyFill="1" applyBorder="1" applyAlignment="1">
      <alignment horizontal="right" vertical="center"/>
    </xf>
    <xf numFmtId="165" fontId="41" fillId="0" borderId="5" xfId="180" applyNumberFormat="1" applyFont="1" applyFill="1" applyBorder="1" applyAlignment="1">
      <alignment horizontal="center" vertical="center"/>
    </xf>
    <xf numFmtId="0" fontId="41" fillId="0" borderId="7" xfId="180" applyFont="1" applyFill="1" applyBorder="1" applyAlignment="1">
      <alignment vertical="center"/>
    </xf>
    <xf numFmtId="166" fontId="21" fillId="0" borderId="0" xfId="180" applyNumberFormat="1" applyFont="1" applyFill="1" applyBorder="1" applyAlignment="1">
      <alignment horizontal="left" vertical="center"/>
    </xf>
    <xf numFmtId="0" fontId="21" fillId="0" borderId="0" xfId="3" applyFont="1" applyFill="1" applyBorder="1" applyAlignment="1">
      <alignment horizontal="left" vertical="center"/>
    </xf>
    <xf numFmtId="165" fontId="24" fillId="0" borderId="39" xfId="15" applyNumberFormat="1" applyFont="1" applyFill="1" applyBorder="1" applyAlignment="1"/>
    <xf numFmtId="0" fontId="24" fillId="0" borderId="40" xfId="15" applyFont="1" applyFill="1" applyBorder="1"/>
    <xf numFmtId="0" fontId="24" fillId="0" borderId="38" xfId="15" applyFont="1" applyFill="1" applyBorder="1"/>
    <xf numFmtId="0" fontId="24" fillId="0" borderId="202" xfId="15" applyFont="1" applyFill="1" applyBorder="1"/>
    <xf numFmtId="0" fontId="24" fillId="0" borderId="129" xfId="15" applyFont="1" applyFill="1" applyBorder="1"/>
    <xf numFmtId="0" fontId="24" fillId="0" borderId="203" xfId="15" applyFont="1" applyFill="1" applyBorder="1"/>
    <xf numFmtId="0" fontId="24" fillId="0" borderId="43" xfId="15" applyFont="1" applyFill="1" applyBorder="1"/>
    <xf numFmtId="0" fontId="24" fillId="0" borderId="39" xfId="15" applyFont="1" applyFill="1" applyBorder="1"/>
    <xf numFmtId="0" fontId="24" fillId="0" borderId="41" xfId="15" applyFont="1" applyFill="1" applyBorder="1" applyAlignment="1">
      <alignment horizontal="center"/>
    </xf>
    <xf numFmtId="0" fontId="24" fillId="0" borderId="363" xfId="180" applyFont="1" applyFill="1" applyBorder="1" applyAlignment="1">
      <alignment horizontal="center" vertical="center"/>
    </xf>
    <xf numFmtId="0" fontId="99" fillId="0" borderId="9" xfId="177" applyFont="1" applyBorder="1" applyAlignment="1"/>
    <xf numFmtId="0" fontId="31" fillId="0" borderId="19" xfId="15" applyFont="1" applyBorder="1" applyAlignment="1">
      <alignment vertical="top" wrapText="1"/>
    </xf>
    <xf numFmtId="0" fontId="31" fillId="0" borderId="24" xfId="15" applyFont="1" applyBorder="1" applyAlignment="1">
      <alignment vertical="top" wrapText="1"/>
    </xf>
    <xf numFmtId="0" fontId="31" fillId="0" borderId="22" xfId="15" applyFont="1" applyBorder="1" applyAlignment="1">
      <alignment vertical="top" wrapText="1"/>
    </xf>
    <xf numFmtId="0" fontId="31" fillId="0" borderId="341" xfId="15" applyFont="1" applyBorder="1" applyAlignment="1">
      <alignment vertical="top" wrapText="1"/>
    </xf>
    <xf numFmtId="0" fontId="98" fillId="0" borderId="331" xfId="177" applyFont="1" applyBorder="1"/>
    <xf numFmtId="0" fontId="98" fillId="0" borderId="326" xfId="177" applyFont="1" applyBorder="1"/>
    <xf numFmtId="0" fontId="31" fillId="0" borderId="328" xfId="15" applyFont="1" applyBorder="1" applyAlignment="1">
      <alignment vertical="top" wrapText="1"/>
    </xf>
    <xf numFmtId="0" fontId="31" fillId="0" borderId="358" xfId="15" applyFont="1" applyBorder="1" applyAlignment="1">
      <alignment vertical="top" wrapText="1"/>
    </xf>
    <xf numFmtId="0" fontId="19" fillId="0" borderId="0" xfId="3" applyFont="1" applyFill="1" applyBorder="1" applyAlignment="1"/>
    <xf numFmtId="0" fontId="24" fillId="0" borderId="6" xfId="2" applyFont="1" applyFill="1" applyBorder="1" applyAlignment="1">
      <alignment horizontal="left" vertical="top" wrapText="1"/>
    </xf>
    <xf numFmtId="0" fontId="24" fillId="0" borderId="368" xfId="180" applyFont="1" applyFill="1" applyBorder="1"/>
    <xf numFmtId="0" fontId="24" fillId="0" borderId="367" xfId="180" applyFont="1" applyFill="1" applyBorder="1"/>
    <xf numFmtId="0" fontId="41" fillId="0" borderId="260" xfId="180" applyFont="1" applyBorder="1" applyAlignment="1">
      <alignment horizontal="center" vertical="center" wrapText="1"/>
    </xf>
    <xf numFmtId="0" fontId="41" fillId="0" borderId="254" xfId="180" applyFont="1" applyBorder="1" applyAlignment="1">
      <alignment horizontal="center" vertical="center" wrapText="1"/>
    </xf>
    <xf numFmtId="0" fontId="31" fillId="0" borderId="260" xfId="180" applyFont="1" applyBorder="1" applyAlignment="1">
      <alignment horizontal="center" vertical="center"/>
    </xf>
    <xf numFmtId="0" fontId="24" fillId="0" borderId="28" xfId="180" applyFont="1" applyFill="1" applyBorder="1" applyAlignment="1">
      <alignment vertical="center"/>
    </xf>
    <xf numFmtId="0" fontId="24" fillId="0" borderId="29" xfId="180" applyFont="1" applyFill="1" applyBorder="1" applyAlignment="1">
      <alignment horizontal="center" vertical="center"/>
    </xf>
    <xf numFmtId="0" fontId="17" fillId="0" borderId="0" xfId="180" applyAlignment="1">
      <alignment vertical="center"/>
    </xf>
    <xf numFmtId="0" fontId="41" fillId="0" borderId="306" xfId="113" applyFont="1" applyFill="1" applyBorder="1" applyAlignment="1">
      <alignment vertical="top"/>
    </xf>
    <xf numFmtId="0" fontId="0" fillId="0" borderId="328" xfId="0" applyBorder="1" applyAlignment="1">
      <alignment vertical="top"/>
    </xf>
    <xf numFmtId="0" fontId="17" fillId="0" borderId="327" xfId="180" applyBorder="1"/>
    <xf numFmtId="0" fontId="24" fillId="0" borderId="111" xfId="0" applyFont="1" applyBorder="1"/>
    <xf numFmtId="0" fontId="24" fillId="0" borderId="112" xfId="0" applyFont="1" applyBorder="1"/>
    <xf numFmtId="0" fontId="24" fillId="0" borderId="12" xfId="0" applyFont="1" applyBorder="1"/>
    <xf numFmtId="0" fontId="24" fillId="0" borderId="122" xfId="0" applyFont="1" applyBorder="1"/>
    <xf numFmtId="0" fontId="24" fillId="0" borderId="121" xfId="0" applyFont="1" applyBorder="1"/>
    <xf numFmtId="0" fontId="24" fillId="0" borderId="151" xfId="0" applyFont="1" applyBorder="1"/>
    <xf numFmtId="0" fontId="24" fillId="0" borderId="17" xfId="0" applyFont="1" applyBorder="1"/>
    <xf numFmtId="0" fontId="24" fillId="0" borderId="18" xfId="0" applyFont="1" applyBorder="1"/>
    <xf numFmtId="0" fontId="24" fillId="0" borderId="153" xfId="0" applyFont="1" applyBorder="1"/>
    <xf numFmtId="0" fontId="24" fillId="0" borderId="120" xfId="0" applyFont="1" applyBorder="1"/>
    <xf numFmtId="0" fontId="24" fillId="0" borderId="16" xfId="0" applyFont="1" applyBorder="1"/>
    <xf numFmtId="0" fontId="24" fillId="0" borderId="239" xfId="0" applyFont="1" applyBorder="1"/>
    <xf numFmtId="0" fontId="24" fillId="0" borderId="369" xfId="0" applyFont="1" applyFill="1" applyBorder="1" applyAlignment="1">
      <alignment horizontal="left" vertical="top"/>
    </xf>
    <xf numFmtId="0" fontId="24" fillId="0" borderId="370" xfId="0" applyNumberFormat="1" applyFont="1" applyFill="1" applyBorder="1" applyAlignment="1">
      <alignment horizontal="center"/>
    </xf>
    <xf numFmtId="0" fontId="24" fillId="0" borderId="371" xfId="0" applyFont="1" applyFill="1" applyBorder="1" applyAlignment="1">
      <alignment horizontal="left" vertical="top"/>
    </xf>
    <xf numFmtId="0" fontId="24" fillId="0" borderId="372" xfId="0" applyNumberFormat="1" applyFont="1" applyFill="1" applyBorder="1" applyAlignment="1">
      <alignment horizontal="center"/>
    </xf>
    <xf numFmtId="0" fontId="19" fillId="0" borderId="294" xfId="0" applyFont="1" applyFill="1" applyBorder="1" applyAlignment="1">
      <alignment horizontal="right"/>
    </xf>
    <xf numFmtId="166" fontId="25" fillId="0" borderId="363" xfId="0" quotePrefix="1" applyNumberFormat="1" applyFont="1" applyFill="1" applyBorder="1"/>
    <xf numFmtId="0" fontId="24" fillId="0" borderId="350" xfId="0" applyFont="1" applyFill="1" applyBorder="1" applyAlignment="1">
      <alignment vertical="center"/>
    </xf>
    <xf numFmtId="0" fontId="32" fillId="39" borderId="44" xfId="4" applyNumberFormat="1" applyFont="1" applyFill="1" applyBorder="1" applyAlignment="1">
      <alignment horizontal="center" vertical="center"/>
    </xf>
    <xf numFmtId="49" fontId="51" fillId="18" borderId="14" xfId="78" applyNumberFormat="1" applyFont="1" applyFill="1" applyBorder="1" applyAlignment="1">
      <alignment horizontal="center" vertical="center"/>
    </xf>
    <xf numFmtId="49" fontId="51" fillId="0" borderId="14" xfId="78" applyNumberFormat="1" applyFont="1" applyFill="1" applyBorder="1" applyAlignment="1">
      <alignment horizontal="center" vertical="center"/>
    </xf>
    <xf numFmtId="0" fontId="0" fillId="18" borderId="12" xfId="78" applyNumberFormat="1" applyFont="1" applyFill="1" applyBorder="1" applyAlignment="1">
      <alignment horizontal="center" vertical="center"/>
    </xf>
    <xf numFmtId="0" fontId="19" fillId="0" borderId="2" xfId="4" applyFont="1" applyFill="1" applyBorder="1"/>
    <xf numFmtId="0" fontId="24" fillId="0" borderId="373" xfId="4" applyFont="1" applyFill="1" applyBorder="1" applyAlignment="1">
      <alignment horizontal="left" vertical="top" wrapText="1"/>
    </xf>
    <xf numFmtId="0" fontId="24" fillId="0" borderId="374" xfId="4" applyFont="1" applyFill="1" applyBorder="1" applyAlignment="1">
      <alignment horizontal="center" vertical="top" wrapText="1"/>
    </xf>
    <xf numFmtId="0" fontId="24" fillId="0" borderId="342" xfId="4" applyFont="1" applyFill="1" applyBorder="1" applyAlignment="1">
      <alignment horizontal="left" wrapText="1"/>
    </xf>
    <xf numFmtId="0" fontId="24" fillId="0" borderId="350" xfId="4" applyFont="1" applyFill="1" applyBorder="1" applyAlignment="1">
      <alignment horizontal="center"/>
    </xf>
    <xf numFmtId="0" fontId="35" fillId="0" borderId="79" xfId="78" applyFont="1" applyFill="1" applyBorder="1" applyAlignment="1">
      <alignment vertical="center" wrapText="1"/>
    </xf>
    <xf numFmtId="0" fontId="24" fillId="0" borderId="112" xfId="4" applyFont="1" applyFill="1" applyBorder="1" applyAlignment="1">
      <alignment horizontal="center"/>
    </xf>
    <xf numFmtId="0" fontId="24" fillId="0" borderId="111" xfId="78" applyFont="1" applyFill="1" applyBorder="1" applyAlignment="1">
      <alignment horizontal="left" vertical="center" shrinkToFit="1"/>
    </xf>
    <xf numFmtId="0" fontId="24" fillId="0" borderId="2" xfId="78" applyFont="1" applyFill="1" applyBorder="1" applyAlignment="1">
      <alignment vertical="center" readingOrder="2"/>
    </xf>
    <xf numFmtId="0" fontId="41" fillId="0" borderId="328" xfId="4" applyFont="1" applyFill="1" applyBorder="1" applyAlignment="1">
      <alignment horizontal="left" vertical="top" wrapText="1"/>
    </xf>
    <xf numFmtId="0" fontId="41" fillId="0" borderId="374" xfId="4" applyFont="1" applyFill="1" applyBorder="1" applyAlignment="1">
      <alignment horizontal="center" vertical="top" wrapText="1"/>
    </xf>
    <xf numFmtId="0" fontId="41" fillId="0" borderId="49" xfId="78" applyFont="1" applyFill="1" applyBorder="1" applyAlignment="1">
      <alignment horizontal="center" vertical="center" wrapText="1" readingOrder="2"/>
    </xf>
    <xf numFmtId="0" fontId="24" fillId="0" borderId="248" xfId="78" applyFont="1" applyFill="1" applyBorder="1" applyAlignment="1">
      <alignment horizontal="center" vertical="center" readingOrder="2"/>
    </xf>
    <xf numFmtId="0" fontId="17" fillId="0" borderId="2" xfId="78" applyFill="1" applyBorder="1"/>
    <xf numFmtId="49" fontId="95" fillId="20" borderId="80" xfId="171" applyNumberFormat="1" applyFont="1" applyFill="1" applyBorder="1" applyAlignment="1">
      <alignment horizontal="center" vertical="center" shrinkToFit="1"/>
    </xf>
    <xf numFmtId="0" fontId="51" fillId="0" borderId="239" xfId="173" applyFont="1" applyFill="1" applyBorder="1"/>
    <xf numFmtId="0" fontId="49" fillId="0" borderId="27" xfId="0" applyFont="1" applyFill="1" applyBorder="1" applyAlignment="1">
      <alignment horizontal="left"/>
    </xf>
    <xf numFmtId="0" fontId="99" fillId="0" borderId="8" xfId="177" applyFont="1" applyBorder="1" applyAlignment="1">
      <alignment horizontal="center"/>
    </xf>
    <xf numFmtId="0" fontId="100" fillId="0" borderId="0" xfId="177" applyFont="1" applyBorder="1" applyAlignment="1">
      <alignment vertical="top" wrapText="1"/>
    </xf>
    <xf numFmtId="0" fontId="40" fillId="0" borderId="1" xfId="180" applyFont="1" applyFill="1" applyBorder="1" applyAlignment="1">
      <alignment vertical="top" wrapText="1"/>
    </xf>
    <xf numFmtId="0" fontId="41" fillId="0" borderId="10" xfId="180" applyFont="1" applyFill="1" applyBorder="1" applyAlignment="1">
      <alignment horizontal="center"/>
    </xf>
    <xf numFmtId="0" fontId="40" fillId="0" borderId="2" xfId="180" applyFont="1" applyFill="1" applyBorder="1" applyAlignment="1">
      <alignment vertical="top" wrapText="1"/>
    </xf>
    <xf numFmtId="165" fontId="41" fillId="0" borderId="307" xfId="180" applyNumberFormat="1" applyFont="1" applyFill="1" applyBorder="1" applyAlignment="1">
      <alignment horizontal="center" vertical="center"/>
    </xf>
    <xf numFmtId="0" fontId="25" fillId="6" borderId="0" xfId="15" applyFont="1" applyFill="1" applyBorder="1" applyAlignment="1">
      <alignment horizontal="left" vertical="center" wrapText="1"/>
    </xf>
    <xf numFmtId="0" fontId="25" fillId="0" borderId="38" xfId="180" applyFont="1" applyFill="1" applyBorder="1" applyAlignment="1">
      <alignment horizontal="center" vertical="center"/>
    </xf>
    <xf numFmtId="0" fontId="25" fillId="0" borderId="40" xfId="180" applyFont="1" applyFill="1" applyBorder="1" applyAlignment="1">
      <alignment horizontal="center" vertical="center"/>
    </xf>
    <xf numFmtId="0" fontId="25" fillId="0" borderId="0" xfId="3" applyFont="1" applyAlignment="1">
      <alignment vertical="center"/>
    </xf>
    <xf numFmtId="0" fontId="40" fillId="0" borderId="20" xfId="180" applyFont="1" applyFill="1" applyBorder="1" applyAlignment="1">
      <alignment vertical="top"/>
    </xf>
    <xf numFmtId="0" fontId="40" fillId="0" borderId="0" xfId="180" applyFont="1" applyFill="1" applyBorder="1" applyAlignment="1">
      <alignment vertical="top"/>
    </xf>
    <xf numFmtId="0" fontId="25" fillId="0" borderId="20" xfId="180" applyFont="1" applyFill="1" applyBorder="1" applyAlignment="1">
      <alignment horizontal="center" vertical="center"/>
    </xf>
    <xf numFmtId="0" fontId="40" fillId="13" borderId="84" xfId="15" applyFont="1" applyFill="1" applyBorder="1" applyAlignment="1">
      <alignment horizontal="left" vertical="center"/>
    </xf>
    <xf numFmtId="0" fontId="25" fillId="0" borderId="0" xfId="180" applyFont="1" applyFill="1" applyBorder="1" applyAlignment="1">
      <alignment horizontal="center" vertical="center"/>
    </xf>
    <xf numFmtId="0" fontId="132" fillId="0" borderId="0" xfId="628" applyFont="1" applyAlignment="1">
      <alignment vertical="center"/>
    </xf>
    <xf numFmtId="0" fontId="24" fillId="0" borderId="242" xfId="180" applyFont="1" applyFill="1" applyBorder="1" applyAlignment="1">
      <alignment horizontal="center" vertical="center"/>
    </xf>
    <xf numFmtId="0" fontId="24" fillId="0" borderId="380" xfId="180" applyFont="1" applyFill="1" applyBorder="1" applyAlignment="1">
      <alignment horizontal="center"/>
    </xf>
    <xf numFmtId="0" fontId="24" fillId="0" borderId="375" xfId="180" applyFont="1" applyFill="1" applyBorder="1" applyAlignment="1">
      <alignment horizontal="center"/>
    </xf>
    <xf numFmtId="0" fontId="24" fillId="0" borderId="376" xfId="180" applyFont="1" applyFill="1" applyBorder="1" applyAlignment="1">
      <alignment horizontal="center"/>
    </xf>
    <xf numFmtId="0" fontId="24" fillId="0" borderId="381" xfId="180" applyFont="1" applyFill="1" applyBorder="1" applyAlignment="1">
      <alignment horizontal="center"/>
    </xf>
    <xf numFmtId="0" fontId="24" fillId="0" borderId="382" xfId="180" applyFont="1" applyFill="1" applyBorder="1" applyAlignment="1">
      <alignment horizontal="center"/>
    </xf>
    <xf numFmtId="0" fontId="24" fillId="0" borderId="322" xfId="180" applyFont="1" applyFill="1" applyBorder="1" applyAlignment="1">
      <alignment horizontal="center"/>
    </xf>
    <xf numFmtId="0" fontId="24" fillId="0" borderId="383" xfId="180" applyFont="1" applyFill="1" applyBorder="1" applyAlignment="1">
      <alignment horizontal="center"/>
    </xf>
    <xf numFmtId="0" fontId="100" fillId="0" borderId="8" xfId="177" applyFont="1" applyBorder="1" applyAlignment="1">
      <alignment vertical="top" wrapText="1"/>
    </xf>
    <xf numFmtId="0" fontId="51" fillId="0" borderId="10" xfId="177" applyFont="1" applyBorder="1" applyAlignment="1">
      <alignment vertical="top" wrapText="1"/>
    </xf>
    <xf numFmtId="0" fontId="51" fillId="0" borderId="8" xfId="177" applyFont="1" applyBorder="1" applyAlignment="1">
      <alignment vertical="top" wrapText="1"/>
    </xf>
    <xf numFmtId="0" fontId="51" fillId="0" borderId="9" xfId="177" applyFont="1" applyBorder="1" applyAlignment="1">
      <alignment vertical="top" wrapText="1"/>
    </xf>
    <xf numFmtId="0" fontId="51" fillId="0" borderId="10" xfId="177" applyFont="1" applyBorder="1" applyAlignment="1">
      <alignment horizontal="left" vertical="top" wrapText="1"/>
    </xf>
    <xf numFmtId="0" fontId="51" fillId="0" borderId="8" xfId="177" applyFont="1" applyBorder="1" applyAlignment="1">
      <alignment horizontal="left" vertical="top" wrapText="1"/>
    </xf>
    <xf numFmtId="0" fontId="51" fillId="0" borderId="9" xfId="177" applyFont="1" applyBorder="1" applyAlignment="1">
      <alignment horizontal="left" vertical="top" wrapText="1"/>
    </xf>
    <xf numFmtId="2" fontId="131" fillId="38" borderId="14" xfId="628" applyNumberFormat="1" applyFont="1" applyFill="1" applyBorder="1" applyAlignment="1">
      <alignment horizontal="center" vertical="center"/>
    </xf>
    <xf numFmtId="0" fontId="24" fillId="0" borderId="37" xfId="180" applyFont="1" applyBorder="1" applyAlignment="1">
      <alignment horizontal="center"/>
    </xf>
    <xf numFmtId="0" fontId="24" fillId="0" borderId="32" xfId="180" applyFont="1" applyBorder="1" applyAlignment="1">
      <alignment horizontal="center"/>
    </xf>
    <xf numFmtId="0" fontId="24" fillId="0" borderId="41" xfId="180" applyFont="1" applyBorder="1" applyAlignment="1">
      <alignment horizontal="center"/>
    </xf>
    <xf numFmtId="0" fontId="41" fillId="0" borderId="0" xfId="180" applyFont="1" applyBorder="1" applyAlignment="1">
      <alignment horizontal="left" vertical="top" wrapText="1"/>
    </xf>
    <xf numFmtId="0" fontId="41" fillId="0" borderId="373" xfId="2" applyFont="1" applyFill="1" applyBorder="1" applyAlignment="1">
      <alignment vertical="top"/>
    </xf>
    <xf numFmtId="0" fontId="41" fillId="0" borderId="328" xfId="2" applyFont="1" applyFill="1" applyBorder="1" applyAlignment="1">
      <alignment vertical="top"/>
    </xf>
    <xf numFmtId="165" fontId="41" fillId="0" borderId="328" xfId="180" applyNumberFormat="1" applyFont="1" applyFill="1" applyBorder="1" applyAlignment="1">
      <alignment horizontal="center" vertical="top"/>
    </xf>
    <xf numFmtId="0" fontId="41" fillId="0" borderId="294" xfId="2" applyFont="1" applyFill="1" applyBorder="1" applyAlignment="1">
      <alignment vertical="top"/>
    </xf>
    <xf numFmtId="0" fontId="41" fillId="0" borderId="362" xfId="2" applyFont="1" applyFill="1" applyBorder="1" applyAlignment="1">
      <alignment vertical="top"/>
    </xf>
    <xf numFmtId="0" fontId="41" fillId="0" borderId="362" xfId="180" applyFont="1" applyFill="1" applyBorder="1"/>
    <xf numFmtId="165" fontId="41" fillId="0" borderId="0" xfId="180" applyNumberFormat="1" applyFont="1" applyFill="1" applyBorder="1" applyAlignment="1">
      <alignment horizontal="center" vertical="top"/>
    </xf>
    <xf numFmtId="0" fontId="41" fillId="0" borderId="362" xfId="2" applyFont="1" applyFill="1" applyBorder="1" applyAlignment="1">
      <alignment vertical="top" wrapText="1"/>
    </xf>
    <xf numFmtId="0" fontId="41" fillId="0" borderId="363" xfId="2" applyFont="1" applyFill="1" applyBorder="1" applyAlignment="1">
      <alignment vertical="top" wrapText="1"/>
    </xf>
    <xf numFmtId="0" fontId="40" fillId="0" borderId="0" xfId="180" applyFont="1" applyFill="1" applyAlignment="1">
      <alignment vertical="center"/>
    </xf>
    <xf numFmtId="0" fontId="41" fillId="0" borderId="81" xfId="180" applyFont="1" applyFill="1" applyBorder="1" applyAlignment="1">
      <alignment horizontal="center"/>
    </xf>
    <xf numFmtId="0" fontId="25" fillId="0" borderId="103" xfId="180" applyFont="1" applyFill="1" applyBorder="1" applyAlignment="1">
      <alignment horizontal="center" vertical="center"/>
    </xf>
    <xf numFmtId="0" fontId="24" fillId="0" borderId="127" xfId="180" applyFont="1" applyBorder="1"/>
    <xf numFmtId="0" fontId="24" fillId="0" borderId="81" xfId="180" applyFont="1" applyBorder="1"/>
    <xf numFmtId="0" fontId="24" fillId="0" borderId="146" xfId="180" applyFont="1" applyBorder="1"/>
    <xf numFmtId="0" fontId="24" fillId="0" borderId="384" xfId="180" applyFont="1" applyBorder="1"/>
    <xf numFmtId="0" fontId="24" fillId="0" borderId="385" xfId="180" applyFont="1" applyBorder="1"/>
    <xf numFmtId="0" fontId="24" fillId="0" borderId="83" xfId="180" applyFont="1" applyBorder="1"/>
    <xf numFmtId="0" fontId="24" fillId="0" borderId="103" xfId="180" applyFont="1" applyBorder="1"/>
    <xf numFmtId="2" fontId="63" fillId="39" borderId="0" xfId="78" applyNumberFormat="1" applyFont="1" applyFill="1" applyBorder="1" applyAlignment="1">
      <alignment horizontal="center" vertical="center"/>
    </xf>
    <xf numFmtId="0" fontId="32" fillId="6" borderId="0" xfId="15" applyFont="1" applyFill="1" applyBorder="1" applyAlignment="1">
      <alignment horizontal="center" vertical="center" wrapText="1"/>
    </xf>
    <xf numFmtId="0" fontId="25" fillId="0" borderId="103" xfId="78" applyFont="1" applyFill="1" applyBorder="1" applyAlignment="1">
      <alignment horizontal="center" vertical="center"/>
    </xf>
    <xf numFmtId="0" fontId="17" fillId="0" borderId="0" xfId="180" applyFont="1" applyAlignment="1"/>
    <xf numFmtId="166" fontId="17" fillId="0" borderId="0" xfId="180" applyNumberFormat="1" applyFont="1" applyAlignment="1">
      <alignment horizontal="left"/>
    </xf>
    <xf numFmtId="0" fontId="19" fillId="0" borderId="0" xfId="180" applyFont="1" applyAlignment="1"/>
    <xf numFmtId="0" fontId="19" fillId="0" borderId="0" xfId="180" applyFont="1" applyAlignment="1">
      <alignment horizontal="center"/>
    </xf>
    <xf numFmtId="166" fontId="21" fillId="0" borderId="0" xfId="180" applyNumberFormat="1" applyFont="1" applyFill="1" applyBorder="1" applyAlignment="1">
      <alignment horizontal="left"/>
    </xf>
    <xf numFmtId="0" fontId="17" fillId="0" borderId="0" xfId="2" applyFill="1" applyBorder="1" applyAlignment="1">
      <alignment horizontal="left"/>
    </xf>
    <xf numFmtId="166" fontId="17" fillId="0" borderId="0" xfId="180" applyNumberFormat="1" applyAlignment="1">
      <alignment horizontal="left"/>
    </xf>
    <xf numFmtId="0" fontId="17" fillId="0" borderId="0" xfId="180" applyFill="1" applyAlignment="1">
      <alignment horizontal="center"/>
    </xf>
    <xf numFmtId="166" fontId="24" fillId="0" borderId="0" xfId="2" applyNumberFormat="1" applyFont="1" applyFill="1" applyBorder="1" applyAlignment="1">
      <alignment horizontal="left" vertical="center"/>
    </xf>
    <xf numFmtId="0" fontId="24" fillId="0" borderId="0" xfId="2" applyFont="1" applyFill="1" applyBorder="1" applyAlignment="1">
      <alignment horizontal="center" vertical="center"/>
    </xf>
    <xf numFmtId="0" fontId="24" fillId="0" borderId="0" xfId="2" applyFont="1" applyBorder="1" applyAlignment="1">
      <alignment horizontal="left"/>
    </xf>
    <xf numFmtId="166" fontId="24" fillId="0" borderId="0" xfId="180" applyNumberFormat="1" applyFont="1" applyAlignment="1">
      <alignment horizontal="left"/>
    </xf>
    <xf numFmtId="166" fontId="24" fillId="0" borderId="239" xfId="180" applyNumberFormat="1" applyFont="1" applyBorder="1" applyAlignment="1">
      <alignment vertical="center" textRotation="90"/>
    </xf>
    <xf numFmtId="166" fontId="24" fillId="0" borderId="1" xfId="180" applyNumberFormat="1" applyFont="1" applyBorder="1" applyAlignment="1">
      <alignment vertical="center" textRotation="90"/>
    </xf>
    <xf numFmtId="0" fontId="24" fillId="0" borderId="2" xfId="180" applyFont="1" applyBorder="1"/>
    <xf numFmtId="0" fontId="24" fillId="0" borderId="1" xfId="180" applyFont="1" applyBorder="1" applyAlignment="1">
      <alignment horizontal="left" vertical="top" wrapText="1"/>
    </xf>
    <xf numFmtId="0" fontId="24" fillId="0" borderId="0" xfId="180" applyFont="1" applyBorder="1" applyAlignment="1">
      <alignment horizontal="left" vertical="top" wrapText="1"/>
    </xf>
    <xf numFmtId="0" fontId="24" fillId="0" borderId="0" xfId="180" applyFont="1" applyAlignment="1"/>
    <xf numFmtId="0" fontId="24" fillId="0" borderId="239" xfId="180" applyFont="1" applyBorder="1" applyAlignment="1"/>
    <xf numFmtId="0" fontId="24" fillId="0" borderId="240" xfId="180" applyFont="1" applyBorder="1" applyAlignment="1"/>
    <xf numFmtId="0" fontId="24" fillId="0" borderId="5" xfId="180" applyFont="1" applyBorder="1" applyAlignment="1"/>
    <xf numFmtId="0" fontId="24" fillId="0" borderId="7" xfId="180" applyFont="1" applyBorder="1" applyAlignment="1"/>
    <xf numFmtId="0" fontId="24" fillId="0" borderId="0" xfId="180" applyFont="1" applyFill="1" applyBorder="1" applyAlignment="1">
      <alignment wrapText="1"/>
    </xf>
    <xf numFmtId="0" fontId="24" fillId="0" borderId="0" xfId="180" applyFont="1" applyBorder="1" applyAlignment="1">
      <alignment horizontal="center" vertical="top" wrapText="1"/>
    </xf>
    <xf numFmtId="166" fontId="24" fillId="0" borderId="0" xfId="180" applyNumberFormat="1" applyFont="1" applyAlignment="1">
      <alignment horizontal="left" vertical="center"/>
    </xf>
    <xf numFmtId="0" fontId="24" fillId="0" borderId="10" xfId="180" applyFont="1" applyBorder="1" applyAlignment="1">
      <alignment vertical="center"/>
    </xf>
    <xf numFmtId="0" fontId="24" fillId="0" borderId="8" xfId="180" applyFont="1" applyBorder="1" applyAlignment="1">
      <alignment vertical="center"/>
    </xf>
    <xf numFmtId="0" fontId="24" fillId="0" borderId="8" xfId="180" applyFont="1" applyBorder="1" applyAlignment="1">
      <alignment horizontal="center" vertical="center"/>
    </xf>
    <xf numFmtId="0" fontId="24" fillId="0" borderId="1" xfId="180" applyFont="1" applyBorder="1" applyAlignment="1">
      <alignment vertical="center"/>
    </xf>
    <xf numFmtId="0" fontId="41" fillId="0" borderId="390" xfId="180" applyFont="1" applyFill="1" applyBorder="1"/>
    <xf numFmtId="0" fontId="41" fillId="0" borderId="391" xfId="180" applyFont="1" applyFill="1" applyBorder="1"/>
    <xf numFmtId="0" fontId="41" fillId="0" borderId="1" xfId="180" applyFont="1" applyBorder="1" applyAlignment="1">
      <alignment horizontal="left" vertical="top" wrapText="1"/>
    </xf>
    <xf numFmtId="0" fontId="41" fillId="0" borderId="2" xfId="180" applyFont="1" applyBorder="1" applyAlignment="1">
      <alignment horizontal="left" vertical="top" wrapText="1"/>
    </xf>
    <xf numFmtId="0" fontId="41" fillId="0" borderId="294" xfId="180" applyFont="1" applyBorder="1"/>
    <xf numFmtId="0" fontId="41" fillId="0" borderId="362" xfId="180" applyFont="1" applyBorder="1"/>
    <xf numFmtId="0" fontId="41" fillId="0" borderId="363" xfId="180" applyFont="1" applyBorder="1"/>
    <xf numFmtId="0" fontId="41" fillId="0" borderId="0" xfId="2" applyFont="1" applyFill="1" applyBorder="1" applyAlignment="1">
      <alignment horizontal="left" vertical="center"/>
    </xf>
    <xf numFmtId="166" fontId="24" fillId="0" borderId="62" xfId="180" applyNumberFormat="1" applyFont="1" applyBorder="1" applyAlignment="1">
      <alignment vertical="center" textRotation="90"/>
    </xf>
    <xf numFmtId="166" fontId="24" fillId="13" borderId="36" xfId="180" applyNumberFormat="1" applyFont="1" applyFill="1" applyBorder="1" applyAlignment="1">
      <alignment vertical="center" textRotation="90"/>
    </xf>
    <xf numFmtId="0" fontId="24" fillId="13" borderId="30" xfId="180" applyFont="1" applyFill="1" applyBorder="1" applyAlignment="1">
      <alignment horizontal="center"/>
    </xf>
    <xf numFmtId="0" fontId="24" fillId="13" borderId="35" xfId="180" applyFont="1" applyFill="1" applyBorder="1" applyAlignment="1">
      <alignment horizontal="center"/>
    </xf>
    <xf numFmtId="0" fontId="41" fillId="0" borderId="398" xfId="180" applyFont="1" applyBorder="1"/>
    <xf numFmtId="0" fontId="41" fillId="0" borderId="399" xfId="180" applyFont="1" applyBorder="1"/>
    <xf numFmtId="0" fontId="41" fillId="0" borderId="400" xfId="180" applyFont="1" applyBorder="1" applyAlignment="1">
      <alignment horizontal="left"/>
    </xf>
    <xf numFmtId="0" fontId="41" fillId="0" borderId="342" xfId="180" applyFont="1" applyBorder="1"/>
    <xf numFmtId="0" fontId="41" fillId="0" borderId="331" xfId="180" applyFont="1" applyBorder="1"/>
    <xf numFmtId="0" fontId="41" fillId="0" borderId="308" xfId="180" applyFont="1" applyBorder="1" applyAlignment="1">
      <alignment horizontal="left"/>
    </xf>
    <xf numFmtId="166" fontId="24" fillId="0" borderId="350" xfId="180" applyNumberFormat="1" applyFont="1" applyBorder="1" applyAlignment="1">
      <alignment vertical="center" textRotation="90"/>
    </xf>
    <xf numFmtId="0" fontId="41" fillId="0" borderId="350" xfId="180" applyFont="1" applyBorder="1"/>
    <xf numFmtId="0" fontId="41" fillId="0" borderId="403" xfId="180" applyFont="1" applyBorder="1"/>
    <xf numFmtId="0" fontId="41" fillId="0" borderId="404" xfId="180" applyFont="1" applyBorder="1"/>
    <xf numFmtId="166" fontId="41" fillId="0" borderId="36" xfId="180" applyNumberFormat="1" applyFont="1" applyBorder="1" applyAlignment="1"/>
    <xf numFmtId="166" fontId="41" fillId="0" borderId="30" xfId="180" applyNumberFormat="1" applyFont="1" applyBorder="1" applyAlignment="1"/>
    <xf numFmtId="166" fontId="41" fillId="0" borderId="35" xfId="180" applyNumberFormat="1" applyFont="1" applyBorder="1" applyAlignment="1"/>
    <xf numFmtId="0" fontId="24" fillId="0" borderId="36" xfId="180" applyFont="1" applyBorder="1"/>
    <xf numFmtId="0" fontId="24" fillId="0" borderId="30" xfId="180" applyFont="1" applyBorder="1"/>
    <xf numFmtId="0" fontId="40" fillId="0" borderId="0" xfId="180" applyFont="1" applyAlignment="1"/>
    <xf numFmtId="0" fontId="41" fillId="0" borderId="394" xfId="180" applyFont="1" applyBorder="1" applyAlignment="1"/>
    <xf numFmtId="0" fontId="41" fillId="0" borderId="394" xfId="180" applyFont="1" applyBorder="1" applyAlignment="1">
      <alignment horizontal="left"/>
    </xf>
    <xf numFmtId="0" fontId="40" fillId="0" borderId="394" xfId="180" applyFont="1" applyBorder="1" applyAlignment="1">
      <alignment horizontal="left"/>
    </xf>
    <xf numFmtId="0" fontId="24" fillId="13" borderId="62" xfId="180" applyFont="1" applyFill="1" applyBorder="1" applyAlignment="1">
      <alignment horizontal="center" vertical="center" textRotation="90" wrapText="1"/>
    </xf>
    <xf numFmtId="0" fontId="24" fillId="13" borderId="36" xfId="180" applyFont="1" applyFill="1" applyBorder="1" applyAlignment="1">
      <alignment horizontal="center"/>
    </xf>
    <xf numFmtId="0" fontId="41" fillId="0" borderId="407" xfId="180" applyFont="1" applyFill="1" applyBorder="1" applyAlignment="1"/>
    <xf numFmtId="0" fontId="24" fillId="0" borderId="23" xfId="180" applyFont="1" applyBorder="1" applyAlignment="1">
      <alignment horizontal="left" vertical="top" wrapText="1"/>
    </xf>
    <xf numFmtId="0" fontId="41" fillId="0" borderId="408" xfId="180" applyFont="1" applyFill="1" applyBorder="1" applyAlignment="1"/>
    <xf numFmtId="0" fontId="41" fillId="0" borderId="403" xfId="180" applyFont="1" applyFill="1" applyBorder="1" applyAlignment="1"/>
    <xf numFmtId="0" fontId="24" fillId="0" borderId="403" xfId="180" applyFont="1" applyFill="1" applyBorder="1" applyAlignment="1">
      <alignment wrapText="1"/>
    </xf>
    <xf numFmtId="0" fontId="24" fillId="0" borderId="403" xfId="180" applyFont="1" applyBorder="1" applyAlignment="1"/>
    <xf numFmtId="0" fontId="24" fillId="0" borderId="62" xfId="180" applyFont="1" applyBorder="1" applyAlignment="1">
      <alignment horizontal="center" vertical="center"/>
    </xf>
    <xf numFmtId="0" fontId="41" fillId="0" borderId="36" xfId="180" applyFont="1" applyBorder="1" applyAlignment="1">
      <alignment vertical="center"/>
    </xf>
    <xf numFmtId="0" fontId="41" fillId="0" borderId="30" xfId="180" applyFont="1" applyBorder="1" applyAlignment="1">
      <alignment vertical="center"/>
    </xf>
    <xf numFmtId="0" fontId="41" fillId="0" borderId="35" xfId="180" applyFont="1" applyBorder="1" applyAlignment="1">
      <alignment vertical="center"/>
    </xf>
    <xf numFmtId="0" fontId="24" fillId="0" borderId="36" xfId="180" applyFont="1" applyBorder="1" applyAlignment="1">
      <alignment vertical="center"/>
    </xf>
    <xf numFmtId="0" fontId="24" fillId="0" borderId="30" xfId="180" applyFont="1" applyBorder="1" applyAlignment="1">
      <alignment vertical="center"/>
    </xf>
    <xf numFmtId="0" fontId="24" fillId="0" borderId="30" xfId="180" applyFont="1" applyBorder="1" applyAlignment="1">
      <alignment horizontal="center" vertical="center"/>
    </xf>
    <xf numFmtId="0" fontId="24" fillId="0" borderId="32" xfId="180" applyFont="1" applyBorder="1" applyAlignment="1">
      <alignment vertical="center"/>
    </xf>
    <xf numFmtId="0" fontId="24" fillId="0" borderId="66" xfId="180" applyFont="1" applyBorder="1" applyAlignment="1">
      <alignment horizontal="center" vertical="center"/>
    </xf>
    <xf numFmtId="0" fontId="24" fillId="0" borderId="37" xfId="180" applyFont="1" applyBorder="1" applyAlignment="1">
      <alignment vertical="center"/>
    </xf>
    <xf numFmtId="0" fontId="24" fillId="0" borderId="78" xfId="180" applyFont="1" applyBorder="1" applyAlignment="1">
      <alignment horizontal="center" vertical="center"/>
    </xf>
    <xf numFmtId="0" fontId="24" fillId="0" borderId="350" xfId="180" applyFont="1" applyBorder="1" applyAlignment="1">
      <alignment vertical="center"/>
    </xf>
    <xf numFmtId="0" fontId="24" fillId="0" borderId="403" xfId="180" applyFont="1" applyBorder="1" applyAlignment="1">
      <alignment vertical="center"/>
    </xf>
    <xf numFmtId="0" fontId="24" fillId="0" borderId="38" xfId="180" applyFont="1" applyBorder="1" applyAlignment="1">
      <alignment vertical="center"/>
    </xf>
    <xf numFmtId="0" fontId="24" fillId="0" borderId="38" xfId="180" applyFont="1" applyBorder="1" applyAlignment="1">
      <alignment horizontal="center" vertical="center"/>
    </xf>
    <xf numFmtId="0" fontId="24" fillId="0" borderId="41" xfId="180" applyFont="1" applyBorder="1" applyAlignment="1">
      <alignment vertical="center"/>
    </xf>
    <xf numFmtId="0" fontId="30" fillId="0" borderId="42" xfId="15" applyFont="1" applyBorder="1" applyAlignment="1">
      <alignment horizontal="left" vertical="top"/>
    </xf>
    <xf numFmtId="0" fontId="37" fillId="0" borderId="0" xfId="177" applyFont="1"/>
    <xf numFmtId="0" fontId="37" fillId="0" borderId="0" xfId="178" applyFont="1" applyBorder="1" applyAlignment="1">
      <alignment horizontal="center"/>
    </xf>
    <xf numFmtId="0" fontId="37" fillId="0" borderId="21" xfId="177" applyFont="1" applyBorder="1"/>
    <xf numFmtId="0" fontId="37" fillId="0" borderId="6" xfId="177" applyFont="1" applyBorder="1"/>
    <xf numFmtId="0" fontId="17" fillId="0" borderId="14" xfId="177" applyFont="1" applyBorder="1"/>
    <xf numFmtId="0" fontId="17" fillId="0" borderId="10" xfId="177" applyFont="1" applyBorder="1"/>
    <xf numFmtId="0" fontId="17" fillId="0" borderId="8" xfId="177" applyFont="1" applyBorder="1"/>
    <xf numFmtId="0" fontId="17" fillId="0" borderId="9" xfId="177" applyFont="1" applyBorder="1"/>
    <xf numFmtId="0" fontId="17" fillId="0" borderId="37" xfId="177" applyFont="1" applyBorder="1"/>
    <xf numFmtId="0" fontId="17" fillId="0" borderId="37" xfId="177" applyFont="1" applyBorder="1" applyAlignment="1">
      <alignment vertical="center"/>
    </xf>
    <xf numFmtId="0" fontId="37" fillId="0" borderId="14" xfId="177" applyFont="1" applyBorder="1"/>
    <xf numFmtId="0" fontId="37" fillId="0" borderId="10" xfId="177" applyFont="1" applyBorder="1"/>
    <xf numFmtId="0" fontId="37" fillId="0" borderId="8" xfId="177" applyFont="1" applyBorder="1"/>
    <xf numFmtId="0" fontId="37" fillId="0" borderId="9" xfId="177" applyFont="1" applyBorder="1"/>
    <xf numFmtId="0" fontId="37" fillId="0" borderId="37" xfId="177" applyFont="1" applyBorder="1"/>
    <xf numFmtId="0" fontId="37" fillId="0" borderId="49" xfId="177" applyFont="1" applyBorder="1"/>
    <xf numFmtId="0" fontId="37" fillId="0" borderId="40" xfId="177" applyFont="1" applyBorder="1"/>
    <xf numFmtId="0" fontId="37" fillId="0" borderId="38" xfId="177" applyFont="1" applyBorder="1"/>
    <xf numFmtId="0" fontId="37" fillId="0" borderId="39" xfId="177" applyFont="1" applyBorder="1"/>
    <xf numFmtId="0" fontId="37" fillId="0" borderId="41" xfId="177" applyFont="1" applyBorder="1"/>
    <xf numFmtId="0" fontId="18" fillId="0" borderId="0" xfId="0" applyFont="1" applyFill="1" applyAlignment="1" applyProtection="1">
      <alignment vertical="center" readingOrder="1"/>
      <protection locked="0"/>
    </xf>
    <xf numFmtId="0" fontId="41" fillId="0" borderId="1" xfId="180" applyFont="1" applyFill="1" applyBorder="1" applyAlignment="1">
      <alignment horizontal="center" vertical="top" wrapText="1"/>
    </xf>
    <xf numFmtId="0" fontId="24" fillId="0" borderId="32" xfId="180" applyFont="1" applyFill="1" applyBorder="1" applyAlignment="1">
      <alignment vertical="top"/>
    </xf>
    <xf numFmtId="0" fontId="24" fillId="0" borderId="37" xfId="180" applyFont="1" applyFill="1" applyBorder="1" applyAlignment="1">
      <alignment vertical="top"/>
    </xf>
    <xf numFmtId="0" fontId="24" fillId="0" borderId="41" xfId="180" applyFont="1" applyFill="1" applyBorder="1" applyAlignment="1">
      <alignment vertical="top"/>
    </xf>
    <xf numFmtId="0" fontId="24" fillId="0" borderId="31" xfId="180" applyFont="1" applyFill="1" applyBorder="1" applyAlignment="1">
      <alignment vertical="top"/>
    </xf>
    <xf numFmtId="0" fontId="24" fillId="0" borderId="42" xfId="180" applyFont="1" applyFill="1" applyBorder="1" applyAlignment="1">
      <alignment vertical="top"/>
    </xf>
    <xf numFmtId="0" fontId="24" fillId="0" borderId="43" xfId="180" applyFont="1" applyFill="1" applyBorder="1" applyAlignment="1">
      <alignment vertical="top"/>
    </xf>
    <xf numFmtId="0" fontId="24" fillId="0" borderId="0" xfId="180" applyFont="1" applyFill="1" applyAlignment="1">
      <alignment horizontal="right" vertical="center"/>
    </xf>
    <xf numFmtId="0" fontId="41" fillId="0" borderId="0" xfId="180" applyFont="1" applyFill="1" applyBorder="1" applyAlignment="1">
      <alignment horizontal="center" vertical="top" wrapText="1"/>
    </xf>
    <xf numFmtId="0" fontId="40" fillId="0" borderId="0" xfId="180" applyFont="1" applyFill="1" applyBorder="1" applyAlignment="1">
      <alignment vertical="top" wrapText="1"/>
    </xf>
    <xf numFmtId="0" fontId="24" fillId="0" borderId="38" xfId="180" applyFont="1" applyFill="1" applyBorder="1" applyAlignment="1">
      <alignment horizontal="center" vertical="top"/>
    </xf>
    <xf numFmtId="0" fontId="24" fillId="0" borderId="41" xfId="180" applyFont="1" applyFill="1" applyBorder="1" applyAlignment="1">
      <alignment horizontal="center" vertical="top"/>
    </xf>
    <xf numFmtId="0" fontId="24" fillId="0" borderId="30" xfId="180" applyFont="1" applyFill="1" applyBorder="1" applyAlignment="1">
      <alignment horizontal="center" vertical="top"/>
    </xf>
    <xf numFmtId="0" fontId="24" fillId="0" borderId="32" xfId="180" applyFont="1" applyFill="1" applyBorder="1" applyAlignment="1">
      <alignment horizontal="center" vertical="top"/>
    </xf>
    <xf numFmtId="0" fontId="24" fillId="0" borderId="8" xfId="180" applyFont="1" applyFill="1" applyBorder="1" applyAlignment="1">
      <alignment horizontal="center" vertical="top"/>
    </xf>
    <xf numFmtId="0" fontId="24" fillId="0" borderId="37" xfId="180" applyFont="1" applyFill="1" applyBorder="1" applyAlignment="1">
      <alignment horizontal="center" vertical="top"/>
    </xf>
    <xf numFmtId="0" fontId="25" fillId="0" borderId="239" xfId="2" applyFont="1" applyFill="1" applyBorder="1" applyAlignment="1">
      <alignment vertical="top" wrapText="1"/>
    </xf>
    <xf numFmtId="0" fontId="25" fillId="0" borderId="242" xfId="2" applyFont="1" applyFill="1" applyBorder="1" applyAlignment="1">
      <alignment vertical="top" wrapText="1"/>
    </xf>
    <xf numFmtId="0" fontId="25" fillId="0" borderId="0" xfId="2" applyFont="1" applyFill="1" applyBorder="1" applyAlignment="1">
      <alignment vertical="top" wrapText="1"/>
    </xf>
    <xf numFmtId="0" fontId="25" fillId="0" borderId="240" xfId="2" applyFont="1" applyFill="1" applyBorder="1" applyAlignment="1">
      <alignment vertical="top" wrapText="1"/>
    </xf>
    <xf numFmtId="167" fontId="21" fillId="6" borderId="0" xfId="180" applyNumberFormat="1" applyFont="1" applyFill="1" applyAlignment="1">
      <alignment horizontal="left" vertical="center"/>
    </xf>
    <xf numFmtId="0" fontId="18" fillId="6" borderId="0" xfId="180" applyFont="1" applyFill="1" applyAlignment="1">
      <alignment horizontal="left"/>
    </xf>
    <xf numFmtId="0" fontId="24" fillId="6" borderId="0" xfId="180" applyFont="1" applyFill="1"/>
    <xf numFmtId="0" fontId="24" fillId="6" borderId="0" xfId="180" applyFont="1" applyFill="1" applyAlignment="1">
      <alignment horizontal="left"/>
    </xf>
    <xf numFmtId="0" fontId="40" fillId="0" borderId="21" xfId="180" applyFont="1" applyFill="1" applyBorder="1" applyAlignment="1">
      <alignment vertical="top" wrapText="1"/>
    </xf>
    <xf numFmtId="0" fontId="40" fillId="0" borderId="22" xfId="180" applyFont="1" applyFill="1" applyBorder="1" applyAlignment="1">
      <alignment vertical="top" wrapText="1"/>
    </xf>
    <xf numFmtId="0" fontId="40" fillId="0" borderId="403" xfId="180" applyFont="1" applyFill="1" applyBorder="1" applyAlignment="1">
      <alignment vertical="top" wrapText="1"/>
    </xf>
    <xf numFmtId="0" fontId="40" fillId="0" borderId="341" xfId="180" applyFont="1" applyFill="1" applyBorder="1" applyAlignment="1">
      <alignment vertical="top" wrapText="1"/>
    </xf>
    <xf numFmtId="0" fontId="32" fillId="6" borderId="0" xfId="15" applyFont="1" applyFill="1" applyAlignment="1">
      <alignment horizontal="left" vertical="top" wrapText="1"/>
    </xf>
    <xf numFmtId="0" fontId="98" fillId="6" borderId="0" xfId="177" applyFont="1" applyFill="1"/>
    <xf numFmtId="0" fontId="31" fillId="6" borderId="0" xfId="15" applyFont="1" applyFill="1" applyBorder="1" applyAlignment="1">
      <alignment horizontal="left" vertical="top" wrapText="1"/>
    </xf>
    <xf numFmtId="0" fontId="98" fillId="6" borderId="0" xfId="177" applyFont="1" applyFill="1" applyBorder="1"/>
    <xf numFmtId="0" fontId="31" fillId="0" borderId="156" xfId="180" applyFont="1" applyBorder="1" applyAlignment="1">
      <alignment horizontal="center" vertical="center"/>
    </xf>
    <xf numFmtId="0" fontId="24" fillId="0" borderId="0" xfId="180" quotePrefix="1" applyFont="1" applyFill="1" applyBorder="1" applyAlignment="1">
      <alignment horizontal="center" vertical="center"/>
    </xf>
    <xf numFmtId="0" fontId="0" fillId="0" borderId="0" xfId="0" applyAlignment="1">
      <alignment vertical="top"/>
    </xf>
    <xf numFmtId="0" fontId="32" fillId="0" borderId="0" xfId="15" applyFont="1" applyAlignment="1">
      <alignment wrapText="1"/>
    </xf>
    <xf numFmtId="0" fontId="0" fillId="0" borderId="0" xfId="0" applyAlignment="1">
      <alignment horizontal="left"/>
    </xf>
    <xf numFmtId="0" fontId="30" fillId="6" borderId="24" xfId="15" applyFont="1" applyFill="1" applyBorder="1" applyAlignment="1">
      <alignment vertical="center" wrapText="1"/>
    </xf>
    <xf numFmtId="0" fontId="30" fillId="6" borderId="22" xfId="15" applyFont="1" applyFill="1" applyBorder="1" applyAlignment="1">
      <alignment horizontal="left" vertical="center" wrapText="1"/>
    </xf>
    <xf numFmtId="0" fontId="30" fillId="6" borderId="341" xfId="15" applyFont="1" applyFill="1" applyBorder="1" applyAlignment="1">
      <alignment vertical="center" wrapText="1"/>
    </xf>
    <xf numFmtId="0" fontId="30" fillId="6" borderId="331" xfId="15" applyFont="1" applyFill="1" applyBorder="1" applyAlignment="1">
      <alignment horizontal="left" vertical="center" wrapText="1"/>
    </xf>
    <xf numFmtId="0" fontId="32" fillId="6" borderId="156" xfId="15" applyFont="1" applyFill="1" applyBorder="1" applyAlignment="1">
      <alignment horizontal="right" vertical="center" wrapText="1"/>
    </xf>
    <xf numFmtId="0" fontId="30" fillId="6" borderId="68" xfId="15" applyFont="1" applyFill="1" applyBorder="1" applyAlignment="1">
      <alignment horizontal="center" vertical="center" wrapText="1"/>
    </xf>
    <xf numFmtId="0" fontId="30" fillId="6" borderId="72" xfId="15" applyFont="1" applyFill="1" applyBorder="1" applyAlignment="1">
      <alignment horizontal="center" vertical="center" wrapText="1"/>
    </xf>
    <xf numFmtId="0" fontId="21" fillId="41" borderId="0" xfId="180" applyFont="1" applyFill="1" applyBorder="1" applyAlignment="1">
      <alignment horizontal="left" vertical="top"/>
    </xf>
    <xf numFmtId="0" fontId="24" fillId="0" borderId="10" xfId="180" applyFont="1" applyFill="1" applyBorder="1" applyAlignment="1">
      <alignment horizontal="center"/>
    </xf>
    <xf numFmtId="0" fontId="24" fillId="0" borderId="8" xfId="180" applyFont="1" applyFill="1" applyBorder="1" applyAlignment="1">
      <alignment horizontal="center"/>
    </xf>
    <xf numFmtId="0" fontId="24" fillId="0" borderId="9" xfId="180" applyFont="1" applyFill="1" applyBorder="1" applyAlignment="1">
      <alignment horizontal="center"/>
    </xf>
    <xf numFmtId="0" fontId="41" fillId="6" borderId="0" xfId="180" applyFont="1" applyFill="1" applyBorder="1"/>
    <xf numFmtId="0" fontId="41" fillId="6" borderId="0" xfId="180" applyFont="1" applyFill="1" applyBorder="1" applyAlignment="1">
      <alignment horizontal="right" vertical="top"/>
    </xf>
    <xf numFmtId="0" fontId="67" fillId="6" borderId="0" xfId="180" applyFont="1" applyFill="1" applyBorder="1" applyAlignment="1">
      <alignment vertical="center"/>
    </xf>
    <xf numFmtId="0" fontId="125" fillId="0" borderId="6" xfId="180" applyFont="1" applyFill="1" applyBorder="1"/>
    <xf numFmtId="0" fontId="44" fillId="0" borderId="6" xfId="180" applyFont="1" applyFill="1" applyBorder="1"/>
    <xf numFmtId="0" fontId="125" fillId="0" borderId="135" xfId="2" applyFont="1" applyFill="1" applyBorder="1" applyAlignment="1">
      <alignment vertical="top"/>
    </xf>
    <xf numFmtId="165" fontId="125" fillId="0" borderId="135" xfId="180" applyNumberFormat="1" applyFont="1" applyFill="1" applyBorder="1" applyAlignment="1">
      <alignment horizontal="center" vertical="top"/>
    </xf>
    <xf numFmtId="0" fontId="19" fillId="0" borderId="27" xfId="0" applyFont="1" applyFill="1" applyBorder="1" applyAlignment="1">
      <alignment horizontal="left"/>
    </xf>
    <xf numFmtId="0" fontId="41" fillId="0" borderId="260" xfId="180" applyFont="1" applyFill="1" applyBorder="1" applyAlignment="1">
      <alignment vertical="center"/>
    </xf>
    <xf numFmtId="0" fontId="41" fillId="0" borderId="260" xfId="15" applyFont="1" applyFill="1" applyBorder="1" applyAlignment="1">
      <alignment horizontal="left" vertical="center" wrapText="1"/>
    </xf>
    <xf numFmtId="0" fontId="111" fillId="6" borderId="8" xfId="177" applyFont="1" applyFill="1" applyBorder="1" applyAlignment="1">
      <alignment horizontal="center"/>
    </xf>
    <xf numFmtId="0" fontId="111" fillId="6" borderId="9" xfId="177" applyFont="1" applyFill="1" applyBorder="1" applyAlignment="1">
      <alignment horizontal="center"/>
    </xf>
    <xf numFmtId="0" fontId="25" fillId="0" borderId="0" xfId="78" applyFont="1" applyFill="1" applyBorder="1" applyAlignment="1">
      <alignment horizontal="left" vertical="center" wrapText="1"/>
    </xf>
    <xf numFmtId="0" fontId="41" fillId="6" borderId="305" xfId="180" applyFont="1" applyFill="1" applyBorder="1" applyAlignment="1">
      <alignment vertical="top" wrapText="1"/>
    </xf>
    <xf numFmtId="0" fontId="41" fillId="6" borderId="231" xfId="180" applyFont="1" applyFill="1" applyBorder="1"/>
    <xf numFmtId="166" fontId="40" fillId="6" borderId="291" xfId="180" quotePrefix="1" applyNumberFormat="1" applyFont="1" applyFill="1" applyBorder="1" applyAlignment="1">
      <alignment horizontal="left" vertical="top"/>
    </xf>
    <xf numFmtId="166" fontId="40" fillId="6" borderId="296" xfId="180" quotePrefix="1" applyNumberFormat="1" applyFont="1" applyFill="1" applyBorder="1" applyAlignment="1">
      <alignment horizontal="left" vertical="center"/>
    </xf>
    <xf numFmtId="165" fontId="40" fillId="6" borderId="2" xfId="180" applyNumberFormat="1" applyFont="1" applyFill="1" applyBorder="1" applyAlignment="1">
      <alignment horizontal="center" vertical="center"/>
    </xf>
    <xf numFmtId="0" fontId="41" fillId="6" borderId="294" xfId="180" applyFont="1" applyFill="1" applyBorder="1" applyAlignment="1">
      <alignment vertical="top"/>
    </xf>
    <xf numFmtId="0" fontId="111" fillId="6" borderId="306" xfId="180" applyFont="1" applyFill="1" applyBorder="1" applyAlignment="1">
      <alignment vertical="top" wrapText="1"/>
    </xf>
    <xf numFmtId="0" fontId="111" fillId="0" borderId="230" xfId="2" applyFont="1" applyFill="1" applyBorder="1" applyAlignment="1">
      <alignment vertical="top"/>
    </xf>
    <xf numFmtId="165" fontId="111" fillId="0" borderId="139" xfId="180" applyNumberFormat="1" applyFont="1" applyFill="1" applyBorder="1" applyAlignment="1">
      <alignment horizontal="center" vertical="center"/>
    </xf>
    <xf numFmtId="0" fontId="40" fillId="6" borderId="296" xfId="180" applyFont="1" applyFill="1" applyBorder="1" applyAlignment="1">
      <alignment horizontal="left" vertical="center"/>
    </xf>
    <xf numFmtId="0" fontId="111" fillId="0" borderId="48" xfId="180" quotePrefix="1" applyFont="1" applyFill="1" applyBorder="1" applyAlignment="1">
      <alignment horizontal="right" vertical="top" wrapText="1"/>
    </xf>
    <xf numFmtId="166" fontId="133" fillId="0" borderId="214" xfId="180" applyNumberFormat="1" applyFont="1" applyFill="1" applyBorder="1" applyAlignment="1">
      <alignment horizontal="right" wrapText="1"/>
    </xf>
    <xf numFmtId="0" fontId="111" fillId="0" borderId="135" xfId="180" quotePrefix="1" applyFont="1" applyFill="1" applyBorder="1" applyAlignment="1">
      <alignment horizontal="right"/>
    </xf>
    <xf numFmtId="0" fontId="111" fillId="0" borderId="45" xfId="180" quotePrefix="1" applyFont="1" applyFill="1" applyBorder="1" applyAlignment="1">
      <alignment horizontal="right" wrapText="1"/>
    </xf>
    <xf numFmtId="0" fontId="111" fillId="0" borderId="135" xfId="180" quotePrefix="1" applyFont="1" applyFill="1" applyBorder="1" applyAlignment="1">
      <alignment horizontal="right" wrapText="1"/>
    </xf>
    <xf numFmtId="0" fontId="111" fillId="0" borderId="135" xfId="180" quotePrefix="1" applyFont="1" applyFill="1" applyBorder="1" applyAlignment="1">
      <alignment horizontal="right" vertical="top" wrapText="1"/>
    </xf>
    <xf numFmtId="0" fontId="51" fillId="0" borderId="0" xfId="180" quotePrefix="1" applyFont="1" applyFill="1" applyAlignment="1">
      <alignment horizontal="right"/>
    </xf>
    <xf numFmtId="0" fontId="111" fillId="0" borderId="135" xfId="180" applyFont="1" applyFill="1" applyBorder="1" applyAlignment="1">
      <alignment horizontal="right" vertical="top" wrapText="1"/>
    </xf>
    <xf numFmtId="9" fontId="41" fillId="6" borderId="0" xfId="162" applyFont="1" applyFill="1" applyBorder="1" applyAlignment="1">
      <alignment horizontal="left" vertical="center" wrapText="1"/>
    </xf>
    <xf numFmtId="9" fontId="41" fillId="6" borderId="2" xfId="162" applyFont="1" applyFill="1" applyBorder="1" applyAlignment="1">
      <alignment horizontal="left" vertical="center" wrapText="1"/>
    </xf>
    <xf numFmtId="0" fontId="24" fillId="6" borderId="0" xfId="180" applyFont="1" applyFill="1" applyAlignment="1">
      <alignment wrapText="1"/>
    </xf>
    <xf numFmtId="0" fontId="21" fillId="6" borderId="0" xfId="15" applyFont="1" applyFill="1" applyAlignment="1">
      <alignment vertical="center"/>
    </xf>
    <xf numFmtId="0" fontId="24" fillId="43" borderId="0" xfId="15" applyFont="1" applyFill="1" applyBorder="1" applyAlignment="1">
      <alignment horizontal="center"/>
    </xf>
    <xf numFmtId="0" fontId="41" fillId="43" borderId="250" xfId="15" applyFont="1" applyFill="1" applyBorder="1" applyAlignment="1">
      <alignment horizontal="right" vertical="center"/>
    </xf>
    <xf numFmtId="0" fontId="24" fillId="43" borderId="0" xfId="180" applyFont="1" applyFill="1" applyBorder="1" applyAlignment="1">
      <alignment horizontal="left" vertical="top" wrapText="1"/>
    </xf>
    <xf numFmtId="166" fontId="67" fillId="39" borderId="28" xfId="180" applyNumberFormat="1" applyFont="1" applyFill="1" applyBorder="1" applyAlignment="1">
      <alignment horizontal="center" vertical="center" wrapText="1"/>
    </xf>
    <xf numFmtId="166" fontId="67" fillId="39" borderId="28" xfId="15" applyNumberFormat="1" applyFont="1" applyFill="1" applyBorder="1" applyAlignment="1">
      <alignment horizontal="center" vertical="center" wrapText="1"/>
    </xf>
    <xf numFmtId="0" fontId="111" fillId="6" borderId="279" xfId="180" applyFont="1" applyFill="1" applyBorder="1" applyAlignment="1">
      <alignment horizontal="center" vertical="center"/>
    </xf>
    <xf numFmtId="0" fontId="111" fillId="6" borderId="280" xfId="180" applyFont="1" applyFill="1" applyBorder="1" applyAlignment="1">
      <alignment horizontal="center" vertical="center"/>
    </xf>
    <xf numFmtId="0" fontId="32" fillId="6" borderId="0" xfId="180" applyFont="1" applyFill="1" applyBorder="1" applyAlignment="1">
      <alignment vertical="center"/>
    </xf>
    <xf numFmtId="0" fontId="125" fillId="6" borderId="33" xfId="177" applyFont="1" applyFill="1" applyBorder="1" applyAlignment="1">
      <alignment horizontal="center"/>
    </xf>
    <xf numFmtId="0" fontId="99" fillId="6" borderId="10" xfId="177" applyFont="1" applyFill="1" applyBorder="1"/>
    <xf numFmtId="0" fontId="99" fillId="6" borderId="8" xfId="177" applyFont="1" applyFill="1" applyBorder="1"/>
    <xf numFmtId="0" fontId="99" fillId="6" borderId="8" xfId="177" applyFont="1" applyFill="1" applyBorder="1" applyAlignment="1"/>
    <xf numFmtId="0" fontId="31" fillId="6" borderId="10" xfId="15" applyFont="1" applyFill="1" applyBorder="1" applyAlignment="1">
      <alignment vertical="top"/>
    </xf>
    <xf numFmtId="0" fontId="30" fillId="6" borderId="42" xfId="15" applyFont="1" applyFill="1" applyBorder="1" applyAlignment="1">
      <alignment vertical="top"/>
    </xf>
    <xf numFmtId="0" fontId="98" fillId="6" borderId="68" xfId="177" applyFont="1" applyFill="1" applyBorder="1"/>
    <xf numFmtId="0" fontId="98" fillId="6" borderId="72" xfId="177" applyFont="1" applyFill="1" applyBorder="1"/>
    <xf numFmtId="0" fontId="32" fillId="6" borderId="0" xfId="15" applyFont="1" applyFill="1" applyAlignment="1">
      <alignment vertical="top" wrapText="1"/>
    </xf>
    <xf numFmtId="0" fontId="30" fillId="6" borderId="67" xfId="15" applyFont="1" applyFill="1" applyBorder="1" applyAlignment="1">
      <alignment vertical="top"/>
    </xf>
    <xf numFmtId="0" fontId="113" fillId="6" borderId="8" xfId="177" applyFont="1" applyFill="1" applyBorder="1"/>
    <xf numFmtId="0" fontId="32" fillId="6" borderId="67" xfId="15" applyFont="1" applyFill="1" applyBorder="1" applyAlignment="1">
      <alignment vertical="top"/>
    </xf>
    <xf numFmtId="0" fontId="52" fillId="6" borderId="8" xfId="177" applyFont="1" applyFill="1" applyBorder="1"/>
    <xf numFmtId="0" fontId="17" fillId="6" borderId="10" xfId="15" applyFont="1" applyFill="1" applyBorder="1" applyAlignment="1">
      <alignment vertical="top"/>
    </xf>
    <xf numFmtId="0" fontId="30" fillId="6" borderId="8" xfId="15" applyFont="1" applyFill="1" applyBorder="1" applyAlignment="1">
      <alignment vertical="top"/>
    </xf>
    <xf numFmtId="0" fontId="20" fillId="6" borderId="8" xfId="15" applyFont="1" applyFill="1" applyBorder="1" applyAlignment="1">
      <alignment vertical="top"/>
    </xf>
    <xf numFmtId="0" fontId="85" fillId="6" borderId="8" xfId="177" applyFont="1" applyFill="1" applyBorder="1"/>
    <xf numFmtId="0" fontId="24" fillId="6" borderId="0" xfId="180" applyFont="1" applyFill="1" applyAlignment="1">
      <alignment vertical="center"/>
    </xf>
    <xf numFmtId="0" fontId="24" fillId="6" borderId="0" xfId="180" applyFont="1" applyFill="1" applyAlignment="1">
      <alignment horizontal="right" vertical="center"/>
    </xf>
    <xf numFmtId="0" fontId="41" fillId="6" borderId="10" xfId="180" applyFont="1" applyFill="1" applyBorder="1"/>
    <xf numFmtId="0" fontId="41" fillId="6" borderId="8" xfId="180" applyFont="1" applyFill="1" applyBorder="1"/>
    <xf numFmtId="0" fontId="41" fillId="6" borderId="38" xfId="180" applyFont="1" applyFill="1" applyBorder="1"/>
    <xf numFmtId="0" fontId="40" fillId="6" borderId="11" xfId="180" applyFont="1" applyFill="1" applyBorder="1" applyAlignment="1">
      <alignment horizontal="center"/>
    </xf>
    <xf numFmtId="0" fontId="40" fillId="6" borderId="63" xfId="180" applyFont="1" applyFill="1" applyBorder="1" applyAlignment="1">
      <alignment horizontal="center"/>
    </xf>
    <xf numFmtId="0" fontId="49" fillId="6" borderId="141" xfId="113" applyFont="1" applyFill="1" applyBorder="1" applyAlignment="1"/>
    <xf numFmtId="166" fontId="24" fillId="6" borderId="144" xfId="113" applyNumberFormat="1" applyFont="1" applyFill="1" applyBorder="1" applyAlignment="1"/>
    <xf numFmtId="0" fontId="24" fillId="6" borderId="144" xfId="113" applyFont="1" applyFill="1" applyBorder="1" applyAlignment="1">
      <alignment horizontal="center"/>
    </xf>
    <xf numFmtId="0" fontId="24" fillId="6" borderId="14" xfId="180" applyFont="1" applyFill="1" applyBorder="1" applyAlignment="1">
      <alignment vertical="center"/>
    </xf>
    <xf numFmtId="0" fontId="24" fillId="6" borderId="0" xfId="180" applyFont="1" applyFill="1" applyBorder="1" applyAlignment="1">
      <alignment vertical="center"/>
    </xf>
    <xf numFmtId="0" fontId="32" fillId="6" borderId="29" xfId="78" applyNumberFormat="1" applyFont="1" applyFill="1" applyBorder="1" applyAlignment="1">
      <alignment horizontal="center" vertical="center" readingOrder="2"/>
    </xf>
    <xf numFmtId="0" fontId="51" fillId="6" borderId="42" xfId="78" applyFont="1" applyFill="1" applyBorder="1" applyAlignment="1">
      <alignment vertical="center" wrapText="1"/>
    </xf>
    <xf numFmtId="0" fontId="113" fillId="6" borderId="0" xfId="15" applyFont="1" applyFill="1" applyBorder="1" applyAlignment="1">
      <alignment vertical="center" wrapText="1"/>
    </xf>
    <xf numFmtId="0" fontId="113" fillId="6" borderId="328" xfId="15" applyFont="1" applyFill="1" applyBorder="1" applyAlignment="1">
      <alignment vertical="center" wrapText="1"/>
    </xf>
    <xf numFmtId="0" fontId="25" fillId="6" borderId="0" xfId="180" applyFont="1" applyFill="1" applyBorder="1" applyAlignment="1"/>
    <xf numFmtId="0" fontId="32" fillId="6" borderId="0" xfId="180" applyFont="1" applyFill="1" applyBorder="1"/>
    <xf numFmtId="165" fontId="69" fillId="0" borderId="0" xfId="2" quotePrefix="1" applyNumberFormat="1" applyFont="1" applyFill="1" applyBorder="1" applyAlignment="1">
      <alignment horizontal="center" vertical="center" wrapText="1"/>
    </xf>
    <xf numFmtId="0" fontId="68" fillId="0" borderId="0" xfId="2" applyFont="1" applyBorder="1" applyAlignment="1">
      <alignment horizontal="right"/>
    </xf>
    <xf numFmtId="0" fontId="24" fillId="0" borderId="0" xfId="2" applyFont="1" applyBorder="1" applyAlignment="1"/>
    <xf numFmtId="0" fontId="24" fillId="6" borderId="0" xfId="2" applyFont="1" applyFill="1" applyBorder="1" applyAlignment="1"/>
    <xf numFmtId="0" fontId="67" fillId="6" borderId="0" xfId="2" applyFont="1" applyFill="1" applyBorder="1" applyAlignment="1">
      <alignment horizontal="center" vertical="center"/>
    </xf>
    <xf numFmtId="0" fontId="24" fillId="0" borderId="0" xfId="2" applyFont="1" applyBorder="1" applyAlignment="1">
      <alignment vertical="center"/>
    </xf>
    <xf numFmtId="0" fontId="111" fillId="0" borderId="6" xfId="180" applyFont="1" applyFill="1" applyBorder="1"/>
    <xf numFmtId="0" fontId="111" fillId="0" borderId="0" xfId="180" applyFont="1" applyFill="1" applyBorder="1"/>
    <xf numFmtId="166" fontId="24" fillId="6" borderId="0" xfId="180" applyNumberFormat="1" applyFont="1" applyFill="1"/>
    <xf numFmtId="0" fontId="32" fillId="19" borderId="82" xfId="78" applyFont="1" applyFill="1" applyBorder="1" applyAlignment="1">
      <alignment horizontal="center" vertical="center"/>
    </xf>
    <xf numFmtId="0" fontId="68" fillId="22" borderId="14" xfId="78" applyFont="1" applyFill="1" applyBorder="1" applyAlignment="1">
      <alignment horizontal="left" vertical="center"/>
    </xf>
    <xf numFmtId="0" fontId="25" fillId="22" borderId="10" xfId="78" applyFont="1" applyFill="1" applyBorder="1" applyAlignment="1">
      <alignment horizontal="right" vertical="center"/>
    </xf>
    <xf numFmtId="0" fontId="25" fillId="22" borderId="99" xfId="78" applyFont="1" applyFill="1" applyBorder="1" applyAlignment="1">
      <alignment horizontal="right" vertical="center"/>
    </xf>
    <xf numFmtId="0" fontId="68" fillId="22" borderId="12" xfId="78" applyFont="1" applyFill="1" applyBorder="1" applyAlignment="1">
      <alignment horizontal="left" vertical="center"/>
    </xf>
    <xf numFmtId="0" fontId="25" fillId="22" borderId="11" xfId="78" applyFont="1" applyFill="1" applyBorder="1" applyAlignment="1">
      <alignment horizontal="right" vertical="center"/>
    </xf>
    <xf numFmtId="0" fontId="25" fillId="22" borderId="100" xfId="78" applyFont="1" applyFill="1" applyBorder="1" applyAlignment="1">
      <alignment horizontal="right" vertical="center"/>
    </xf>
    <xf numFmtId="49" fontId="94" fillId="22" borderId="49" xfId="78" applyNumberFormat="1" applyFont="1" applyFill="1" applyBorder="1" applyAlignment="1">
      <alignment horizontal="center" vertical="center"/>
    </xf>
    <xf numFmtId="0" fontId="25" fillId="22" borderId="74" xfId="78" applyFont="1" applyFill="1" applyBorder="1" applyAlignment="1">
      <alignment horizontal="right" vertical="center"/>
    </xf>
    <xf numFmtId="0" fontId="69" fillId="22" borderId="10" xfId="78" applyNumberFormat="1" applyFont="1" applyFill="1" applyBorder="1" applyAlignment="1">
      <alignment horizontal="center" vertical="center"/>
    </xf>
    <xf numFmtId="0" fontId="69" fillId="22" borderId="14" xfId="78" applyNumberFormat="1" applyFont="1" applyFill="1" applyBorder="1" applyAlignment="1">
      <alignment horizontal="center" vertical="center"/>
    </xf>
    <xf numFmtId="166" fontId="40" fillId="6" borderId="215" xfId="180" quotePrefix="1" applyNumberFormat="1" applyFont="1" applyFill="1" applyBorder="1"/>
    <xf numFmtId="0" fontId="41" fillId="6" borderId="237" xfId="3" applyFont="1" applyFill="1" applyBorder="1" applyAlignment="1">
      <alignment vertical="center"/>
    </xf>
    <xf numFmtId="0" fontId="24" fillId="0" borderId="350" xfId="180" applyFont="1" applyFill="1" applyBorder="1" applyAlignment="1">
      <alignment horizontal="center"/>
    </xf>
    <xf numFmtId="0" fontId="24" fillId="0" borderId="403" xfId="180" applyFont="1" applyFill="1" applyBorder="1" applyAlignment="1">
      <alignment horizontal="center"/>
    </xf>
    <xf numFmtId="0" fontId="24" fillId="0" borderId="404" xfId="180" applyFont="1" applyFill="1" applyBorder="1" applyAlignment="1">
      <alignment horizontal="center"/>
    </xf>
    <xf numFmtId="0" fontId="129" fillId="6" borderId="328" xfId="0" applyFont="1" applyFill="1" applyBorder="1" applyAlignment="1">
      <alignment vertical="center"/>
    </xf>
    <xf numFmtId="0" fontId="129" fillId="6" borderId="328" xfId="0" applyFont="1" applyFill="1" applyBorder="1"/>
    <xf numFmtId="0" fontId="34" fillId="6" borderId="328" xfId="0" applyFont="1" applyFill="1" applyBorder="1"/>
    <xf numFmtId="0" fontId="34" fillId="6" borderId="307" xfId="0" applyFont="1" applyFill="1" applyBorder="1"/>
    <xf numFmtId="0" fontId="111" fillId="6" borderId="390" xfId="180" applyFont="1" applyFill="1" applyBorder="1"/>
    <xf numFmtId="0" fontId="111" fillId="6" borderId="391" xfId="180" applyFont="1" applyFill="1" applyBorder="1"/>
    <xf numFmtId="0" fontId="111" fillId="6" borderId="397" xfId="180" quotePrefix="1" applyFont="1" applyFill="1" applyBorder="1" applyAlignment="1">
      <alignment horizontal="center"/>
    </xf>
    <xf numFmtId="0" fontId="111" fillId="6" borderId="402" xfId="180" quotePrefix="1" applyFont="1" applyFill="1" applyBorder="1" applyAlignment="1">
      <alignment horizontal="center" vertical="top"/>
    </xf>
    <xf numFmtId="0" fontId="111" fillId="0" borderId="397" xfId="180" quotePrefix="1" applyFont="1" applyFill="1" applyBorder="1" applyAlignment="1">
      <alignment horizontal="center"/>
    </xf>
    <xf numFmtId="0" fontId="111" fillId="0" borderId="396" xfId="180" quotePrefix="1" applyFont="1" applyFill="1" applyBorder="1" applyAlignment="1">
      <alignment horizontal="center" vertical="top"/>
    </xf>
    <xf numFmtId="0" fontId="24" fillId="0" borderId="405" xfId="180" applyFont="1" applyFill="1" applyBorder="1" applyAlignment="1">
      <alignment horizontal="right" vertical="top"/>
    </xf>
    <xf numFmtId="0" fontId="67" fillId="0" borderId="405" xfId="180" applyFont="1" applyFill="1" applyBorder="1" applyAlignment="1">
      <alignment vertical="center"/>
    </xf>
    <xf numFmtId="0" fontId="101" fillId="0" borderId="68" xfId="180" applyFont="1" applyFill="1" applyBorder="1" applyAlignment="1">
      <alignment vertical="center"/>
    </xf>
    <xf numFmtId="0" fontId="24" fillId="0" borderId="72" xfId="180" applyFont="1" applyFill="1" applyBorder="1"/>
    <xf numFmtId="165" fontId="17" fillId="0" borderId="0" xfId="180" applyNumberFormat="1" applyAlignment="1">
      <alignment vertical="center"/>
    </xf>
    <xf numFmtId="0" fontId="30" fillId="0" borderId="242" xfId="180" applyFont="1" applyBorder="1"/>
    <xf numFmtId="0" fontId="17" fillId="0" borderId="242" xfId="180" applyFont="1" applyBorder="1"/>
    <xf numFmtId="0" fontId="17" fillId="0" borderId="239" xfId="180" applyBorder="1"/>
    <xf numFmtId="0" fontId="17" fillId="0" borderId="240" xfId="180" applyBorder="1"/>
    <xf numFmtId="0" fontId="17" fillId="0" borderId="242" xfId="180" applyBorder="1"/>
    <xf numFmtId="0" fontId="17" fillId="0" borderId="309" xfId="180" applyBorder="1"/>
    <xf numFmtId="0" fontId="17" fillId="0" borderId="242" xfId="180" applyBorder="1" applyAlignment="1"/>
    <xf numFmtId="0" fontId="25" fillId="18" borderId="21" xfId="78" applyFont="1" applyFill="1" applyBorder="1" applyAlignment="1">
      <alignment vertical="top" wrapText="1"/>
    </xf>
    <xf numFmtId="0" fontId="24" fillId="22" borderId="0" xfId="2" applyFont="1" applyFill="1" applyBorder="1" applyAlignment="1">
      <alignment vertical="center"/>
    </xf>
    <xf numFmtId="0" fontId="24" fillId="22" borderId="0" xfId="2" applyFont="1" applyFill="1" applyBorder="1" applyAlignment="1">
      <alignment horizontal="left" vertical="center"/>
    </xf>
    <xf numFmtId="0" fontId="24" fillId="22" borderId="0" xfId="91" applyFont="1" applyFill="1" applyAlignment="1"/>
    <xf numFmtId="0" fontId="24" fillId="22" borderId="0" xfId="2" applyFont="1" applyFill="1" applyBorder="1" applyAlignment="1">
      <alignment horizontal="right" vertical="center"/>
    </xf>
    <xf numFmtId="0" fontId="24" fillId="22" borderId="10" xfId="2" applyFont="1" applyFill="1" applyBorder="1" applyAlignment="1">
      <alignment horizontal="left" vertical="center"/>
    </xf>
    <xf numFmtId="0" fontId="24" fillId="22" borderId="9" xfId="2" applyFont="1" applyFill="1" applyBorder="1" applyAlignment="1">
      <alignment horizontal="left" vertical="center"/>
    </xf>
    <xf numFmtId="49" fontId="51" fillId="22" borderId="12" xfId="78" applyNumberFormat="1" applyFont="1" applyFill="1" applyBorder="1" applyAlignment="1">
      <alignment horizontal="center" vertical="center"/>
    </xf>
    <xf numFmtId="0" fontId="24" fillId="22" borderId="10" xfId="78" applyFont="1" applyFill="1" applyBorder="1" applyAlignment="1">
      <alignment horizontal="left" vertical="center" shrinkToFit="1"/>
    </xf>
    <xf numFmtId="0" fontId="63" fillId="6" borderId="10" xfId="78" applyFont="1" applyFill="1" applyBorder="1" applyAlignment="1">
      <alignment vertical="center"/>
    </xf>
    <xf numFmtId="0" fontId="35" fillId="6" borderId="8" xfId="78" applyFont="1" applyFill="1" applyBorder="1" applyAlignment="1">
      <alignment vertical="center" wrapText="1"/>
    </xf>
    <xf numFmtId="0" fontId="63" fillId="6" borderId="10" xfId="78" applyFont="1" applyFill="1" applyBorder="1" applyAlignment="1">
      <alignment horizontal="left" vertical="center"/>
    </xf>
    <xf numFmtId="0" fontId="63" fillId="6" borderId="49" xfId="78" applyFont="1" applyFill="1" applyBorder="1" applyAlignment="1">
      <alignment horizontal="left" vertical="center" shrinkToFit="1"/>
    </xf>
    <xf numFmtId="0" fontId="63" fillId="6" borderId="14" xfId="78" applyFont="1" applyFill="1" applyBorder="1" applyAlignment="1">
      <alignment horizontal="left" vertical="center"/>
    </xf>
    <xf numFmtId="0" fontId="17" fillId="19" borderId="0" xfId="78" applyFill="1"/>
    <xf numFmtId="0" fontId="24" fillId="0" borderId="0" xfId="180" applyFont="1" applyFill="1" applyBorder="1" applyAlignment="1">
      <alignment horizontal="center" vertical="center"/>
    </xf>
    <xf numFmtId="0" fontId="24" fillId="0" borderId="0" xfId="180" applyFont="1" applyFill="1" applyBorder="1" applyAlignment="1">
      <alignment horizontal="left" vertical="top" wrapText="1"/>
    </xf>
    <xf numFmtId="0" fontId="24" fillId="0" borderId="10" xfId="180" applyFont="1" applyFill="1" applyBorder="1" applyAlignment="1">
      <alignment horizontal="center"/>
    </xf>
    <xf numFmtId="0" fontId="24" fillId="0" borderId="8" xfId="180" applyFont="1" applyFill="1" applyBorder="1" applyAlignment="1">
      <alignment horizontal="center"/>
    </xf>
    <xf numFmtId="0" fontId="24" fillId="0" borderId="9" xfId="180" applyFont="1" applyFill="1" applyBorder="1" applyAlignment="1">
      <alignment horizontal="center"/>
    </xf>
    <xf numFmtId="0" fontId="24" fillId="0" borderId="1" xfId="180" applyFont="1" applyFill="1" applyBorder="1" applyAlignment="1">
      <alignment horizontal="center" vertical="top" wrapText="1"/>
    </xf>
    <xf numFmtId="0" fontId="24" fillId="0" borderId="2" xfId="180" applyFont="1" applyFill="1" applyBorder="1" applyAlignment="1">
      <alignment horizontal="center" vertical="top" wrapText="1"/>
    </xf>
    <xf numFmtId="0" fontId="24" fillId="0" borderId="36" xfId="180" applyFont="1" applyFill="1" applyBorder="1" applyAlignment="1">
      <alignment horizontal="center" wrapText="1"/>
    </xf>
    <xf numFmtId="0" fontId="24" fillId="0" borderId="30" xfId="180" applyFont="1" applyFill="1" applyBorder="1" applyAlignment="1">
      <alignment horizontal="center" wrapText="1"/>
    </xf>
    <xf numFmtId="0" fontId="24" fillId="0" borderId="35" xfId="180" applyFont="1" applyFill="1" applyBorder="1" applyAlignment="1">
      <alignment horizontal="center" wrapText="1"/>
    </xf>
    <xf numFmtId="0" fontId="24" fillId="0" borderId="10" xfId="180" applyFont="1" applyFill="1" applyBorder="1" applyAlignment="1">
      <alignment horizontal="center" wrapText="1"/>
    </xf>
    <xf numFmtId="0" fontId="24" fillId="0" borderId="8" xfId="180" applyFont="1" applyFill="1" applyBorder="1" applyAlignment="1">
      <alignment horizontal="center" wrapText="1"/>
    </xf>
    <xf numFmtId="0" fontId="24" fillId="0" borderId="9" xfId="180" applyFont="1" applyFill="1" applyBorder="1" applyAlignment="1">
      <alignment horizontal="center" wrapText="1"/>
    </xf>
    <xf numFmtId="0" fontId="24" fillId="0" borderId="306" xfId="180" applyFont="1" applyFill="1" applyBorder="1" applyAlignment="1">
      <alignment horizontal="left" vertical="center"/>
    </xf>
    <xf numFmtId="0" fontId="24" fillId="0" borderId="302" xfId="180" applyFont="1" applyFill="1" applyBorder="1" applyAlignment="1">
      <alignment horizontal="left" vertical="center"/>
    </xf>
    <xf numFmtId="0" fontId="24" fillId="0" borderId="306" xfId="180" applyFont="1" applyFill="1" applyBorder="1" applyAlignment="1">
      <alignment horizontal="left" vertical="center" wrapText="1"/>
    </xf>
    <xf numFmtId="0" fontId="24" fillId="0" borderId="16" xfId="180" applyFont="1" applyFill="1" applyBorder="1" applyAlignment="1">
      <alignment horizontal="center" wrapText="1"/>
    </xf>
    <xf numFmtId="0" fontId="24" fillId="0" borderId="17" xfId="180" applyFont="1" applyFill="1" applyBorder="1" applyAlignment="1">
      <alignment horizontal="center" wrapText="1"/>
    </xf>
    <xf numFmtId="0" fontId="24" fillId="0" borderId="18" xfId="180" applyFont="1" applyFill="1" applyBorder="1" applyAlignment="1">
      <alignment horizontal="center" wrapText="1"/>
    </xf>
    <xf numFmtId="0" fontId="24" fillId="0" borderId="5" xfId="180" applyFont="1" applyFill="1" applyBorder="1" applyAlignment="1">
      <alignment horizontal="center" wrapText="1"/>
    </xf>
    <xf numFmtId="0" fontId="24" fillId="0" borderId="6" xfId="180" applyFont="1" applyFill="1" applyBorder="1" applyAlignment="1">
      <alignment horizontal="center" wrapText="1"/>
    </xf>
    <xf numFmtId="0" fontId="24" fillId="0" borderId="7" xfId="180" applyFont="1" applyFill="1" applyBorder="1" applyAlignment="1">
      <alignment horizontal="center" wrapText="1"/>
    </xf>
    <xf numFmtId="0" fontId="24" fillId="0" borderId="239" xfId="180" applyFont="1" applyFill="1" applyBorder="1" applyAlignment="1">
      <alignment horizontal="center" wrapText="1"/>
    </xf>
    <xf numFmtId="0" fontId="24" fillId="0" borderId="120" xfId="180" applyFont="1" applyFill="1" applyBorder="1" applyAlignment="1">
      <alignment horizontal="center" wrapText="1"/>
    </xf>
    <xf numFmtId="0" fontId="24" fillId="0" borderId="122" xfId="180" applyFont="1" applyFill="1" applyBorder="1" applyAlignment="1">
      <alignment horizontal="center" wrapText="1"/>
    </xf>
    <xf numFmtId="0" fontId="24" fillId="0" borderId="121" xfId="180" applyFont="1" applyFill="1" applyBorder="1" applyAlignment="1">
      <alignment horizontal="center" wrapText="1"/>
    </xf>
    <xf numFmtId="0" fontId="24" fillId="0" borderId="40" xfId="180" applyFont="1" applyFill="1" applyBorder="1" applyAlignment="1">
      <alignment horizontal="center" wrapText="1"/>
    </xf>
    <xf numFmtId="0" fontId="24" fillId="0" borderId="38" xfId="180" applyFont="1" applyFill="1" applyBorder="1" applyAlignment="1">
      <alignment horizontal="center" wrapText="1"/>
    </xf>
    <xf numFmtId="0" fontId="24" fillId="0" borderId="39" xfId="180" applyFont="1" applyFill="1" applyBorder="1" applyAlignment="1">
      <alignment horizontal="center" wrapText="1"/>
    </xf>
    <xf numFmtId="0" fontId="24" fillId="0" borderId="302" xfId="180" applyFont="1" applyFill="1" applyBorder="1" applyAlignment="1">
      <alignment horizontal="left" vertical="top"/>
    </xf>
    <xf numFmtId="0" fontId="49" fillId="0" borderId="0" xfId="180" applyFont="1" applyFill="1" applyBorder="1" applyAlignment="1">
      <alignment horizontal="center" vertical="center"/>
    </xf>
    <xf numFmtId="0" fontId="24" fillId="0" borderId="0" xfId="180" applyFont="1" applyFill="1" applyBorder="1" applyAlignment="1">
      <alignment horizontal="center" vertical="center" wrapText="1"/>
    </xf>
    <xf numFmtId="0" fontId="24" fillId="0" borderId="2" xfId="180" applyFont="1" applyFill="1" applyBorder="1" applyAlignment="1">
      <alignment horizontal="left" vertical="top" wrapText="1"/>
    </xf>
    <xf numFmtId="0" fontId="24" fillId="0" borderId="1" xfId="180" applyFont="1" applyFill="1" applyBorder="1" applyAlignment="1">
      <alignment horizontal="left" vertical="top" wrapText="1"/>
    </xf>
    <xf numFmtId="0" fontId="24" fillId="0" borderId="2" xfId="180" applyFont="1" applyFill="1" applyBorder="1" applyAlignment="1">
      <alignment horizontal="center" vertical="center"/>
    </xf>
    <xf numFmtId="0" fontId="24" fillId="0" borderId="40" xfId="180" applyFont="1" applyFill="1" applyBorder="1" applyAlignment="1">
      <alignment horizontal="center"/>
    </xf>
    <xf numFmtId="0" fontId="24" fillId="0" borderId="38" xfId="180" applyFont="1" applyFill="1" applyBorder="1" applyAlignment="1">
      <alignment horizontal="center"/>
    </xf>
    <xf numFmtId="0" fontId="24" fillId="0" borderId="39" xfId="180" applyFont="1" applyFill="1" applyBorder="1" applyAlignment="1">
      <alignment horizontal="center"/>
    </xf>
    <xf numFmtId="0" fontId="24" fillId="0" borderId="0" xfId="180" applyFont="1" applyFill="1" applyBorder="1" applyAlignment="1">
      <alignment horizontal="center" vertical="top"/>
    </xf>
    <xf numFmtId="0" fontId="24" fillId="0" borderId="5" xfId="180" applyFont="1" applyFill="1" applyBorder="1" applyAlignment="1">
      <alignment horizontal="center"/>
    </xf>
    <xf numFmtId="0" fontId="24" fillId="0" borderId="7" xfId="180" applyFont="1" applyFill="1" applyBorder="1" applyAlignment="1">
      <alignment horizontal="center"/>
    </xf>
    <xf numFmtId="0" fontId="24" fillId="0" borderId="36" xfId="180" applyFont="1" applyFill="1" applyBorder="1" applyAlignment="1">
      <alignment horizontal="center"/>
    </xf>
    <xf numFmtId="0" fontId="24" fillId="0" borderId="30" xfId="180" applyFont="1" applyFill="1" applyBorder="1" applyAlignment="1">
      <alignment horizontal="center"/>
    </xf>
    <xf numFmtId="0" fontId="24" fillId="0" borderId="35" xfId="180" applyFont="1" applyFill="1" applyBorder="1" applyAlignment="1">
      <alignment horizontal="center"/>
    </xf>
    <xf numFmtId="0" fontId="24" fillId="0" borderId="0" xfId="180" applyFont="1" applyFill="1" applyBorder="1" applyAlignment="1">
      <alignment horizontal="center" wrapText="1"/>
    </xf>
    <xf numFmtId="0" fontId="24" fillId="0" borderId="239" xfId="180" applyFont="1" applyFill="1" applyBorder="1" applyAlignment="1">
      <alignment horizontal="center"/>
    </xf>
    <xf numFmtId="0" fontId="24" fillId="0" borderId="240" xfId="180" applyFont="1" applyFill="1" applyBorder="1" applyAlignment="1">
      <alignment horizontal="center"/>
    </xf>
    <xf numFmtId="0" fontId="24" fillId="0" borderId="2" xfId="180" applyFont="1" applyFill="1" applyBorder="1" applyAlignment="1">
      <alignment horizontal="center"/>
    </xf>
    <xf numFmtId="0" fontId="24" fillId="0" borderId="6" xfId="180" applyFont="1" applyFill="1" applyBorder="1" applyAlignment="1">
      <alignment horizontal="center"/>
    </xf>
    <xf numFmtId="0" fontId="24" fillId="0" borderId="25" xfId="180" applyFont="1" applyFill="1" applyBorder="1" applyAlignment="1">
      <alignment horizontal="center" wrapText="1"/>
    </xf>
    <xf numFmtId="0" fontId="41" fillId="0" borderId="328" xfId="15" applyFont="1" applyFill="1" applyBorder="1" applyAlignment="1">
      <alignment horizontal="left" vertical="center" wrapText="1"/>
    </xf>
    <xf numFmtId="0" fontId="41" fillId="0" borderId="260" xfId="180" applyFont="1" applyFill="1" applyBorder="1" applyAlignment="1">
      <alignment horizontal="left" vertical="center"/>
    </xf>
    <xf numFmtId="0" fontId="40" fillId="0" borderId="20" xfId="180" applyFont="1" applyFill="1" applyBorder="1" applyAlignment="1">
      <alignment horizontal="left" vertical="center" wrapText="1"/>
    </xf>
    <xf numFmtId="0" fontId="40" fillId="0" borderId="0" xfId="180" applyFont="1" applyFill="1" applyBorder="1" applyAlignment="1">
      <alignment horizontal="left" vertical="center" wrapText="1"/>
    </xf>
    <xf numFmtId="0" fontId="41" fillId="0" borderId="260" xfId="180" applyFont="1" applyFill="1" applyBorder="1" applyAlignment="1">
      <alignment horizontal="left" vertical="center" wrapText="1"/>
    </xf>
    <xf numFmtId="0" fontId="41" fillId="0" borderId="0" xfId="180" applyFont="1" applyFill="1" applyBorder="1" applyAlignment="1">
      <alignment horizontal="left" vertical="center" wrapText="1"/>
    </xf>
    <xf numFmtId="0" fontId="67" fillId="13" borderId="8" xfId="2" applyFont="1" applyFill="1" applyBorder="1" applyAlignment="1">
      <alignment horizontal="center" vertical="center"/>
    </xf>
    <xf numFmtId="0" fontId="24" fillId="0" borderId="23" xfId="2" applyFont="1" applyFill="1" applyBorder="1" applyAlignment="1">
      <alignment horizontal="center" vertical="top" wrapText="1"/>
    </xf>
    <xf numFmtId="165" fontId="24" fillId="0" borderId="10" xfId="2" quotePrefix="1" applyNumberFormat="1" applyFont="1" applyFill="1" applyBorder="1" applyAlignment="1">
      <alignment horizontal="center" vertical="center" wrapText="1"/>
    </xf>
    <xf numFmtId="0" fontId="30" fillId="0" borderId="42" xfId="15" applyFont="1" applyBorder="1" applyAlignment="1">
      <alignment horizontal="left" vertical="top"/>
    </xf>
    <xf numFmtId="0" fontId="30" fillId="0" borderId="42" xfId="15" applyFont="1" applyBorder="1" applyAlignment="1">
      <alignment horizontal="left" vertical="top" wrapText="1"/>
    </xf>
    <xf numFmtId="0" fontId="19" fillId="0" borderId="0" xfId="180" applyFont="1"/>
    <xf numFmtId="0" fontId="19" fillId="0" borderId="0" xfId="180" applyFont="1" applyFill="1" applyBorder="1"/>
    <xf numFmtId="0" fontId="19" fillId="0" borderId="0" xfId="180" applyFont="1" applyFill="1" applyBorder="1" applyAlignment="1">
      <alignment horizontal="left"/>
    </xf>
    <xf numFmtId="0" fontId="49" fillId="0" borderId="0" xfId="180" applyFont="1" applyFill="1" applyBorder="1" applyAlignment="1">
      <alignment horizontal="left"/>
    </xf>
    <xf numFmtId="0" fontId="49" fillId="0" borderId="0" xfId="180" applyFont="1" applyFill="1" applyBorder="1" applyAlignment="1">
      <alignment horizontal="center"/>
    </xf>
    <xf numFmtId="0" fontId="19" fillId="0" borderId="0" xfId="180" applyFont="1" applyBorder="1" applyAlignment="1"/>
    <xf numFmtId="0" fontId="49" fillId="6" borderId="10" xfId="180" applyFont="1" applyFill="1" applyBorder="1" applyAlignment="1">
      <alignment horizontal="center" textRotation="90"/>
    </xf>
    <xf numFmtId="0" fontId="49" fillId="0" borderId="9" xfId="180" applyFont="1" applyFill="1" applyBorder="1" applyAlignment="1">
      <alignment horizontal="center" textRotation="90"/>
    </xf>
    <xf numFmtId="0" fontId="49" fillId="13" borderId="10" xfId="180" applyFont="1" applyFill="1" applyBorder="1" applyAlignment="1">
      <alignment horizontal="center" vertical="center" wrapText="1"/>
    </xf>
    <xf numFmtId="0" fontId="49" fillId="13" borderId="8" xfId="180" applyFont="1" applyFill="1" applyBorder="1" applyAlignment="1">
      <alignment horizontal="center" vertical="center" wrapText="1"/>
    </xf>
    <xf numFmtId="0" fontId="25" fillId="0" borderId="239" xfId="180" applyFont="1" applyFill="1" applyBorder="1" applyAlignment="1">
      <alignment vertical="top" wrapText="1"/>
    </xf>
    <xf numFmtId="0" fontId="25" fillId="0" borderId="240" xfId="180" applyFont="1" applyFill="1" applyBorder="1" applyAlignment="1">
      <alignment vertical="top" wrapText="1"/>
    </xf>
    <xf numFmtId="0" fontId="24" fillId="0" borderId="1" xfId="180" applyFont="1" applyFill="1" applyBorder="1"/>
    <xf numFmtId="0" fontId="24" fillId="6" borderId="201" xfId="180" applyFont="1" applyFill="1" applyBorder="1" applyAlignment="1">
      <alignment vertical="center"/>
    </xf>
    <xf numFmtId="1" fontId="24" fillId="0" borderId="328" xfId="180" quotePrefix="1" applyNumberFormat="1" applyFont="1" applyFill="1" applyBorder="1" applyAlignment="1">
      <alignment horizontal="center" vertical="center" wrapText="1"/>
    </xf>
    <xf numFmtId="0" fontId="24" fillId="0" borderId="301" xfId="180" applyFont="1" applyFill="1" applyBorder="1" applyAlignment="1">
      <alignment horizontal="left"/>
    </xf>
    <xf numFmtId="167" fontId="24" fillId="0" borderId="304" xfId="180" applyNumberFormat="1" applyFont="1" applyFill="1" applyBorder="1" applyAlignment="1">
      <alignment horizontal="right" wrapText="1"/>
    </xf>
    <xf numFmtId="0" fontId="24" fillId="0" borderId="303" xfId="180" applyFont="1" applyFill="1" applyBorder="1" applyAlignment="1">
      <alignment horizontal="center" vertical="center"/>
    </xf>
    <xf numFmtId="0" fontId="24" fillId="0" borderId="1" xfId="180" applyFont="1" applyFill="1" applyBorder="1" applyAlignment="1">
      <alignment wrapText="1"/>
    </xf>
    <xf numFmtId="0" fontId="24" fillId="0" borderId="2" xfId="180" applyFont="1" applyFill="1" applyBorder="1" applyAlignment="1">
      <alignment wrapText="1"/>
    </xf>
    <xf numFmtId="0" fontId="24" fillId="0" borderId="306" xfId="180" applyFont="1" applyFill="1" applyBorder="1" applyAlignment="1">
      <alignment vertical="center" wrapText="1"/>
    </xf>
    <xf numFmtId="165" fontId="24" fillId="0" borderId="307" xfId="180" applyNumberFormat="1" applyFont="1" applyFill="1" applyBorder="1" applyAlignment="1">
      <alignment horizontal="center" vertical="center" wrapText="1"/>
    </xf>
    <xf numFmtId="0" fontId="24" fillId="0" borderId="207" xfId="180" applyFont="1" applyFill="1" applyBorder="1" applyAlignment="1">
      <alignment vertical="center"/>
    </xf>
    <xf numFmtId="0" fontId="49" fillId="0" borderId="294" xfId="180" applyFont="1" applyFill="1" applyBorder="1" applyAlignment="1">
      <alignment horizontal="right"/>
    </xf>
    <xf numFmtId="0" fontId="49" fillId="0" borderId="156" xfId="180" applyFont="1" applyFill="1" applyBorder="1" applyAlignment="1">
      <alignment horizontal="right"/>
    </xf>
    <xf numFmtId="0" fontId="49" fillId="0" borderId="292" xfId="180" applyFont="1" applyFill="1" applyBorder="1" applyAlignment="1">
      <alignment horizontal="right"/>
    </xf>
    <xf numFmtId="0" fontId="24" fillId="0" borderId="2" xfId="180" applyFont="1" applyFill="1" applyBorder="1" applyAlignment="1">
      <alignment horizontal="right" vertical="top" wrapText="1"/>
    </xf>
    <xf numFmtId="0" fontId="24" fillId="0" borderId="398" xfId="180" applyFont="1" applyFill="1" applyBorder="1" applyAlignment="1">
      <alignment vertical="center" wrapText="1"/>
    </xf>
    <xf numFmtId="165" fontId="24" fillId="0" borderId="400" xfId="180" quotePrefix="1" applyNumberFormat="1" applyFont="1" applyFill="1" applyBorder="1" applyAlignment="1">
      <alignment vertical="center" wrapText="1"/>
    </xf>
    <xf numFmtId="165" fontId="24" fillId="0" borderId="307" xfId="180" quotePrefix="1" applyNumberFormat="1" applyFont="1" applyFill="1" applyBorder="1" applyAlignment="1">
      <alignment vertical="center" wrapText="1"/>
    </xf>
    <xf numFmtId="165" fontId="24" fillId="0" borderId="400" xfId="180" applyNumberFormat="1" applyFont="1" applyFill="1" applyBorder="1" applyAlignment="1">
      <alignment horizontal="center" vertical="center" wrapText="1"/>
    </xf>
    <xf numFmtId="0" fontId="24" fillId="0" borderId="1" xfId="180" applyFont="1" applyFill="1" applyBorder="1" applyAlignment="1">
      <alignment horizontal="left" vertical="center"/>
    </xf>
    <xf numFmtId="0" fontId="24" fillId="0" borderId="21" xfId="180" applyFont="1" applyFill="1" applyBorder="1" applyAlignment="1">
      <alignment horizontal="left" vertical="center"/>
    </xf>
    <xf numFmtId="0" fontId="24" fillId="0" borderId="142" xfId="180" applyFont="1" applyFill="1" applyBorder="1" applyAlignment="1">
      <alignment vertical="center"/>
    </xf>
    <xf numFmtId="1" fontId="24" fillId="0" borderId="331" xfId="180" quotePrefix="1" applyNumberFormat="1" applyFont="1" applyFill="1" applyBorder="1" applyAlignment="1">
      <alignment horizontal="center" vertical="center" wrapText="1"/>
    </xf>
    <xf numFmtId="0" fontId="24" fillId="0" borderId="2" xfId="180" applyFont="1" applyFill="1" applyBorder="1" applyAlignment="1">
      <alignment vertical="top" wrapText="1"/>
    </xf>
    <xf numFmtId="0" fontId="24" fillId="0" borderId="138" xfId="180" applyFont="1" applyFill="1" applyBorder="1"/>
    <xf numFmtId="0" fontId="24" fillId="0" borderId="46" xfId="180" applyFont="1" applyFill="1" applyBorder="1"/>
    <xf numFmtId="0" fontId="24" fillId="0" borderId="47" xfId="180" applyFont="1" applyFill="1" applyBorder="1"/>
    <xf numFmtId="0" fontId="24" fillId="0" borderId="208" xfId="180" applyFont="1" applyFill="1" applyBorder="1" applyAlignment="1">
      <alignment vertical="center"/>
    </xf>
    <xf numFmtId="0" fontId="24" fillId="0" borderId="142" xfId="180" applyFont="1" applyFill="1" applyBorder="1" applyAlignment="1">
      <alignment horizontal="left" vertical="center"/>
    </xf>
    <xf numFmtId="0" fontId="24" fillId="0" borderId="48" xfId="180" applyFont="1" applyFill="1" applyBorder="1" applyAlignment="1">
      <alignment horizontal="center" vertical="center"/>
    </xf>
    <xf numFmtId="0" fontId="24" fillId="0" borderId="236" xfId="180" applyFont="1" applyFill="1" applyBorder="1" applyAlignment="1">
      <alignment vertical="center"/>
    </xf>
    <xf numFmtId="0" fontId="24" fillId="0" borderId="328" xfId="180" applyFont="1" applyFill="1" applyBorder="1" applyAlignment="1">
      <alignment horizontal="left" vertical="top"/>
    </xf>
    <xf numFmtId="0" fontId="24" fillId="0" borderId="307" xfId="180" applyFont="1" applyFill="1" applyBorder="1" applyAlignment="1">
      <alignment horizontal="left" vertical="center"/>
    </xf>
    <xf numFmtId="0" fontId="24" fillId="0" borderId="297" xfId="180" applyFont="1" applyFill="1" applyBorder="1" applyAlignment="1">
      <alignment horizontal="left" vertical="center"/>
    </xf>
    <xf numFmtId="0" fontId="24" fillId="0" borderId="412" xfId="180" applyFont="1" applyFill="1" applyBorder="1" applyAlignment="1">
      <alignment horizontal="left" vertical="top"/>
    </xf>
    <xf numFmtId="0" fontId="24" fillId="0" borderId="399" xfId="180" applyFont="1" applyFill="1" applyBorder="1" applyAlignment="1">
      <alignment horizontal="left" vertical="center"/>
    </xf>
    <xf numFmtId="0" fontId="24" fillId="0" borderId="400" xfId="180" applyFont="1" applyFill="1" applyBorder="1" applyAlignment="1">
      <alignment horizontal="left" vertical="center"/>
    </xf>
    <xf numFmtId="0" fontId="24" fillId="0" borderId="399" xfId="180" applyFont="1" applyFill="1" applyBorder="1" applyAlignment="1">
      <alignment horizontal="left" vertical="top"/>
    </xf>
    <xf numFmtId="0" fontId="24" fillId="0" borderId="210" xfId="180" applyFont="1" applyFill="1" applyBorder="1" applyAlignment="1">
      <alignment horizontal="left" vertical="center"/>
    </xf>
    <xf numFmtId="0" fontId="24" fillId="0" borderId="211" xfId="180" applyFont="1" applyFill="1" applyBorder="1" applyAlignment="1">
      <alignment horizontal="left" vertical="center"/>
    </xf>
    <xf numFmtId="0" fontId="24" fillId="0" borderId="209" xfId="180" applyFont="1" applyFill="1" applyBorder="1" applyAlignment="1">
      <alignment horizontal="left" vertical="center" wrapText="1"/>
    </xf>
    <xf numFmtId="0" fontId="24" fillId="0" borderId="210" xfId="180" applyFont="1" applyFill="1" applyBorder="1" applyAlignment="1">
      <alignment horizontal="left" vertical="center" wrapText="1"/>
    </xf>
    <xf numFmtId="0" fontId="24" fillId="0" borderId="212" xfId="180" applyFont="1" applyFill="1" applyBorder="1" applyAlignment="1">
      <alignment vertical="center"/>
    </xf>
    <xf numFmtId="0" fontId="24" fillId="0" borderId="377" xfId="180" applyFont="1" applyFill="1" applyBorder="1" applyAlignment="1">
      <alignment vertical="center"/>
    </xf>
    <xf numFmtId="0" fontId="24" fillId="0" borderId="1" xfId="180" applyFont="1" applyFill="1" applyBorder="1" applyAlignment="1">
      <alignment vertical="center" wrapText="1"/>
    </xf>
    <xf numFmtId="0" fontId="24" fillId="0" borderId="2" xfId="180" applyFont="1" applyFill="1" applyBorder="1" applyAlignment="1">
      <alignment vertical="center" wrapText="1"/>
    </xf>
    <xf numFmtId="0" fontId="19" fillId="0" borderId="1" xfId="180" applyFont="1" applyFill="1" applyBorder="1" applyAlignment="1">
      <alignment vertical="top" wrapText="1"/>
    </xf>
    <xf numFmtId="0" fontId="19" fillId="0" borderId="0" xfId="180" applyFont="1" applyFill="1" applyBorder="1" applyAlignment="1">
      <alignment vertical="top" wrapText="1"/>
    </xf>
    <xf numFmtId="0" fontId="19" fillId="0" borderId="2" xfId="180" applyFont="1" applyFill="1" applyBorder="1" applyAlignment="1">
      <alignment vertical="top" wrapText="1"/>
    </xf>
    <xf numFmtId="0" fontId="24" fillId="0" borderId="331" xfId="180" applyFont="1" applyFill="1" applyBorder="1" applyAlignment="1">
      <alignment horizontal="left" vertical="top"/>
    </xf>
    <xf numFmtId="0" fontId="24" fillId="0" borderId="304" xfId="180" applyFont="1" applyFill="1" applyBorder="1" applyAlignment="1">
      <alignment horizontal="left" vertical="center"/>
    </xf>
    <xf numFmtId="0" fontId="24" fillId="0" borderId="308" xfId="180" applyFont="1" applyFill="1" applyBorder="1" applyAlignment="1">
      <alignment horizontal="left" vertical="center"/>
    </xf>
    <xf numFmtId="0" fontId="24" fillId="0" borderId="304" xfId="180" applyFont="1" applyFill="1" applyBorder="1" applyAlignment="1">
      <alignment horizontal="left" vertical="top"/>
    </xf>
    <xf numFmtId="0" fontId="24" fillId="0" borderId="303" xfId="180" applyFont="1" applyFill="1" applyBorder="1" applyAlignment="1">
      <alignment horizontal="left" vertical="center"/>
    </xf>
    <xf numFmtId="0" fontId="24" fillId="0" borderId="411" xfId="180" applyFont="1" applyFill="1" applyBorder="1" applyAlignment="1">
      <alignment horizontal="left" vertical="top"/>
    </xf>
    <xf numFmtId="0" fontId="24" fillId="0" borderId="331" xfId="180" applyFont="1" applyFill="1" applyBorder="1" applyAlignment="1">
      <alignment horizontal="left" vertical="center"/>
    </xf>
    <xf numFmtId="0" fontId="24" fillId="0" borderId="372" xfId="180" applyFont="1" applyFill="1" applyBorder="1" applyAlignment="1">
      <alignment horizontal="left" vertical="center"/>
    </xf>
    <xf numFmtId="0" fontId="24" fillId="0" borderId="301" xfId="180" applyFont="1" applyFill="1" applyBorder="1" applyAlignment="1">
      <alignment horizontal="left" vertical="center"/>
    </xf>
    <xf numFmtId="0" fontId="24" fillId="0" borderId="216" xfId="180" applyFont="1" applyFill="1" applyBorder="1" applyAlignment="1">
      <alignment horizontal="left" vertical="center" wrapText="1"/>
    </xf>
    <xf numFmtId="0" fontId="24" fillId="0" borderId="218" xfId="180" applyFont="1" applyFill="1" applyBorder="1" applyAlignment="1">
      <alignment horizontal="left" vertical="center" wrapText="1"/>
    </xf>
    <xf numFmtId="0" fontId="24" fillId="0" borderId="217" xfId="180" applyFont="1" applyFill="1" applyBorder="1" applyAlignment="1">
      <alignment horizontal="left" vertical="center"/>
    </xf>
    <xf numFmtId="0" fontId="24" fillId="0" borderId="219" xfId="180" applyFont="1" applyFill="1" applyBorder="1"/>
    <xf numFmtId="0" fontId="24" fillId="0" borderId="328" xfId="180" quotePrefix="1" applyFont="1" applyFill="1" applyBorder="1" applyAlignment="1">
      <alignment horizontal="center" vertical="center"/>
    </xf>
    <xf numFmtId="0" fontId="24" fillId="0" borderId="213" xfId="180" applyFont="1" applyFill="1" applyBorder="1" applyAlignment="1">
      <alignment vertical="top" wrapText="1"/>
    </xf>
    <xf numFmtId="0" fontId="24" fillId="0" borderId="238" xfId="180" applyFont="1" applyFill="1" applyBorder="1" applyAlignment="1">
      <alignment vertical="top"/>
    </xf>
    <xf numFmtId="0" fontId="24" fillId="0" borderId="243" xfId="180" applyFont="1" applyFill="1" applyBorder="1" applyAlignment="1">
      <alignment vertical="center"/>
    </xf>
    <xf numFmtId="0" fontId="19" fillId="0" borderId="1" xfId="180" applyFont="1" applyFill="1" applyBorder="1" applyAlignment="1">
      <alignment vertical="center"/>
    </xf>
    <xf numFmtId="0" fontId="19" fillId="0" borderId="0" xfId="180" applyFont="1" applyFill="1" applyBorder="1" applyAlignment="1">
      <alignment vertical="center"/>
    </xf>
    <xf numFmtId="0" fontId="19" fillId="0" borderId="23" xfId="180" applyFont="1" applyFill="1" applyBorder="1" applyAlignment="1">
      <alignment vertical="center"/>
    </xf>
    <xf numFmtId="0" fontId="49" fillId="0" borderId="0" xfId="180" applyFont="1" applyFill="1" applyBorder="1" applyAlignment="1">
      <alignment vertical="center"/>
    </xf>
    <xf numFmtId="166" fontId="25" fillId="0" borderId="205" xfId="180" quotePrefix="1" applyNumberFormat="1" applyFont="1" applyFill="1" applyBorder="1" applyAlignment="1">
      <alignment vertical="center"/>
    </xf>
    <xf numFmtId="0" fontId="49" fillId="0" borderId="206" xfId="180" applyFont="1" applyFill="1" applyBorder="1" applyAlignment="1">
      <alignment vertical="center"/>
    </xf>
    <xf numFmtId="0" fontId="24" fillId="6" borderId="306" xfId="180" applyFont="1" applyFill="1" applyBorder="1" applyAlignment="1">
      <alignment vertical="center" wrapText="1"/>
    </xf>
    <xf numFmtId="0" fontId="24" fillId="0" borderId="304" xfId="180" applyFont="1" applyFill="1" applyBorder="1" applyAlignment="1">
      <alignment horizontal="center" vertical="top"/>
    </xf>
    <xf numFmtId="0" fontId="24" fillId="0" borderId="411" xfId="180" applyFont="1" applyFill="1" applyBorder="1" applyAlignment="1">
      <alignment horizontal="left" vertical="center"/>
    </xf>
    <xf numFmtId="0" fontId="24" fillId="0" borderId="253" xfId="180" applyFont="1" applyFill="1" applyBorder="1" applyAlignment="1">
      <alignment horizontal="left" vertical="center"/>
    </xf>
    <xf numFmtId="0" fontId="24" fillId="0" borderId="221" xfId="180" applyFont="1" applyFill="1" applyBorder="1" applyAlignment="1">
      <alignment horizontal="left" vertical="center"/>
    </xf>
    <xf numFmtId="0" fontId="24" fillId="0" borderId="222" xfId="180" applyFont="1" applyFill="1" applyBorder="1" applyAlignment="1">
      <alignment horizontal="left" vertical="center"/>
    </xf>
    <xf numFmtId="0" fontId="24" fillId="0" borderId="307" xfId="180" applyFont="1" applyFill="1" applyBorder="1" applyAlignment="1">
      <alignment horizontal="center" vertical="top"/>
    </xf>
    <xf numFmtId="0" fontId="24" fillId="0" borderId="220" xfId="180" applyFont="1" applyFill="1" applyBorder="1"/>
    <xf numFmtId="0" fontId="24" fillId="0" borderId="378" xfId="180" applyFont="1" applyFill="1" applyBorder="1" applyAlignment="1">
      <alignment horizontal="left" vertical="top"/>
    </xf>
    <xf numFmtId="0" fontId="19" fillId="6" borderId="1" xfId="180" applyFont="1" applyFill="1" applyBorder="1" applyAlignment="1">
      <alignment vertical="center"/>
    </xf>
    <xf numFmtId="0" fontId="19" fillId="6" borderId="2" xfId="180" applyFont="1" applyFill="1" applyBorder="1" applyAlignment="1">
      <alignment vertical="center"/>
    </xf>
    <xf numFmtId="0" fontId="19" fillId="0" borderId="1" xfId="180" applyFont="1" applyFill="1" applyBorder="1" applyAlignment="1">
      <alignment horizontal="left" vertical="center"/>
    </xf>
    <xf numFmtId="0" fontId="19" fillId="0" borderId="0" xfId="180" applyFont="1" applyFill="1" applyBorder="1" applyAlignment="1">
      <alignment horizontal="left" vertical="center"/>
    </xf>
    <xf numFmtId="0" fontId="24" fillId="0" borderId="409" xfId="180" applyFont="1" applyFill="1" applyBorder="1" applyAlignment="1">
      <alignment vertical="center" wrapText="1"/>
    </xf>
    <xf numFmtId="0" fontId="24" fillId="0" borderId="1" xfId="180" applyFont="1" applyFill="1" applyBorder="1" applyAlignment="1">
      <alignment horizontal="right" vertical="top" wrapText="1"/>
    </xf>
    <xf numFmtId="0" fontId="24" fillId="0" borderId="223" xfId="180" applyFont="1" applyFill="1" applyBorder="1" applyAlignment="1">
      <alignment vertical="center"/>
    </xf>
    <xf numFmtId="0" fontId="24" fillId="0" borderId="379" xfId="180" applyFont="1" applyFill="1" applyBorder="1" applyAlignment="1">
      <alignment horizontal="left" vertical="top"/>
    </xf>
    <xf numFmtId="0" fontId="139" fillId="0" borderId="2" xfId="180" applyFont="1" applyFill="1" applyBorder="1" applyAlignment="1">
      <alignment horizontal="center"/>
    </xf>
    <xf numFmtId="0" fontId="24" fillId="0" borderId="304" xfId="180" applyFont="1" applyFill="1" applyBorder="1" applyAlignment="1">
      <alignment horizontal="center" vertical="center"/>
    </xf>
    <xf numFmtId="0" fontId="24" fillId="0" borderId="303" xfId="180" applyFont="1" applyFill="1" applyBorder="1" applyAlignment="1">
      <alignment horizontal="center"/>
    </xf>
    <xf numFmtId="0" fontId="24" fillId="0" borderId="294" xfId="180" applyFont="1" applyFill="1" applyBorder="1" applyAlignment="1">
      <alignment vertical="center" wrapText="1"/>
    </xf>
    <xf numFmtId="0" fontId="49" fillId="0" borderId="157" xfId="180" applyFont="1" applyFill="1" applyBorder="1" applyAlignment="1">
      <alignment horizontal="right"/>
    </xf>
    <xf numFmtId="0" fontId="24" fillId="0" borderId="306" xfId="180" applyFont="1" applyFill="1" applyBorder="1" applyAlignment="1">
      <alignment vertical="top" wrapText="1"/>
    </xf>
    <xf numFmtId="0" fontId="24" fillId="0" borderId="307" xfId="180" applyFont="1" applyFill="1" applyBorder="1" applyAlignment="1">
      <alignment horizontal="center" vertical="top" wrapText="1"/>
    </xf>
    <xf numFmtId="0" fontId="24" fillId="0" borderId="307" xfId="180" quotePrefix="1" applyFont="1" applyFill="1" applyBorder="1" applyAlignment="1">
      <alignment horizontal="center" vertical="top" wrapText="1"/>
    </xf>
    <xf numFmtId="0" fontId="51" fillId="0" borderId="294" xfId="180" applyFont="1" applyFill="1" applyBorder="1" applyAlignment="1">
      <alignment vertical="center" wrapText="1"/>
    </xf>
    <xf numFmtId="165" fontId="24" fillId="0" borderId="363" xfId="180" applyNumberFormat="1" applyFont="1" applyFill="1" applyBorder="1" applyAlignment="1">
      <alignment horizontal="center" vertical="center" wrapText="1"/>
    </xf>
    <xf numFmtId="165" fontId="24" fillId="0" borderId="1" xfId="180" quotePrefix="1" applyNumberFormat="1" applyFont="1" applyFill="1" applyBorder="1" applyAlignment="1">
      <alignment horizontal="center" vertical="center" wrapText="1"/>
    </xf>
    <xf numFmtId="165" fontId="24" fillId="0" borderId="2" xfId="180" quotePrefix="1" applyNumberFormat="1" applyFont="1" applyFill="1" applyBorder="1" applyAlignment="1">
      <alignment horizontal="center" vertical="center" wrapText="1"/>
    </xf>
    <xf numFmtId="1" fontId="24" fillId="0" borderId="0" xfId="180" quotePrefix="1" applyNumberFormat="1" applyFont="1" applyFill="1" applyBorder="1" applyAlignment="1">
      <alignment horizontal="center" vertical="center" wrapText="1"/>
    </xf>
    <xf numFmtId="165" fontId="24" fillId="0" borderId="377" xfId="180" quotePrefix="1" applyNumberFormat="1" applyFont="1" applyFill="1" applyBorder="1" applyAlignment="1">
      <alignment horizontal="center" vertical="center" wrapText="1"/>
    </xf>
    <xf numFmtId="0" fontId="24" fillId="6" borderId="294" xfId="180" applyFont="1" applyFill="1" applyBorder="1" applyAlignment="1">
      <alignment vertical="center" wrapText="1"/>
    </xf>
    <xf numFmtId="165" fontId="24" fillId="0" borderId="1" xfId="180" applyNumberFormat="1" applyFont="1" applyFill="1" applyBorder="1" applyAlignment="1">
      <alignment horizontal="center" vertical="center"/>
    </xf>
    <xf numFmtId="165" fontId="24" fillId="0" borderId="2" xfId="180" applyNumberFormat="1" applyFont="1" applyFill="1" applyBorder="1" applyAlignment="1">
      <alignment horizontal="center" vertical="center"/>
    </xf>
    <xf numFmtId="165" fontId="24" fillId="0" borderId="377" xfId="180" applyNumberFormat="1" applyFont="1" applyFill="1" applyBorder="1" applyAlignment="1">
      <alignment horizontal="center" vertical="center"/>
    </xf>
    <xf numFmtId="165" fontId="24" fillId="0" borderId="0" xfId="180" applyNumberFormat="1" applyFont="1" applyFill="1" applyBorder="1" applyAlignment="1">
      <alignment horizontal="center" vertical="center"/>
    </xf>
    <xf numFmtId="0" fontId="24" fillId="0" borderId="398" xfId="180" applyFont="1" applyFill="1" applyBorder="1" applyAlignment="1">
      <alignment vertical="top" wrapText="1"/>
    </xf>
    <xf numFmtId="0" fontId="24" fillId="0" borderId="400" xfId="180" applyFont="1" applyFill="1" applyBorder="1" applyAlignment="1">
      <alignment horizontal="center" vertical="top" wrapText="1"/>
    </xf>
    <xf numFmtId="0" fontId="24" fillId="0" borderId="305" xfId="180" applyFont="1" applyFill="1" applyBorder="1" applyAlignment="1">
      <alignment vertical="center" wrapText="1"/>
    </xf>
    <xf numFmtId="165" fontId="24" fillId="0" borderId="308" xfId="180" applyNumberFormat="1" applyFont="1" applyFill="1" applyBorder="1" applyAlignment="1">
      <alignment horizontal="center" vertical="center" wrapText="1"/>
    </xf>
    <xf numFmtId="0" fontId="19" fillId="0" borderId="1" xfId="180" applyFont="1" applyFill="1" applyBorder="1" applyAlignment="1">
      <alignment horizontal="center" vertical="center" textRotation="90" wrapText="1"/>
    </xf>
    <xf numFmtId="0" fontId="19" fillId="0" borderId="0" xfId="180" applyFont="1" applyFill="1" applyBorder="1" applyAlignment="1">
      <alignment horizontal="center" vertical="center" textRotation="90" wrapText="1"/>
    </xf>
    <xf numFmtId="0" fontId="19" fillId="0" borderId="2" xfId="180" applyFont="1" applyFill="1" applyBorder="1" applyAlignment="1">
      <alignment horizontal="center" vertical="center" textRotation="90" wrapText="1"/>
    </xf>
    <xf numFmtId="0" fontId="19" fillId="0" borderId="5" xfId="180" applyFont="1" applyFill="1" applyBorder="1" applyAlignment="1">
      <alignment vertical="top" wrapText="1"/>
    </xf>
    <xf numFmtId="0" fontId="19" fillId="0" borderId="6" xfId="180" applyFont="1" applyFill="1" applyBorder="1" applyAlignment="1">
      <alignment vertical="top" wrapText="1"/>
    </xf>
    <xf numFmtId="0" fontId="19" fillId="0" borderId="7" xfId="180" applyFont="1" applyFill="1" applyBorder="1" applyAlignment="1">
      <alignment vertical="top" wrapText="1"/>
    </xf>
    <xf numFmtId="165" fontId="24" fillId="0" borderId="258" xfId="180" applyNumberFormat="1" applyFont="1" applyFill="1" applyBorder="1" applyAlignment="1">
      <alignment vertical="center" wrapText="1"/>
    </xf>
    <xf numFmtId="0" fontId="49" fillId="0" borderId="0" xfId="180" applyFont="1" applyFill="1" applyAlignment="1">
      <alignment vertical="center"/>
    </xf>
    <xf numFmtId="0" fontId="24" fillId="0" borderId="1" xfId="180" applyFont="1" applyFill="1" applyBorder="1" applyAlignment="1">
      <alignment horizontal="center" vertical="center" wrapText="1"/>
    </xf>
    <xf numFmtId="0" fontId="24" fillId="0" borderId="2" xfId="180" applyFont="1" applyFill="1" applyBorder="1" applyAlignment="1">
      <alignment horizontal="center" vertical="center" wrapText="1"/>
    </xf>
    <xf numFmtId="0" fontId="24" fillId="0" borderId="376" xfId="180" applyFont="1" applyFill="1" applyBorder="1" applyAlignment="1">
      <alignment horizontal="center" vertical="center" wrapText="1"/>
    </xf>
    <xf numFmtId="0" fontId="24" fillId="0" borderId="240" xfId="180" applyFont="1" applyFill="1" applyBorder="1" applyAlignment="1">
      <alignment horizontal="center" vertical="center" wrapText="1"/>
    </xf>
    <xf numFmtId="0" fontId="24" fillId="0" borderId="11" xfId="180" applyFont="1" applyFill="1" applyBorder="1" applyAlignment="1">
      <alignment horizontal="center" vertical="center" wrapText="1"/>
    </xf>
    <xf numFmtId="0" fontId="24" fillId="0" borderId="112" xfId="180" applyFont="1" applyFill="1" applyBorder="1" applyAlignment="1">
      <alignment horizontal="center" vertical="center" wrapText="1"/>
    </xf>
    <xf numFmtId="0" fontId="24" fillId="6" borderId="11" xfId="180" applyFont="1" applyFill="1" applyBorder="1" applyAlignment="1">
      <alignment horizontal="center" vertical="center"/>
    </xf>
    <xf numFmtId="0" fontId="24" fillId="6" borderId="12" xfId="180" applyFont="1" applyFill="1" applyBorder="1" applyAlignment="1">
      <alignment horizontal="center" vertical="center"/>
    </xf>
    <xf numFmtId="0" fontId="24" fillId="0" borderId="403" xfId="180" applyFont="1" applyFill="1" applyBorder="1" applyAlignment="1">
      <alignment horizontal="center" vertical="center"/>
    </xf>
    <xf numFmtId="0" fontId="24" fillId="0" borderId="1" xfId="180" applyFont="1" applyFill="1" applyBorder="1" applyAlignment="1">
      <alignment horizontal="center" vertical="center"/>
    </xf>
    <xf numFmtId="165" fontId="140" fillId="0" borderId="30" xfId="180" applyNumberFormat="1" applyFont="1" applyFill="1" applyBorder="1" applyAlignment="1">
      <alignment horizontal="center" vertical="center"/>
    </xf>
    <xf numFmtId="0" fontId="25" fillId="0" borderId="36" xfId="180" quotePrefix="1" applyFont="1" applyFill="1" applyBorder="1" applyAlignment="1">
      <alignment horizontal="center"/>
    </xf>
    <xf numFmtId="165" fontId="140" fillId="0" borderId="8" xfId="180" applyNumberFormat="1" applyFont="1" applyFill="1" applyBorder="1" applyAlignment="1">
      <alignment horizontal="center" vertical="center"/>
    </xf>
    <xf numFmtId="165" fontId="140" fillId="0" borderId="111" xfId="180" applyNumberFormat="1" applyFont="1" applyFill="1" applyBorder="1" applyAlignment="1">
      <alignment horizontal="center" vertical="center"/>
    </xf>
    <xf numFmtId="165" fontId="49" fillId="0" borderId="120" xfId="180" applyNumberFormat="1" applyFont="1" applyFill="1" applyBorder="1" applyAlignment="1">
      <alignment horizontal="center" vertical="center"/>
    </xf>
    <xf numFmtId="165" fontId="49" fillId="0" borderId="122" xfId="180" applyNumberFormat="1" applyFont="1" applyFill="1" applyBorder="1" applyAlignment="1">
      <alignment horizontal="center" vertical="center"/>
    </xf>
    <xf numFmtId="165" fontId="49" fillId="0" borderId="10" xfId="180" applyNumberFormat="1" applyFont="1" applyFill="1" applyBorder="1" applyAlignment="1">
      <alignment horizontal="center" vertical="center"/>
    </xf>
    <xf numFmtId="165" fontId="49" fillId="0" borderId="8" xfId="180" applyNumberFormat="1" applyFont="1" applyFill="1" applyBorder="1" applyAlignment="1">
      <alignment horizontal="center" vertical="center"/>
    </xf>
    <xf numFmtId="165" fontId="49" fillId="0" borderId="16" xfId="180" applyNumberFormat="1" applyFont="1" applyFill="1" applyBorder="1" applyAlignment="1">
      <alignment horizontal="center" vertical="center"/>
    </xf>
    <xf numFmtId="165" fontId="49" fillId="0" borderId="17" xfId="180" applyNumberFormat="1" applyFont="1" applyFill="1" applyBorder="1" applyAlignment="1">
      <alignment horizontal="center" vertical="center"/>
    </xf>
    <xf numFmtId="165" fontId="140" fillId="0" borderId="6" xfId="180" applyNumberFormat="1" applyFont="1" applyFill="1" applyBorder="1" applyAlignment="1">
      <alignment horizontal="center" vertical="center"/>
    </xf>
    <xf numFmtId="165" fontId="140" fillId="0" borderId="38" xfId="180" applyNumberFormat="1" applyFont="1" applyFill="1" applyBorder="1" applyAlignment="1">
      <alignment horizontal="center" vertical="center"/>
    </xf>
    <xf numFmtId="0" fontId="19" fillId="0" borderId="0" xfId="180" applyFont="1" applyAlignment="1">
      <alignment horizontal="center" vertical="center"/>
    </xf>
    <xf numFmtId="0" fontId="41" fillId="0" borderId="399" xfId="15" applyFont="1" applyFill="1" applyBorder="1" applyAlignment="1">
      <alignment horizontal="left" vertical="center" wrapText="1"/>
    </xf>
    <xf numFmtId="0" fontId="18" fillId="0" borderId="0" xfId="180" applyFont="1" applyFill="1" applyAlignment="1">
      <alignment horizontal="right" vertical="center"/>
    </xf>
    <xf numFmtId="0" fontId="24" fillId="0" borderId="19" xfId="180" applyFont="1" applyFill="1" applyBorder="1" applyAlignment="1">
      <alignment vertical="center"/>
    </xf>
    <xf numFmtId="0" fontId="40" fillId="0" borderId="20" xfId="180" applyFont="1" applyFill="1" applyBorder="1" applyAlignment="1">
      <alignment vertical="center" wrapText="1"/>
    </xf>
    <xf numFmtId="0" fontId="24" fillId="0" borderId="24" xfId="180" applyFont="1" applyFill="1" applyBorder="1" applyAlignment="1">
      <alignment vertical="center"/>
    </xf>
    <xf numFmtId="0" fontId="24" fillId="0" borderId="21" xfId="180" applyFont="1" applyFill="1" applyBorder="1" applyAlignment="1">
      <alignment vertical="center"/>
    </xf>
    <xf numFmtId="0" fontId="40" fillId="0" borderId="0" xfId="180" applyFont="1" applyFill="1" applyBorder="1" applyAlignment="1">
      <alignment vertical="center" wrapText="1"/>
    </xf>
    <xf numFmtId="0" fontId="24" fillId="0" borderId="23" xfId="180" applyFont="1" applyFill="1" applyBorder="1" applyAlignment="1">
      <alignment vertical="center"/>
    </xf>
    <xf numFmtId="0" fontId="24" fillId="0" borderId="110" xfId="180" applyFont="1" applyFill="1" applyBorder="1" applyAlignment="1">
      <alignment vertical="center"/>
    </xf>
    <xf numFmtId="0" fontId="24" fillId="0" borderId="403" xfId="180" applyFont="1" applyFill="1" applyBorder="1" applyAlignment="1">
      <alignment vertical="center"/>
    </xf>
    <xf numFmtId="0" fontId="24" fillId="0" borderId="341" xfId="180" applyFont="1" applyFill="1" applyBorder="1" applyAlignment="1">
      <alignment vertical="center"/>
    </xf>
    <xf numFmtId="0" fontId="24" fillId="0" borderId="260" xfId="180" applyFont="1" applyFill="1" applyBorder="1" applyAlignment="1">
      <alignment vertical="center"/>
    </xf>
    <xf numFmtId="0" fontId="24" fillId="0" borderId="328" xfId="180" applyFont="1" applyFill="1" applyBorder="1" applyAlignment="1">
      <alignment vertical="center"/>
    </xf>
    <xf numFmtId="165" fontId="41" fillId="0" borderId="328" xfId="180" applyNumberFormat="1" applyFont="1" applyFill="1" applyBorder="1" applyAlignment="1">
      <alignment horizontal="right" vertical="center"/>
    </xf>
    <xf numFmtId="165" fontId="24" fillId="0" borderId="254" xfId="180" applyNumberFormat="1" applyFont="1" applyFill="1" applyBorder="1" applyAlignment="1">
      <alignment vertical="center"/>
    </xf>
    <xf numFmtId="0" fontId="24" fillId="0" borderId="254" xfId="180" applyFont="1" applyFill="1" applyBorder="1" applyAlignment="1">
      <alignment vertical="center"/>
    </xf>
    <xf numFmtId="0" fontId="51" fillId="6" borderId="0" xfId="180" applyFont="1" applyFill="1" applyAlignment="1">
      <alignment horizontal="left" vertical="center"/>
    </xf>
    <xf numFmtId="0" fontId="51" fillId="6" borderId="260" xfId="180" applyFont="1" applyFill="1" applyBorder="1" applyAlignment="1">
      <alignment vertical="center"/>
    </xf>
    <xf numFmtId="165" fontId="111" fillId="6" borderId="260" xfId="180" applyNumberFormat="1" applyFont="1" applyFill="1" applyBorder="1" applyAlignment="1">
      <alignment horizontal="right" vertical="center"/>
    </xf>
    <xf numFmtId="165" fontId="41" fillId="0" borderId="260" xfId="180" quotePrefix="1" applyNumberFormat="1" applyFont="1" applyFill="1" applyBorder="1" applyAlignment="1">
      <alignment horizontal="left" vertical="center"/>
    </xf>
    <xf numFmtId="0" fontId="41" fillId="0" borderId="0" xfId="15" applyFont="1" applyBorder="1" applyAlignment="1">
      <alignment horizontal="left" vertical="center" wrapText="1"/>
    </xf>
    <xf numFmtId="165" fontId="24" fillId="0" borderId="0" xfId="180" applyNumberFormat="1" applyFont="1" applyFill="1" applyBorder="1" applyAlignment="1">
      <alignment horizontal="right" vertical="center"/>
    </xf>
    <xf numFmtId="0" fontId="25" fillId="0" borderId="0" xfId="180" applyFont="1" applyFill="1" applyBorder="1" applyAlignment="1">
      <alignment vertical="center" wrapText="1"/>
    </xf>
    <xf numFmtId="0" fontId="41" fillId="0" borderId="19" xfId="180" applyFont="1" applyFill="1" applyBorder="1" applyAlignment="1">
      <alignment vertical="center"/>
    </xf>
    <xf numFmtId="0" fontId="41" fillId="0" borderId="24" xfId="180" applyFont="1" applyFill="1" applyBorder="1" applyAlignment="1">
      <alignment vertical="center"/>
    </xf>
    <xf numFmtId="0" fontId="41" fillId="0" borderId="21" xfId="180" applyFont="1" applyFill="1" applyBorder="1" applyAlignment="1">
      <alignment vertical="center"/>
    </xf>
    <xf numFmtId="0" fontId="24" fillId="0" borderId="263" xfId="180" applyFont="1" applyFill="1" applyBorder="1" applyAlignment="1">
      <alignment horizontal="left" vertical="center"/>
    </xf>
    <xf numFmtId="0" fontId="59" fillId="0" borderId="0" xfId="180" applyFont="1" applyFill="1" applyBorder="1" applyAlignment="1">
      <alignment horizontal="left" vertical="center" wrapText="1"/>
    </xf>
    <xf numFmtId="0" fontId="41" fillId="0" borderId="260" xfId="15" applyFont="1" applyBorder="1" applyAlignment="1">
      <alignment horizontal="left" vertical="center" wrapText="1"/>
    </xf>
    <xf numFmtId="0" fontId="41" fillId="0" borderId="263" xfId="180" applyFont="1" applyFill="1" applyBorder="1" applyAlignment="1">
      <alignment horizontal="left" vertical="center"/>
    </xf>
    <xf numFmtId="0" fontId="41" fillId="0" borderId="110" xfId="180" applyFont="1" applyFill="1" applyBorder="1" applyAlignment="1">
      <alignment vertical="center"/>
    </xf>
    <xf numFmtId="0" fontId="40" fillId="0" borderId="68" xfId="180" applyFont="1" applyFill="1" applyBorder="1" applyAlignment="1">
      <alignment vertical="center" wrapText="1"/>
    </xf>
    <xf numFmtId="0" fontId="40" fillId="0" borderId="72" xfId="180" applyFont="1" applyFill="1" applyBorder="1" applyAlignment="1">
      <alignment vertical="center" wrapText="1"/>
    </xf>
    <xf numFmtId="0" fontId="24" fillId="0" borderId="0" xfId="180" quotePrefix="1" applyFont="1" applyFill="1" applyAlignment="1">
      <alignment vertical="center"/>
    </xf>
    <xf numFmtId="0" fontId="41" fillId="0" borderId="68" xfId="180" applyFont="1" applyFill="1" applyBorder="1" applyAlignment="1">
      <alignment horizontal="center" vertical="center"/>
    </xf>
    <xf numFmtId="0" fontId="41" fillId="0" borderId="72" xfId="180" applyFont="1" applyFill="1" applyBorder="1" applyAlignment="1">
      <alignment horizontal="center" vertical="center"/>
    </xf>
    <xf numFmtId="0" fontId="40" fillId="0" borderId="23" xfId="180" applyFont="1" applyFill="1" applyBorder="1" applyAlignment="1">
      <alignment vertical="center" wrapText="1"/>
    </xf>
    <xf numFmtId="0" fontId="41" fillId="0" borderId="0" xfId="180" applyFont="1" applyFill="1" applyAlignment="1">
      <alignment vertical="center"/>
    </xf>
    <xf numFmtId="0" fontId="133" fillId="6" borderId="0" xfId="180" applyFont="1" applyFill="1" applyBorder="1" applyAlignment="1">
      <alignment horizontal="left" vertical="center" wrapText="1"/>
    </xf>
    <xf numFmtId="0" fontId="67" fillId="0" borderId="0" xfId="15" applyFont="1" applyBorder="1" applyAlignment="1">
      <alignment vertical="center"/>
    </xf>
    <xf numFmtId="0" fontId="30" fillId="0" borderId="0" xfId="15" applyFont="1" applyFill="1" applyBorder="1" applyAlignment="1">
      <alignment vertical="center"/>
    </xf>
    <xf numFmtId="0" fontId="31" fillId="0" borderId="0" xfId="15" applyFont="1" applyBorder="1" applyAlignment="1">
      <alignment vertical="center"/>
    </xf>
    <xf numFmtId="167" fontId="49" fillId="0" borderId="0" xfId="180" applyNumberFormat="1" applyFont="1" applyFill="1" applyAlignment="1">
      <alignment horizontal="left" vertical="center"/>
    </xf>
    <xf numFmtId="166" fontId="49" fillId="39" borderId="0" xfId="180" applyNumberFormat="1" applyFont="1" applyFill="1" applyAlignment="1">
      <alignment horizontal="center" vertical="center"/>
    </xf>
    <xf numFmtId="166" fontId="19" fillId="0" borderId="0" xfId="180" applyNumberFormat="1" applyFont="1" applyFill="1" applyAlignment="1">
      <alignment horizontal="left" vertical="center"/>
    </xf>
    <xf numFmtId="167" fontId="19" fillId="0" borderId="0" xfId="180" applyNumberFormat="1" applyFont="1" applyFill="1" applyAlignment="1">
      <alignment horizontal="left" vertical="center"/>
    </xf>
    <xf numFmtId="166" fontId="49" fillId="0" borderId="0" xfId="180" applyNumberFormat="1" applyFont="1" applyFill="1" applyAlignment="1">
      <alignment horizontal="center" vertical="center"/>
    </xf>
    <xf numFmtId="0" fontId="18" fillId="0" borderId="0" xfId="180" applyFont="1" applyFill="1" applyAlignment="1">
      <alignment horizontal="left" vertical="center"/>
    </xf>
    <xf numFmtId="0" fontId="24" fillId="0" borderId="0" xfId="180" applyFont="1" applyFill="1" applyAlignment="1">
      <alignment horizontal="left" vertical="center"/>
    </xf>
    <xf numFmtId="0" fontId="24" fillId="0" borderId="403" xfId="180" applyFont="1" applyFill="1" applyBorder="1" applyAlignment="1">
      <alignment horizontal="left" vertical="center"/>
    </xf>
    <xf numFmtId="0" fontId="25" fillId="0" borderId="0" xfId="180" applyFont="1" applyFill="1" applyAlignment="1">
      <alignment horizontal="left" vertical="center"/>
    </xf>
    <xf numFmtId="0" fontId="40" fillId="0" borderId="0" xfId="180" applyFont="1" applyFill="1" applyBorder="1" applyAlignment="1">
      <alignment horizontal="left" vertical="center"/>
    </xf>
    <xf numFmtId="0" fontId="40" fillId="0" borderId="20" xfId="180" applyFont="1" applyFill="1" applyBorder="1" applyAlignment="1">
      <alignment horizontal="left" vertical="center"/>
    </xf>
    <xf numFmtId="0" fontId="41" fillId="0" borderId="0" xfId="15" applyFont="1" applyFill="1" applyBorder="1" applyAlignment="1">
      <alignment horizontal="center" vertical="center" wrapText="1"/>
    </xf>
    <xf numFmtId="0" fontId="40" fillId="0" borderId="21" xfId="180" applyFont="1" applyFill="1" applyBorder="1" applyAlignment="1">
      <alignment horizontal="left" vertical="center"/>
    </xf>
    <xf numFmtId="0" fontId="40" fillId="0" borderId="23" xfId="180" applyFont="1" applyFill="1" applyBorder="1" applyAlignment="1">
      <alignment horizontal="left" vertical="center"/>
    </xf>
    <xf numFmtId="0" fontId="24" fillId="0" borderId="23" xfId="180" applyFont="1" applyFill="1" applyBorder="1" applyAlignment="1">
      <alignment horizontal="center" vertical="center"/>
    </xf>
    <xf numFmtId="165" fontId="30" fillId="6" borderId="331" xfId="180" quotePrefix="1" applyNumberFormat="1" applyFont="1" applyFill="1" applyBorder="1" applyAlignment="1">
      <alignment horizontal="left" vertical="center"/>
    </xf>
    <xf numFmtId="0" fontId="24" fillId="0" borderId="20" xfId="180" applyFont="1" applyFill="1" applyBorder="1" applyAlignment="1">
      <alignment horizontal="left" vertical="center"/>
    </xf>
    <xf numFmtId="0" fontId="41" fillId="0" borderId="21" xfId="15" applyFont="1" applyFill="1" applyBorder="1" applyAlignment="1">
      <alignment horizontal="left" vertical="center" wrapText="1"/>
    </xf>
    <xf numFmtId="0" fontId="40" fillId="0" borderId="23" xfId="180" applyFont="1" applyFill="1" applyBorder="1" applyAlignment="1">
      <alignment horizontal="left" vertical="center" wrapText="1"/>
    </xf>
    <xf numFmtId="0" fontId="41" fillId="0" borderId="21" xfId="15" applyFont="1" applyFill="1" applyBorder="1" applyAlignment="1">
      <alignment horizontal="center" vertical="center" wrapText="1"/>
    </xf>
    <xf numFmtId="0" fontId="32" fillId="0" borderId="19" xfId="180" applyFont="1" applyFill="1" applyBorder="1" applyAlignment="1">
      <alignment horizontal="left" vertical="center"/>
    </xf>
    <xf numFmtId="0" fontId="40" fillId="0" borderId="24" xfId="180" applyFont="1" applyFill="1" applyBorder="1" applyAlignment="1">
      <alignment horizontal="left" vertical="center"/>
    </xf>
    <xf numFmtId="0" fontId="41" fillId="0" borderId="412" xfId="15" applyFont="1" applyFill="1" applyBorder="1" applyAlignment="1">
      <alignment horizontal="left" vertical="center"/>
    </xf>
    <xf numFmtId="0" fontId="41" fillId="0" borderId="399" xfId="15" applyFont="1" applyFill="1" applyBorder="1" applyAlignment="1">
      <alignment horizontal="left" vertical="center"/>
    </xf>
    <xf numFmtId="165" fontId="30" fillId="0" borderId="399" xfId="180" quotePrefix="1" applyNumberFormat="1" applyFont="1" applyFill="1" applyBorder="1" applyAlignment="1">
      <alignment horizontal="left" vertical="center"/>
    </xf>
    <xf numFmtId="0" fontId="32" fillId="0" borderId="23" xfId="180" applyFont="1" applyFill="1" applyBorder="1" applyAlignment="1">
      <alignment horizontal="left" vertical="center" wrapText="1"/>
    </xf>
    <xf numFmtId="165" fontId="30" fillId="0" borderId="331" xfId="180" quotePrefix="1" applyNumberFormat="1" applyFont="1" applyFill="1" applyBorder="1" applyAlignment="1">
      <alignment horizontal="left" vertical="center"/>
    </xf>
    <xf numFmtId="0" fontId="30" fillId="0" borderId="23" xfId="180" applyFont="1" applyFill="1" applyBorder="1" applyAlignment="1">
      <alignment horizontal="center" vertical="center"/>
    </xf>
    <xf numFmtId="0" fontId="41" fillId="0" borderId="412" xfId="15" applyFont="1" applyFill="1" applyBorder="1" applyAlignment="1">
      <alignment horizontal="left" vertical="center" wrapText="1"/>
    </xf>
    <xf numFmtId="0" fontId="41" fillId="0" borderId="399" xfId="180" applyFont="1" applyFill="1" applyBorder="1" applyAlignment="1">
      <alignment vertical="center"/>
    </xf>
    <xf numFmtId="165" fontId="41" fillId="0" borderId="399" xfId="180" applyNumberFormat="1" applyFont="1" applyFill="1" applyBorder="1" applyAlignment="1">
      <alignment horizontal="right" vertical="center"/>
    </xf>
    <xf numFmtId="165" fontId="30" fillId="6" borderId="399" xfId="180" quotePrefix="1" applyNumberFormat="1" applyFont="1" applyFill="1" applyBorder="1" applyAlignment="1">
      <alignment horizontal="left" vertical="center"/>
    </xf>
    <xf numFmtId="0" fontId="41" fillId="0" borderId="412" xfId="15" applyFont="1" applyFill="1" applyBorder="1" applyAlignment="1">
      <alignment vertical="center"/>
    </xf>
    <xf numFmtId="0" fontId="41" fillId="0" borderId="399" xfId="15" applyFont="1" applyFill="1" applyBorder="1" applyAlignment="1">
      <alignment vertical="center"/>
    </xf>
    <xf numFmtId="0" fontId="30" fillId="0" borderId="23" xfId="180" applyFont="1" applyFill="1" applyBorder="1" applyAlignment="1">
      <alignment vertical="center"/>
    </xf>
    <xf numFmtId="0" fontId="41" fillId="0" borderId="359" xfId="15" applyFont="1" applyFill="1" applyBorder="1" applyAlignment="1">
      <alignment horizontal="left" vertical="center" wrapText="1"/>
    </xf>
    <xf numFmtId="0" fontId="41" fillId="0" borderId="405" xfId="180" applyFont="1" applyFill="1" applyBorder="1" applyAlignment="1">
      <alignment vertical="center"/>
    </xf>
    <xf numFmtId="165" fontId="41" fillId="0" borderId="405" xfId="180" applyNumberFormat="1" applyFont="1" applyFill="1" applyBorder="1" applyAlignment="1">
      <alignment horizontal="right" vertical="center"/>
    </xf>
    <xf numFmtId="165" fontId="41" fillId="0" borderId="405" xfId="180" quotePrefix="1" applyNumberFormat="1" applyFont="1" applyFill="1" applyBorder="1" applyAlignment="1">
      <alignment horizontal="left" vertical="center"/>
    </xf>
    <xf numFmtId="0" fontId="30" fillId="0" borderId="341" xfId="180" applyFont="1" applyFill="1" applyBorder="1" applyAlignment="1">
      <alignment vertical="center"/>
    </xf>
    <xf numFmtId="166" fontId="67" fillId="39" borderId="19" xfId="180" applyNumberFormat="1" applyFont="1" applyFill="1" applyBorder="1" applyAlignment="1">
      <alignment horizontal="center" vertical="center"/>
    </xf>
    <xf numFmtId="166" fontId="49" fillId="0" borderId="21" xfId="180" applyNumberFormat="1" applyFont="1" applyFill="1" applyBorder="1" applyAlignment="1">
      <alignment horizontal="center" vertical="center"/>
    </xf>
    <xf numFmtId="0" fontId="41" fillId="0" borderId="399" xfId="180" applyFont="1" applyFill="1" applyBorder="1" applyAlignment="1">
      <alignment vertical="center" wrapText="1"/>
    </xf>
    <xf numFmtId="0" fontId="41" fillId="0" borderId="399" xfId="15" applyFont="1" applyFill="1" applyBorder="1" applyAlignment="1">
      <alignment vertical="center" wrapText="1"/>
    </xf>
    <xf numFmtId="165" fontId="41" fillId="0" borderId="399" xfId="180" applyNumberFormat="1" applyFont="1" applyFill="1" applyBorder="1" applyAlignment="1">
      <alignment horizontal="left" vertical="center"/>
    </xf>
    <xf numFmtId="0" fontId="111" fillId="6" borderId="399" xfId="180" applyFont="1" applyFill="1" applyBorder="1" applyAlignment="1">
      <alignment vertical="center" wrapText="1"/>
    </xf>
    <xf numFmtId="0" fontId="41" fillId="0" borderId="399" xfId="180" applyFont="1" applyFill="1" applyBorder="1" applyAlignment="1">
      <alignment horizontal="left" vertical="center" wrapText="1"/>
    </xf>
    <xf numFmtId="0" fontId="41" fillId="6" borderId="399" xfId="180" applyFont="1" applyFill="1" applyBorder="1" applyAlignment="1">
      <alignment vertical="center" wrapText="1"/>
    </xf>
    <xf numFmtId="0" fontId="41" fillId="0" borderId="399" xfId="180" applyFont="1" applyFill="1" applyBorder="1" applyAlignment="1">
      <alignment horizontal="left" vertical="center"/>
    </xf>
    <xf numFmtId="166" fontId="49" fillId="0" borderId="22" xfId="180" applyNumberFormat="1" applyFont="1" applyFill="1" applyBorder="1" applyAlignment="1">
      <alignment horizontal="center" vertical="center"/>
    </xf>
    <xf numFmtId="0" fontId="41" fillId="0" borderId="403" xfId="15" applyFont="1" applyFill="1" applyBorder="1" applyAlignment="1">
      <alignment vertical="center" wrapText="1"/>
    </xf>
    <xf numFmtId="0" fontId="41" fillId="0" borderId="405" xfId="180" applyFont="1" applyFill="1" applyBorder="1" applyAlignment="1">
      <alignment horizontal="left" vertical="center"/>
    </xf>
    <xf numFmtId="0" fontId="41" fillId="0" borderId="341" xfId="180" applyFont="1" applyFill="1" applyBorder="1" applyAlignment="1">
      <alignment vertical="center"/>
    </xf>
    <xf numFmtId="0" fontId="41" fillId="0" borderId="399" xfId="180" applyFont="1" applyFill="1" applyBorder="1" applyAlignment="1">
      <alignment horizontal="right" vertical="center"/>
    </xf>
    <xf numFmtId="0" fontId="41" fillId="0" borderId="403" xfId="180" applyFont="1" applyFill="1" applyBorder="1" applyAlignment="1">
      <alignment vertical="center"/>
    </xf>
    <xf numFmtId="0" fontId="41" fillId="0" borderId="403" xfId="180" applyFont="1" applyFill="1" applyBorder="1" applyAlignment="1">
      <alignment horizontal="right" vertical="center"/>
    </xf>
    <xf numFmtId="0" fontId="41" fillId="0" borderId="403" xfId="180" applyFont="1" applyFill="1" applyBorder="1" applyAlignment="1">
      <alignment horizontal="left" vertical="center"/>
    </xf>
    <xf numFmtId="0" fontId="40" fillId="0" borderId="24" xfId="180" applyFont="1" applyFill="1" applyBorder="1" applyAlignment="1">
      <alignment horizontal="left" vertical="center" wrapText="1"/>
    </xf>
    <xf numFmtId="0" fontId="41" fillId="0" borderId="403" xfId="15" applyFont="1" applyFill="1" applyBorder="1" applyAlignment="1">
      <alignment horizontal="left" vertical="center" wrapText="1"/>
    </xf>
    <xf numFmtId="0" fontId="133" fillId="6" borderId="0" xfId="180" applyFont="1" applyFill="1" applyBorder="1" applyAlignment="1">
      <alignment horizontal="left" vertical="center"/>
    </xf>
    <xf numFmtId="0" fontId="133" fillId="6" borderId="20" xfId="180" applyFont="1" applyFill="1" applyBorder="1" applyAlignment="1">
      <alignment horizontal="left" vertical="center"/>
    </xf>
    <xf numFmtId="0" fontId="41" fillId="0" borderId="399" xfId="180" applyFont="1" applyBorder="1" applyAlignment="1">
      <alignment vertical="center" wrapText="1"/>
    </xf>
    <xf numFmtId="0" fontId="41" fillId="0" borderId="399" xfId="180" applyFont="1" applyBorder="1" applyAlignment="1">
      <alignment vertical="center"/>
    </xf>
    <xf numFmtId="0" fontId="133" fillId="6" borderId="24" xfId="180" applyFont="1" applyFill="1" applyBorder="1" applyAlignment="1">
      <alignment horizontal="left" vertical="center"/>
    </xf>
    <xf numFmtId="0" fontId="133" fillId="6" borderId="23" xfId="180" applyFont="1" applyFill="1" applyBorder="1" applyAlignment="1">
      <alignment horizontal="left" vertical="center"/>
    </xf>
    <xf numFmtId="0" fontId="133" fillId="6" borderId="23" xfId="180" applyFont="1" applyFill="1" applyBorder="1" applyAlignment="1">
      <alignment horizontal="left" vertical="center" wrapText="1"/>
    </xf>
    <xf numFmtId="165" fontId="41" fillId="0" borderId="0" xfId="180" applyNumberFormat="1" applyFont="1" applyFill="1" applyBorder="1" applyAlignment="1">
      <alignment horizontal="right" vertical="center" wrapText="1"/>
    </xf>
    <xf numFmtId="0" fontId="41" fillId="0" borderId="84" xfId="180" applyFont="1" applyFill="1" applyBorder="1" applyAlignment="1">
      <alignment vertical="center"/>
    </xf>
    <xf numFmtId="0" fontId="117" fillId="6" borderId="0" xfId="180" applyFont="1" applyFill="1" applyBorder="1" applyAlignment="1">
      <alignment horizontal="left" vertical="center"/>
    </xf>
    <xf numFmtId="0" fontId="117" fillId="6" borderId="20" xfId="180" applyFont="1" applyFill="1" applyBorder="1" applyAlignment="1">
      <alignment horizontal="left" vertical="center"/>
    </xf>
    <xf numFmtId="166" fontId="67" fillId="39" borderId="0" xfId="180" applyNumberFormat="1" applyFont="1" applyFill="1" applyAlignment="1">
      <alignment horizontal="left" vertical="center"/>
    </xf>
    <xf numFmtId="166" fontId="25" fillId="0" borderId="0" xfId="180" applyNumberFormat="1" applyFont="1" applyFill="1" applyAlignment="1">
      <alignment horizontal="left" vertical="center"/>
    </xf>
    <xf numFmtId="167" fontId="25" fillId="0" borderId="0" xfId="180" applyNumberFormat="1" applyFont="1" applyFill="1" applyBorder="1" applyAlignment="1">
      <alignment horizontal="left" vertical="center"/>
    </xf>
    <xf numFmtId="0" fontId="41" fillId="0" borderId="156" xfId="180" applyFont="1" applyFill="1" applyBorder="1" applyAlignment="1">
      <alignment horizontal="left" wrapText="1"/>
    </xf>
    <xf numFmtId="0" fontId="37" fillId="0" borderId="0" xfId="180" applyFont="1" applyFill="1" applyBorder="1" applyAlignment="1">
      <alignment vertical="top"/>
    </xf>
    <xf numFmtId="0" fontId="69" fillId="0" borderId="0" xfId="180" applyFont="1" applyAlignment="1">
      <alignment vertical="top"/>
    </xf>
    <xf numFmtId="0" fontId="141" fillId="0" borderId="0" xfId="180" applyFont="1" applyFill="1" applyBorder="1" applyAlignment="1">
      <alignment textRotation="90"/>
    </xf>
    <xf numFmtId="165" fontId="142" fillId="5" borderId="31" xfId="180" applyNumberFormat="1" applyFont="1" applyFill="1" applyBorder="1" applyAlignment="1">
      <alignment horizontal="center" vertical="center"/>
    </xf>
    <xf numFmtId="165" fontId="142" fillId="5" borderId="42" xfId="180" applyNumberFormat="1" applyFont="1" applyFill="1" applyBorder="1" applyAlignment="1">
      <alignment horizontal="center" vertical="center"/>
    </xf>
    <xf numFmtId="165" fontId="141" fillId="0" borderId="42" xfId="180" applyNumberFormat="1" applyFont="1" applyFill="1" applyBorder="1" applyAlignment="1">
      <alignment horizontal="center" vertical="center"/>
    </xf>
    <xf numFmtId="165" fontId="142" fillId="5" borderId="43" xfId="180" applyNumberFormat="1" applyFont="1" applyFill="1" applyBorder="1" applyAlignment="1">
      <alignment horizontal="center" vertical="center"/>
    </xf>
    <xf numFmtId="0" fontId="37" fillId="0" borderId="0" xfId="180" applyFont="1"/>
    <xf numFmtId="0" fontId="19" fillId="6" borderId="0" xfId="3" applyFont="1" applyFill="1" applyBorder="1" applyAlignment="1">
      <alignment horizontal="right"/>
    </xf>
    <xf numFmtId="0" fontId="24" fillId="6" borderId="0" xfId="2" applyFont="1" applyFill="1" applyBorder="1" applyAlignment="1">
      <alignment horizontal="right" vertical="top" wrapText="1"/>
    </xf>
    <xf numFmtId="165" fontId="24" fillId="0" borderId="40" xfId="2" quotePrefix="1" applyNumberFormat="1" applyFont="1" applyFill="1" applyBorder="1" applyAlignment="1">
      <alignment horizontal="center" vertical="center" wrapText="1"/>
    </xf>
    <xf numFmtId="0" fontId="24" fillId="0" borderId="5" xfId="2" applyFont="1" applyFill="1" applyBorder="1" applyAlignment="1"/>
    <xf numFmtId="0" fontId="24" fillId="0" borderId="7" xfId="2" applyFont="1" applyFill="1" applyBorder="1" applyAlignment="1"/>
    <xf numFmtId="0" fontId="41" fillId="19" borderId="0" xfId="2" applyFont="1" applyFill="1" applyBorder="1" applyAlignment="1"/>
    <xf numFmtId="0" fontId="24" fillId="19" borderId="0" xfId="2" applyFont="1" applyFill="1" applyBorder="1" applyAlignment="1"/>
    <xf numFmtId="165" fontId="41" fillId="0" borderId="27" xfId="2" quotePrefix="1" applyNumberFormat="1" applyFont="1" applyFill="1" applyBorder="1" applyAlignment="1">
      <alignment horizontal="center" vertical="center" wrapText="1"/>
    </xf>
    <xf numFmtId="0" fontId="24" fillId="6" borderId="12" xfId="2" applyFont="1" applyFill="1" applyBorder="1" applyAlignment="1">
      <alignment horizontal="left" vertical="center"/>
    </xf>
    <xf numFmtId="0" fontId="99" fillId="0" borderId="0" xfId="177" applyFont="1"/>
    <xf numFmtId="0" fontId="31" fillId="0" borderId="0" xfId="177" applyFont="1"/>
    <xf numFmtId="0" fontId="40" fillId="0" borderId="0" xfId="15" applyFont="1" applyAlignment="1">
      <alignment vertical="top" wrapText="1"/>
    </xf>
    <xf numFmtId="0" fontId="19" fillId="0" borderId="23" xfId="3" applyFont="1" applyFill="1" applyBorder="1" applyAlignment="1">
      <alignment horizontal="center"/>
    </xf>
    <xf numFmtId="165" fontId="24" fillId="0" borderId="66" xfId="2" quotePrefix="1" applyNumberFormat="1" applyFont="1" applyBorder="1" applyAlignment="1">
      <alignment horizontal="center" vertical="top"/>
    </xf>
    <xf numFmtId="0" fontId="24" fillId="0" borderId="10" xfId="91" applyFont="1" applyBorder="1" applyAlignment="1">
      <alignment vertical="top"/>
    </xf>
    <xf numFmtId="0" fontId="24" fillId="0" borderId="8" xfId="91" applyFont="1" applyBorder="1" applyAlignment="1">
      <alignment vertical="top"/>
    </xf>
    <xf numFmtId="0" fontId="24" fillId="0" borderId="9" xfId="91" applyFont="1" applyBorder="1" applyAlignment="1">
      <alignment vertical="top"/>
    </xf>
    <xf numFmtId="0" fontId="24" fillId="0" borderId="37" xfId="91" applyFont="1" applyBorder="1" applyAlignment="1">
      <alignment vertical="top"/>
    </xf>
    <xf numFmtId="0" fontId="24" fillId="0" borderId="0" xfId="91" applyFont="1" applyAlignment="1">
      <alignment vertical="top"/>
    </xf>
    <xf numFmtId="165" fontId="24" fillId="0" borderId="54" xfId="2" quotePrefix="1" applyNumberFormat="1" applyFont="1" applyBorder="1" applyAlignment="1">
      <alignment horizontal="center" vertical="top"/>
    </xf>
    <xf numFmtId="0" fontId="24" fillId="0" borderId="5" xfId="91" applyFont="1" applyBorder="1" applyAlignment="1">
      <alignment vertical="top"/>
    </xf>
    <xf numFmtId="0" fontId="24" fillId="0" borderId="6" xfId="91" applyFont="1" applyBorder="1" applyAlignment="1">
      <alignment vertical="top"/>
    </xf>
    <xf numFmtId="0" fontId="24" fillId="0" borderId="7" xfId="91" applyFont="1" applyBorder="1" applyAlignment="1">
      <alignment vertical="top"/>
    </xf>
    <xf numFmtId="0" fontId="24" fillId="0" borderId="25" xfId="91" applyFont="1" applyBorder="1" applyAlignment="1">
      <alignment vertical="top"/>
    </xf>
    <xf numFmtId="0" fontId="41" fillId="0" borderId="9" xfId="91" applyFont="1" applyFill="1" applyBorder="1" applyAlignment="1">
      <alignment vertical="top"/>
    </xf>
    <xf numFmtId="0" fontId="44" fillId="0" borderId="0" xfId="91" applyFont="1" applyAlignment="1">
      <alignment vertical="top"/>
    </xf>
    <xf numFmtId="0" fontId="41" fillId="0" borderId="8" xfId="2" applyFont="1" applyBorder="1" applyAlignment="1">
      <alignment horizontal="left" vertical="top" wrapText="1"/>
    </xf>
    <xf numFmtId="0" fontId="41" fillId="0" borderId="9" xfId="2" applyFont="1" applyBorder="1" applyAlignment="1">
      <alignment horizontal="left" vertical="top" wrapText="1"/>
    </xf>
    <xf numFmtId="0" fontId="41" fillId="0" borderId="10" xfId="2" applyFont="1" applyBorder="1" applyAlignment="1">
      <alignment horizontal="left" vertical="top" wrapText="1"/>
    </xf>
    <xf numFmtId="0" fontId="41" fillId="0" borderId="8" xfId="91" applyFont="1" applyBorder="1" applyAlignment="1">
      <alignment vertical="top"/>
    </xf>
    <xf numFmtId="0" fontId="41" fillId="0" borderId="9" xfId="91" applyFont="1" applyBorder="1" applyAlignment="1">
      <alignment vertical="top"/>
    </xf>
    <xf numFmtId="0" fontId="41" fillId="0" borderId="8" xfId="91" applyFont="1" applyFill="1" applyBorder="1" applyAlignment="1">
      <alignment vertical="top"/>
    </xf>
    <xf numFmtId="0" fontId="17" fillId="0" borderId="0" xfId="91" applyFont="1" applyAlignment="1">
      <alignment vertical="top"/>
    </xf>
    <xf numFmtId="0" fontId="24" fillId="0" borderId="40" xfId="91" applyFont="1" applyBorder="1" applyAlignment="1">
      <alignment horizontal="left" vertical="top"/>
    </xf>
    <xf numFmtId="0" fontId="24" fillId="0" borderId="38" xfId="91" applyFont="1" applyBorder="1" applyAlignment="1">
      <alignment horizontal="left" vertical="top"/>
    </xf>
    <xf numFmtId="0" fontId="24" fillId="0" borderId="41" xfId="91" applyFont="1" applyBorder="1" applyAlignment="1">
      <alignment horizontal="left" vertical="top"/>
    </xf>
    <xf numFmtId="0" fontId="17" fillId="0" borderId="0" xfId="91" applyFont="1" applyAlignment="1">
      <alignment horizontal="left" vertical="top"/>
    </xf>
    <xf numFmtId="0" fontId="40" fillId="0" borderId="0" xfId="180" applyFont="1" applyFill="1" applyBorder="1" applyAlignment="1">
      <alignment horizontal="left" vertical="center" wrapText="1"/>
    </xf>
    <xf numFmtId="0" fontId="24" fillId="0" borderId="14" xfId="4" applyFont="1" applyFill="1" applyBorder="1" applyAlignment="1">
      <alignment horizontal="center" vertical="center" wrapText="1"/>
    </xf>
    <xf numFmtId="0" fontId="40" fillId="0" borderId="24" xfId="180" applyFont="1" applyFill="1" applyBorder="1" applyAlignment="1" applyProtection="1">
      <alignment horizontal="left" vertical="center" wrapText="1"/>
      <protection locked="0"/>
    </xf>
    <xf numFmtId="166" fontId="49" fillId="0" borderId="0" xfId="180" applyNumberFormat="1" applyFont="1" applyFill="1" applyBorder="1" applyAlignment="1">
      <alignment horizontal="center" vertical="center"/>
    </xf>
    <xf numFmtId="166" fontId="67" fillId="39" borderId="20" xfId="180" applyNumberFormat="1" applyFont="1" applyFill="1" applyBorder="1" applyAlignment="1">
      <alignment horizontal="center" vertical="center"/>
    </xf>
    <xf numFmtId="0" fontId="40" fillId="0" borderId="20" xfId="180" applyFont="1" applyFill="1" applyBorder="1" applyAlignment="1" applyProtection="1">
      <alignment horizontal="left" vertical="center" wrapText="1"/>
      <protection locked="0"/>
    </xf>
    <xf numFmtId="0" fontId="40" fillId="0" borderId="341" xfId="180" applyFont="1" applyFill="1" applyBorder="1" applyAlignment="1">
      <alignment vertical="center" wrapText="1"/>
    </xf>
    <xf numFmtId="0" fontId="40" fillId="0" borderId="24" xfId="180" applyFont="1" applyFill="1" applyBorder="1" applyAlignment="1">
      <alignment vertical="center" wrapText="1"/>
    </xf>
    <xf numFmtId="0" fontId="24" fillId="0" borderId="2" xfId="4" applyFont="1" applyFill="1" applyBorder="1" applyAlignment="1">
      <alignment horizontal="center" vertical="center" wrapText="1"/>
    </xf>
    <xf numFmtId="0" fontId="24" fillId="0" borderId="146" xfId="78" applyNumberFormat="1" applyFont="1" applyFill="1" applyBorder="1" applyAlignment="1">
      <alignment horizontal="center" vertical="center"/>
    </xf>
    <xf numFmtId="0" fontId="24" fillId="19" borderId="0" xfId="78" applyFont="1" applyFill="1" applyAlignment="1">
      <alignment vertical="center" readingOrder="2"/>
    </xf>
    <xf numFmtId="0" fontId="32" fillId="6" borderId="239" xfId="15" applyFont="1" applyFill="1" applyBorder="1" applyAlignment="1">
      <alignment horizontal="left" vertical="center" wrapText="1"/>
    </xf>
    <xf numFmtId="0" fontId="32" fillId="6" borderId="178" xfId="15" applyFont="1" applyFill="1" applyBorder="1" applyAlignment="1">
      <alignment horizontal="left" vertical="center" wrapText="1"/>
    </xf>
    <xf numFmtId="0" fontId="24" fillId="0" borderId="84" xfId="78" applyNumberFormat="1" applyFont="1" applyFill="1" applyBorder="1" applyAlignment="1">
      <alignment horizontal="center" vertical="center"/>
    </xf>
    <xf numFmtId="0" fontId="32" fillId="6" borderId="43" xfId="15" applyFont="1" applyFill="1" applyBorder="1" applyAlignment="1">
      <alignment horizontal="left" vertical="center" wrapText="1"/>
    </xf>
    <xf numFmtId="0" fontId="24" fillId="0" borderId="103" xfId="4" applyFont="1" applyFill="1" applyBorder="1" applyAlignment="1">
      <alignment horizontal="center" vertical="center" wrapText="1"/>
    </xf>
    <xf numFmtId="167" fontId="24" fillId="0" borderId="23" xfId="180" applyNumberFormat="1" applyFont="1" applyFill="1" applyBorder="1" applyAlignment="1">
      <alignment horizontal="left" vertical="center"/>
    </xf>
    <xf numFmtId="0" fontId="24" fillId="0" borderId="341" xfId="180" applyFont="1" applyFill="1" applyBorder="1" applyAlignment="1">
      <alignment vertical="center" wrapText="1"/>
    </xf>
    <xf numFmtId="0" fontId="24" fillId="0" borderId="22" xfId="180" applyFont="1" applyFill="1" applyBorder="1" applyAlignment="1">
      <alignment vertical="center" wrapText="1"/>
    </xf>
    <xf numFmtId="0" fontId="67" fillId="13" borderId="242" xfId="2" applyFont="1" applyFill="1" applyBorder="1" applyAlignment="1">
      <alignment horizontal="center" vertical="center"/>
    </xf>
    <xf numFmtId="0" fontId="40" fillId="0" borderId="242" xfId="2" applyFont="1" applyFill="1" applyBorder="1" applyAlignment="1">
      <alignment horizontal="left" vertical="top" wrapText="1"/>
    </xf>
    <xf numFmtId="0" fontId="40" fillId="0" borderId="0" xfId="2" applyFont="1" applyFill="1" applyBorder="1" applyAlignment="1">
      <alignment horizontal="left" vertical="top" wrapText="1"/>
    </xf>
    <xf numFmtId="0" fontId="24" fillId="0" borderId="0" xfId="2" applyFont="1" applyFill="1" applyBorder="1" applyAlignment="1">
      <alignment horizontal="left" vertical="top" wrapText="1"/>
    </xf>
    <xf numFmtId="0" fontId="24" fillId="0" borderId="14" xfId="2" applyFont="1" applyFill="1" applyBorder="1" applyAlignment="1">
      <alignment horizontal="center" vertical="center"/>
    </xf>
    <xf numFmtId="0" fontId="41" fillId="0" borderId="69" xfId="180" applyFont="1" applyFill="1" applyBorder="1" applyAlignment="1">
      <alignment vertical="center"/>
    </xf>
    <xf numFmtId="0" fontId="41" fillId="0" borderId="2" xfId="0" applyFont="1" applyFill="1" applyBorder="1" applyAlignment="1">
      <alignment horizontal="center" vertical="top"/>
    </xf>
    <xf numFmtId="0" fontId="41" fillId="0" borderId="400" xfId="0" applyFont="1" applyFill="1" applyBorder="1" applyAlignment="1">
      <alignment horizontal="center" vertical="top"/>
    </xf>
    <xf numFmtId="0" fontId="24" fillId="0" borderId="294" xfId="3" applyFont="1" applyFill="1" applyBorder="1"/>
    <xf numFmtId="0" fontId="41" fillId="0" borderId="363" xfId="0" applyFont="1" applyFill="1" applyBorder="1" applyAlignment="1">
      <alignment horizontal="center" vertical="center" wrapText="1"/>
    </xf>
    <xf numFmtId="0" fontId="41" fillId="0" borderId="371" xfId="0" applyFont="1" applyFill="1" applyBorder="1" applyAlignment="1">
      <alignment horizontal="left" vertical="top"/>
    </xf>
    <xf numFmtId="0" fontId="41" fillId="0" borderId="372" xfId="0" applyFont="1" applyFill="1" applyBorder="1" applyAlignment="1">
      <alignment horizontal="center" vertical="center" wrapText="1"/>
    </xf>
    <xf numFmtId="0" fontId="67" fillId="13" borderId="14" xfId="2" applyFont="1" applyFill="1" applyBorder="1" applyAlignment="1">
      <alignment horizontal="center" vertical="center"/>
    </xf>
    <xf numFmtId="0" fontId="24" fillId="0" borderId="2" xfId="2" applyFont="1" applyBorder="1" applyAlignment="1">
      <alignment vertical="center"/>
    </xf>
    <xf numFmtId="0" fontId="24" fillId="0" borderId="2" xfId="2" applyFont="1" applyBorder="1" applyAlignment="1"/>
    <xf numFmtId="0" fontId="24" fillId="6" borderId="2" xfId="2" applyFont="1" applyFill="1" applyBorder="1" applyAlignment="1"/>
    <xf numFmtId="0" fontId="19" fillId="0" borderId="2" xfId="2" applyFont="1" applyBorder="1" applyAlignment="1"/>
    <xf numFmtId="0" fontId="24" fillId="0" borderId="15" xfId="2" applyFont="1" applyBorder="1" applyAlignment="1"/>
    <xf numFmtId="0" fontId="41" fillId="0" borderId="149" xfId="78" applyFont="1" applyFill="1" applyBorder="1" applyAlignment="1">
      <alignment horizontal="left" vertical="top" wrapText="1" readingOrder="1"/>
    </xf>
    <xf numFmtId="0" fontId="32" fillId="0" borderId="73" xfId="78" applyNumberFormat="1" applyFont="1" applyFill="1" applyBorder="1" applyAlignment="1">
      <alignment horizontal="center" vertical="center" readingOrder="2"/>
    </xf>
    <xf numFmtId="0" fontId="24" fillId="0" borderId="68" xfId="180" applyFont="1" applyFill="1" applyBorder="1" applyAlignment="1">
      <alignment horizontal="center" vertical="center"/>
    </xf>
    <xf numFmtId="0" fontId="24" fillId="0" borderId="72" xfId="180" applyFont="1" applyFill="1" applyBorder="1" applyAlignment="1">
      <alignment horizontal="center" vertical="center"/>
    </xf>
    <xf numFmtId="0" fontId="41" fillId="0" borderId="25" xfId="78" applyFont="1" applyFill="1" applyBorder="1" applyAlignment="1">
      <alignment horizontal="left" vertical="top" wrapText="1" readingOrder="1"/>
    </xf>
    <xf numFmtId="0" fontId="124" fillId="0" borderId="26" xfId="180" applyFont="1" applyBorder="1" applyAlignment="1">
      <alignment horizontal="center" vertical="center"/>
    </xf>
    <xf numFmtId="0" fontId="41" fillId="0" borderId="266" xfId="180" applyFont="1" applyBorder="1" applyAlignment="1">
      <alignment horizontal="center" vertical="top" wrapText="1"/>
    </xf>
    <xf numFmtId="0" fontId="41" fillId="0" borderId="266" xfId="180" applyFont="1" applyBorder="1" applyAlignment="1">
      <alignment vertical="top" wrapText="1"/>
    </xf>
    <xf numFmtId="0" fontId="41" fillId="0" borderId="415" xfId="180" applyFont="1" applyBorder="1" applyAlignment="1">
      <alignment horizontal="center" vertical="center"/>
    </xf>
    <xf numFmtId="0" fontId="41" fillId="0" borderId="416" xfId="180" applyFont="1" applyBorder="1" applyAlignment="1">
      <alignment horizontal="center" vertical="center"/>
    </xf>
    <xf numFmtId="0" fontId="41" fillId="0" borderId="266" xfId="180" applyFont="1" applyBorder="1" applyAlignment="1">
      <alignment horizontal="center" vertical="center" wrapText="1"/>
    </xf>
    <xf numFmtId="0" fontId="41" fillId="0" borderId="6" xfId="180" applyFont="1" applyBorder="1" applyAlignment="1">
      <alignment vertical="top" wrapText="1"/>
    </xf>
    <xf numFmtId="0" fontId="17" fillId="0" borderId="6" xfId="180" applyBorder="1"/>
    <xf numFmtId="0" fontId="17" fillId="0" borderId="25" xfId="180" applyBorder="1"/>
    <xf numFmtId="49" fontId="94" fillId="44" borderId="36" xfId="78" applyNumberFormat="1" applyFont="1" applyFill="1" applyBorder="1" applyAlignment="1">
      <alignment horizontal="center" vertical="center"/>
    </xf>
    <xf numFmtId="0" fontId="63" fillId="44" borderId="6" xfId="78" applyFont="1" applyFill="1" applyBorder="1" applyAlignment="1">
      <alignment horizontal="left" vertical="center"/>
    </xf>
    <xf numFmtId="0" fontId="24" fillId="44" borderId="6" xfId="78" applyFont="1" applyFill="1" applyBorder="1" applyAlignment="1">
      <alignment vertical="center"/>
    </xf>
    <xf numFmtId="0" fontId="24" fillId="44" borderId="36" xfId="78" applyFont="1" applyFill="1" applyBorder="1" applyAlignment="1">
      <alignment horizontal="center" vertical="center" readingOrder="2"/>
    </xf>
    <xf numFmtId="0" fontId="24" fillId="44" borderId="35" xfId="78" applyFont="1" applyFill="1" applyBorder="1" applyAlignment="1">
      <alignment horizontal="center" vertical="center" readingOrder="2"/>
    </xf>
    <xf numFmtId="0" fontId="24" fillId="44" borderId="6" xfId="78" applyFont="1" applyFill="1" applyBorder="1" applyAlignment="1">
      <alignment horizontal="center" vertical="center" readingOrder="2"/>
    </xf>
    <xf numFmtId="0" fontId="24" fillId="44" borderId="7" xfId="78" applyFont="1" applyFill="1" applyBorder="1" applyAlignment="1">
      <alignment horizontal="center" vertical="center" readingOrder="2"/>
    </xf>
    <xf numFmtId="0" fontId="30" fillId="6" borderId="6" xfId="15" applyFont="1" applyFill="1" applyBorder="1" applyAlignment="1">
      <alignment vertical="center" wrapText="1"/>
    </xf>
    <xf numFmtId="0" fontId="24" fillId="0" borderId="12" xfId="78" applyFont="1" applyFill="1" applyBorder="1" applyAlignment="1">
      <alignment vertical="center" readingOrder="2"/>
    </xf>
    <xf numFmtId="0" fontId="25" fillId="22" borderId="28" xfId="78" applyFont="1" applyFill="1" applyBorder="1" applyAlignment="1">
      <alignment horizontal="right" vertical="center"/>
    </xf>
    <xf numFmtId="0" fontId="17" fillId="0" borderId="21" xfId="78" applyFill="1" applyBorder="1"/>
    <xf numFmtId="0" fontId="17" fillId="0" borderId="0" xfId="78" applyFill="1" applyBorder="1"/>
    <xf numFmtId="0" fontId="17" fillId="0" borderId="23" xfId="78" applyFill="1" applyBorder="1"/>
    <xf numFmtId="0" fontId="17" fillId="0" borderId="26" xfId="78" applyFill="1" applyBorder="1"/>
    <xf numFmtId="0" fontId="17" fillId="0" borderId="25" xfId="78" applyFill="1" applyBorder="1"/>
    <xf numFmtId="0" fontId="17" fillId="0" borderId="42" xfId="78" applyFill="1" applyBorder="1"/>
    <xf numFmtId="0" fontId="17" fillId="0" borderId="37" xfId="78" applyFill="1" applyBorder="1"/>
    <xf numFmtId="0" fontId="17" fillId="0" borderId="43" xfId="78" applyFill="1" applyBorder="1"/>
    <xf numFmtId="0" fontId="17" fillId="0" borderId="41" xfId="78" applyFill="1" applyBorder="1"/>
    <xf numFmtId="0" fontId="25" fillId="22" borderId="29" xfId="78" applyFont="1" applyFill="1" applyBorder="1" applyAlignment="1">
      <alignment horizontal="right" vertical="center"/>
    </xf>
    <xf numFmtId="0" fontId="51" fillId="0" borderId="9" xfId="173" applyFont="1" applyFill="1" applyBorder="1" applyAlignment="1">
      <alignment vertical="center"/>
    </xf>
    <xf numFmtId="0" fontId="51" fillId="0" borderId="240" xfId="173" applyFont="1" applyFill="1" applyBorder="1" applyAlignment="1">
      <alignment vertical="center"/>
    </xf>
    <xf numFmtId="0" fontId="51" fillId="0" borderId="240" xfId="173" applyFont="1" applyFill="1" applyBorder="1" applyAlignment="1">
      <alignment vertical="center" wrapText="1"/>
    </xf>
    <xf numFmtId="0" fontId="68" fillId="22" borderId="73" xfId="78" applyFont="1" applyFill="1" applyBorder="1" applyAlignment="1">
      <alignment horizontal="left" vertical="center"/>
    </xf>
    <xf numFmtId="0" fontId="51" fillId="0" borderId="9" xfId="173" applyFont="1" applyFill="1" applyBorder="1"/>
    <xf numFmtId="0" fontId="51" fillId="0" borderId="9" xfId="173" applyFont="1" applyFill="1" applyBorder="1" applyAlignment="1">
      <alignment wrapText="1"/>
    </xf>
    <xf numFmtId="0" fontId="51" fillId="0" borderId="240" xfId="173" applyFont="1" applyFill="1" applyBorder="1"/>
    <xf numFmtId="0" fontId="17" fillId="0" borderId="150" xfId="78" applyFont="1" applyFill="1" applyBorder="1" applyAlignment="1">
      <alignment horizontal="center" vertical="center" wrapText="1" readingOrder="1"/>
    </xf>
    <xf numFmtId="0" fontId="24" fillId="0" borderId="77" xfId="78" applyFont="1" applyFill="1" applyBorder="1" applyAlignment="1">
      <alignment horizontal="center" vertical="center" wrapText="1" readingOrder="1"/>
    </xf>
    <xf numFmtId="0" fontId="24" fillId="0" borderId="199" xfId="78" applyFont="1" applyFill="1" applyBorder="1" applyAlignment="1">
      <alignment horizontal="center" vertical="center" wrapText="1" readingOrder="1"/>
    </xf>
    <xf numFmtId="0" fontId="24" fillId="0" borderId="67" xfId="78" applyNumberFormat="1" applyFont="1" applyFill="1" applyBorder="1" applyAlignment="1">
      <alignment horizontal="center" vertical="center"/>
    </xf>
    <xf numFmtId="0" fontId="24" fillId="0" borderId="63" xfId="78" applyNumberFormat="1" applyFont="1" applyFill="1" applyBorder="1" applyAlignment="1">
      <alignment horizontal="center" vertical="center"/>
    </xf>
    <xf numFmtId="49" fontId="94" fillId="21" borderId="84" xfId="78" applyNumberFormat="1" applyFont="1" applyFill="1" applyBorder="1" applyAlignment="1">
      <alignment horizontal="center" vertical="center"/>
    </xf>
    <xf numFmtId="0" fontId="17" fillId="45" borderId="30" xfId="78" applyFill="1" applyBorder="1"/>
    <xf numFmtId="0" fontId="17" fillId="45" borderId="32" xfId="78" applyFill="1" applyBorder="1"/>
    <xf numFmtId="0" fontId="17" fillId="45" borderId="26" xfId="78" applyFill="1" applyBorder="1"/>
    <xf numFmtId="0" fontId="17" fillId="45" borderId="25" xfId="78" applyFill="1" applyBorder="1"/>
    <xf numFmtId="0" fontId="24" fillId="22" borderId="29" xfId="78" applyFont="1" applyFill="1" applyBorder="1"/>
    <xf numFmtId="0" fontId="17" fillId="22" borderId="27" xfId="78" applyFill="1" applyBorder="1"/>
    <xf numFmtId="0" fontId="17" fillId="22" borderId="28" xfId="78" applyFill="1" applyBorder="1"/>
    <xf numFmtId="0" fontId="17" fillId="22" borderId="29" xfId="78" applyFill="1" applyBorder="1"/>
    <xf numFmtId="0" fontId="24" fillId="0" borderId="37" xfId="78" applyFont="1" applyFill="1" applyBorder="1"/>
    <xf numFmtId="0" fontId="24" fillId="0" borderId="178" xfId="78" applyFont="1" applyFill="1" applyBorder="1"/>
    <xf numFmtId="0" fontId="51" fillId="0" borderId="39" xfId="173" applyFont="1" applyFill="1" applyBorder="1"/>
    <xf numFmtId="0" fontId="17" fillId="45" borderId="35" xfId="78" applyFill="1" applyBorder="1"/>
    <xf numFmtId="0" fontId="17" fillId="0" borderId="9" xfId="78" applyFill="1" applyBorder="1"/>
    <xf numFmtId="0" fontId="17" fillId="0" borderId="7" xfId="78" applyFill="1" applyBorder="1"/>
    <xf numFmtId="0" fontId="17" fillId="0" borderId="39" xfId="78" applyFill="1" applyBorder="1"/>
    <xf numFmtId="0" fontId="17" fillId="0" borderId="404" xfId="78" applyFill="1" applyBorder="1"/>
    <xf numFmtId="0" fontId="32" fillId="6" borderId="84" xfId="78" applyNumberFormat="1" applyFont="1" applyFill="1" applyBorder="1" applyAlignment="1">
      <alignment horizontal="center" vertical="center" readingOrder="2"/>
    </xf>
    <xf numFmtId="0" fontId="24" fillId="0" borderId="341" xfId="4" applyFont="1" applyFill="1" applyBorder="1" applyAlignment="1">
      <alignment horizontal="left" wrapText="1"/>
    </xf>
    <xf numFmtId="0" fontId="24" fillId="0" borderId="403" xfId="4" applyFont="1" applyFill="1" applyBorder="1" applyAlignment="1">
      <alignment horizontal="left"/>
    </xf>
    <xf numFmtId="0" fontId="17" fillId="0" borderId="23" xfId="78" applyFont="1" applyFill="1" applyBorder="1" applyAlignment="1">
      <alignment vertical="center" wrapText="1" readingOrder="1"/>
    </xf>
    <xf numFmtId="0" fontId="17" fillId="0" borderId="341" xfId="78" applyFont="1" applyFill="1" applyBorder="1" applyAlignment="1">
      <alignment horizontal="center" vertical="center" wrapText="1" readingOrder="1"/>
    </xf>
    <xf numFmtId="0" fontId="32" fillId="6" borderId="82" xfId="78" applyNumberFormat="1" applyFont="1" applyFill="1" applyBorder="1" applyAlignment="1">
      <alignment horizontal="center" vertical="center" readingOrder="2"/>
    </xf>
    <xf numFmtId="0" fontId="41" fillId="0" borderId="23" xfId="4" applyFont="1" applyFill="1" applyBorder="1" applyAlignment="1">
      <alignment horizontal="center" vertical="top" wrapText="1"/>
    </xf>
    <xf numFmtId="0" fontId="24" fillId="0" borderId="72" xfId="78" applyFont="1" applyFill="1" applyBorder="1" applyAlignment="1">
      <alignment horizontal="center" vertical="center" wrapText="1" readingOrder="2"/>
    </xf>
    <xf numFmtId="0" fontId="24" fillId="0" borderId="22" xfId="78" applyFont="1" applyFill="1" applyBorder="1" applyAlignment="1">
      <alignment horizontal="center" vertical="center" wrapText="1" readingOrder="2"/>
    </xf>
    <xf numFmtId="0" fontId="24" fillId="0" borderId="341" xfId="78" applyFont="1" applyFill="1" applyBorder="1" applyAlignment="1">
      <alignment horizontal="center" vertical="center" wrapText="1" readingOrder="2"/>
    </xf>
    <xf numFmtId="0" fontId="24" fillId="0" borderId="22" xfId="4" applyFont="1" applyFill="1" applyBorder="1" applyAlignment="1">
      <alignment horizontal="left"/>
    </xf>
    <xf numFmtId="0" fontId="24" fillId="0" borderId="341" xfId="4" applyFont="1" applyFill="1" applyBorder="1" applyAlignment="1">
      <alignment horizontal="center" wrapText="1"/>
    </xf>
    <xf numFmtId="0" fontId="24" fillId="0" borderId="418" xfId="4" applyFont="1" applyFill="1" applyBorder="1" applyAlignment="1">
      <alignment horizontal="left" vertical="top" wrapText="1"/>
    </xf>
    <xf numFmtId="0" fontId="24" fillId="0" borderId="21" xfId="4" applyFont="1" applyFill="1" applyBorder="1" applyAlignment="1">
      <alignment horizontal="left" vertical="top" wrapText="1"/>
    </xf>
    <xf numFmtId="0" fontId="41" fillId="0" borderId="177" xfId="4" applyFont="1" applyFill="1" applyBorder="1" applyAlignment="1">
      <alignment horizontal="center" vertical="top" wrapText="1"/>
    </xf>
    <xf numFmtId="0" fontId="17" fillId="0" borderId="0" xfId="78" applyFill="1" applyBorder="1" applyAlignment="1">
      <alignment vertical="center"/>
    </xf>
    <xf numFmtId="0" fontId="40" fillId="0" borderId="34" xfId="180" applyFont="1" applyFill="1" applyBorder="1" applyAlignment="1">
      <alignment horizontal="left" vertical="center"/>
    </xf>
    <xf numFmtId="0" fontId="101" fillId="0" borderId="14" xfId="180" applyFont="1" applyFill="1" applyBorder="1" applyAlignment="1">
      <alignment vertical="center"/>
    </xf>
    <xf numFmtId="0" fontId="101" fillId="6" borderId="6" xfId="180" applyFont="1" applyFill="1" applyBorder="1" applyAlignment="1">
      <alignment vertical="center"/>
    </xf>
    <xf numFmtId="0" fontId="24" fillId="6" borderId="0" xfId="78" applyFont="1" applyFill="1" applyAlignment="1">
      <alignment vertical="center" readingOrder="2"/>
    </xf>
    <xf numFmtId="0" fontId="24" fillId="6" borderId="0" xfId="78" applyFont="1" applyFill="1" applyBorder="1" applyAlignment="1">
      <alignment vertical="center" readingOrder="2"/>
    </xf>
    <xf numFmtId="0" fontId="24" fillId="6" borderId="2" xfId="78" applyFont="1" applyFill="1" applyBorder="1" applyAlignment="1">
      <alignment vertical="center" readingOrder="2"/>
    </xf>
    <xf numFmtId="0" fontId="25" fillId="0" borderId="69" xfId="78" applyFont="1" applyFill="1" applyBorder="1" applyAlignment="1">
      <alignment vertical="top" wrapText="1" readingOrder="1"/>
    </xf>
    <xf numFmtId="0" fontId="40" fillId="0" borderId="0" xfId="78" applyFont="1" applyFill="1" applyAlignment="1">
      <alignment vertical="center" readingOrder="2"/>
    </xf>
    <xf numFmtId="0" fontId="40" fillId="0" borderId="68" xfId="78" applyFont="1" applyFill="1" applyBorder="1" applyAlignment="1">
      <alignment vertical="center" wrapText="1" readingOrder="1"/>
    </xf>
    <xf numFmtId="0" fontId="24" fillId="0" borderId="14" xfId="2" applyFont="1" applyBorder="1" applyAlignment="1"/>
    <xf numFmtId="0" fontId="41" fillId="19" borderId="242" xfId="2" applyFont="1" applyFill="1" applyBorder="1" applyAlignment="1">
      <alignment wrapText="1"/>
    </xf>
    <xf numFmtId="0" fontId="17" fillId="0" borderId="0" xfId="2" applyFont="1" applyBorder="1" applyAlignment="1"/>
    <xf numFmtId="0" fontId="67" fillId="13" borderId="8" xfId="2" applyFont="1" applyFill="1" applyBorder="1" applyAlignment="1">
      <alignment horizontal="right" vertical="center"/>
    </xf>
    <xf numFmtId="0" fontId="24" fillId="0" borderId="0" xfId="3" applyFont="1" applyFill="1" applyBorder="1" applyAlignment="1">
      <alignment wrapText="1"/>
    </xf>
    <xf numFmtId="0" fontId="24" fillId="0" borderId="2" xfId="3" applyFont="1" applyFill="1" applyBorder="1" applyAlignment="1">
      <alignment wrapText="1"/>
    </xf>
    <xf numFmtId="0" fontId="24" fillId="0" borderId="260" xfId="180" applyFont="1" applyFill="1" applyBorder="1" applyAlignment="1">
      <alignment vertical="top" wrapText="1"/>
    </xf>
    <xf numFmtId="166" fontId="41" fillId="0" borderId="1" xfId="180" applyNumberFormat="1" applyFont="1" applyFill="1" applyBorder="1" applyAlignment="1">
      <alignment vertical="center" wrapText="1"/>
    </xf>
    <xf numFmtId="166" fontId="41" fillId="0" borderId="0" xfId="180" applyNumberFormat="1" applyFont="1" applyFill="1" applyBorder="1" applyAlignment="1">
      <alignment vertical="center" wrapText="1"/>
    </xf>
    <xf numFmtId="166" fontId="41" fillId="0" borderId="2" xfId="180" applyNumberFormat="1" applyFont="1" applyFill="1" applyBorder="1" applyAlignment="1">
      <alignment vertical="center" wrapText="1"/>
    </xf>
    <xf numFmtId="0" fontId="24" fillId="0" borderId="2" xfId="2" applyFont="1" applyFill="1" applyBorder="1" applyAlignment="1">
      <alignment horizontal="left" vertical="center"/>
    </xf>
    <xf numFmtId="0" fontId="24" fillId="0" borderId="7" xfId="2" applyFont="1" applyBorder="1" applyAlignment="1"/>
    <xf numFmtId="0" fontId="20" fillId="0" borderId="0" xfId="0" applyFont="1" applyFill="1" applyBorder="1" applyAlignment="1" applyProtection="1">
      <alignment horizontal="left" readingOrder="1"/>
      <protection locked="0"/>
    </xf>
    <xf numFmtId="0" fontId="24" fillId="0" borderId="362" xfId="180" applyFont="1" applyFill="1" applyBorder="1" applyAlignment="1">
      <alignment horizontal="left" vertical="top" wrapText="1"/>
    </xf>
    <xf numFmtId="0" fontId="24" fillId="0" borderId="363" xfId="180" applyFont="1" applyFill="1" applyBorder="1" applyAlignment="1">
      <alignment horizontal="left" vertical="top" wrapText="1"/>
    </xf>
    <xf numFmtId="0" fontId="32" fillId="0" borderId="8" xfId="15" applyFont="1" applyBorder="1" applyAlignment="1">
      <alignment horizontal="left" vertical="center" wrapText="1"/>
    </xf>
    <xf numFmtId="0" fontId="49" fillId="19" borderId="27" xfId="180" applyFont="1" applyFill="1" applyBorder="1" applyAlignment="1">
      <alignment horizontal="left"/>
    </xf>
    <xf numFmtId="0" fontId="19" fillId="19" borderId="28" xfId="180" applyFont="1" applyFill="1" applyBorder="1"/>
    <xf numFmtId="0" fontId="19" fillId="19" borderId="29" xfId="180" applyFont="1" applyFill="1" applyBorder="1"/>
    <xf numFmtId="0" fontId="24" fillId="0" borderId="1" xfId="180" applyFont="1" applyFill="1" applyBorder="1" applyAlignment="1">
      <alignment horizontal="center" vertical="center" wrapText="1"/>
    </xf>
    <xf numFmtId="0" fontId="41" fillId="0" borderId="1" xfId="180" applyFont="1" applyFill="1" applyBorder="1" applyAlignment="1">
      <alignment horizontal="center" vertical="center" wrapText="1"/>
    </xf>
    <xf numFmtId="0" fontId="41" fillId="0" borderId="7" xfId="180" applyFont="1" applyFill="1" applyBorder="1" applyAlignment="1">
      <alignment horizontal="center" vertical="top"/>
    </xf>
    <xf numFmtId="0" fontId="37" fillId="0" borderId="21" xfId="3" applyFont="1" applyFill="1" applyBorder="1" applyAlignment="1">
      <alignment horizontal="center" vertical="center" textRotation="90" wrapText="1"/>
    </xf>
    <xf numFmtId="0" fontId="24" fillId="0" borderId="8" xfId="2" applyFont="1" applyFill="1" applyBorder="1" applyAlignment="1">
      <alignment horizontal="center" vertical="center"/>
    </xf>
    <xf numFmtId="0" fontId="41" fillId="0" borderId="119" xfId="180" applyFont="1" applyFill="1" applyBorder="1" applyAlignment="1">
      <alignment horizontal="center" vertical="center" wrapText="1"/>
    </xf>
    <xf numFmtId="0" fontId="41" fillId="0" borderId="0" xfId="180" applyFont="1" applyFill="1" applyBorder="1" applyAlignment="1">
      <alignment horizontal="center" vertical="center" wrapText="1"/>
    </xf>
    <xf numFmtId="0" fontId="41" fillId="0" borderId="23" xfId="180" applyFont="1" applyFill="1" applyBorder="1" applyAlignment="1">
      <alignment horizontal="center" vertical="center" wrapText="1"/>
    </xf>
    <xf numFmtId="0" fontId="41" fillId="0" borderId="2" xfId="180" applyFont="1" applyFill="1" applyBorder="1" applyAlignment="1">
      <alignment horizontal="center" vertical="center"/>
    </xf>
    <xf numFmtId="0" fontId="24" fillId="0" borderId="19" xfId="180" applyFont="1" applyFill="1" applyBorder="1" applyAlignment="1">
      <alignment vertical="center" wrapText="1"/>
    </xf>
    <xf numFmtId="0" fontId="24" fillId="0" borderId="24" xfId="180" applyFont="1" applyFill="1" applyBorder="1" applyAlignment="1">
      <alignment vertical="center" wrapText="1"/>
    </xf>
    <xf numFmtId="0" fontId="32" fillId="0" borderId="23" xfId="180" applyFont="1" applyFill="1" applyBorder="1" applyAlignment="1">
      <alignment horizontal="left" vertical="center"/>
    </xf>
    <xf numFmtId="0" fontId="32" fillId="0" borderId="23" xfId="180" applyFont="1" applyFill="1" applyBorder="1" applyAlignment="1">
      <alignment vertical="center"/>
    </xf>
    <xf numFmtId="0" fontId="40" fillId="6" borderId="0" xfId="180" applyFont="1" applyFill="1" applyBorder="1" applyAlignment="1">
      <alignment horizontal="right" vertical="top" wrapText="1"/>
    </xf>
    <xf numFmtId="0" fontId="41" fillId="0" borderId="0" xfId="180" applyFont="1" applyFill="1" applyAlignment="1">
      <alignment horizontal="right"/>
    </xf>
    <xf numFmtId="0" fontId="24" fillId="0" borderId="103" xfId="180" applyFont="1" applyFill="1" applyBorder="1"/>
    <xf numFmtId="0" fontId="41" fillId="0" borderId="405" xfId="180" applyFont="1" applyFill="1" applyBorder="1"/>
    <xf numFmtId="0" fontId="24" fillId="0" borderId="112" xfId="0" applyFont="1" applyFill="1" applyBorder="1"/>
    <xf numFmtId="0" fontId="19" fillId="0" borderId="242" xfId="0" applyFont="1" applyFill="1" applyBorder="1" applyAlignment="1" applyProtection="1">
      <alignment readingOrder="1"/>
      <protection locked="0"/>
    </xf>
    <xf numFmtId="0" fontId="19" fillId="0" borderId="8" xfId="0" applyFont="1" applyFill="1" applyBorder="1" applyAlignment="1" applyProtection="1">
      <alignment readingOrder="1"/>
      <protection locked="0"/>
    </xf>
    <xf numFmtId="0" fontId="19" fillId="0" borderId="9" xfId="0" applyFont="1" applyFill="1" applyBorder="1" applyAlignment="1" applyProtection="1">
      <alignment readingOrder="1"/>
      <protection locked="0"/>
    </xf>
    <xf numFmtId="0" fontId="24" fillId="0" borderId="2" xfId="180" applyFont="1" applyFill="1" applyBorder="1" applyAlignment="1">
      <alignment horizontal="center"/>
    </xf>
    <xf numFmtId="0" fontId="24" fillId="0" borderId="23" xfId="78" applyFont="1" applyFill="1" applyBorder="1" applyAlignment="1">
      <alignment horizontal="center" vertical="top" wrapText="1" readingOrder="1"/>
    </xf>
    <xf numFmtId="0" fontId="24" fillId="0" borderId="30" xfId="78" applyFont="1" applyFill="1" applyBorder="1" applyAlignment="1">
      <alignment horizontal="left" vertical="center" wrapText="1"/>
    </xf>
    <xf numFmtId="0" fontId="24" fillId="0" borderId="42" xfId="78" applyFont="1" applyFill="1" applyBorder="1" applyAlignment="1">
      <alignment horizontal="left" vertical="center" wrapText="1"/>
    </xf>
    <xf numFmtId="0" fontId="24" fillId="0" borderId="8" xfId="78" applyFont="1" applyFill="1" applyBorder="1" applyAlignment="1">
      <alignment horizontal="left" vertical="center" wrapText="1"/>
    </xf>
    <xf numFmtId="0" fontId="24" fillId="0" borderId="37" xfId="78" applyFont="1" applyFill="1" applyBorder="1" applyAlignment="1">
      <alignment horizontal="left" vertical="center" wrapText="1"/>
    </xf>
    <xf numFmtId="0" fontId="24" fillId="0" borderId="55" xfId="78" applyFont="1" applyFill="1" applyBorder="1" applyAlignment="1">
      <alignment horizontal="left" vertical="center" wrapText="1"/>
    </xf>
    <xf numFmtId="0" fontId="24" fillId="0" borderId="3" xfId="78" applyFont="1" applyFill="1" applyBorder="1" applyAlignment="1">
      <alignment horizontal="left" vertical="center" wrapText="1"/>
    </xf>
    <xf numFmtId="0" fontId="24" fillId="0" borderId="140" xfId="78" applyFont="1" applyFill="1" applyBorder="1" applyAlignment="1">
      <alignment horizontal="left" vertical="center" wrapText="1"/>
    </xf>
    <xf numFmtId="0" fontId="25" fillId="0" borderId="0" xfId="78" applyFont="1" applyFill="1" applyBorder="1" applyAlignment="1">
      <alignment horizontal="left" vertical="top" wrapText="1"/>
    </xf>
    <xf numFmtId="0" fontId="24" fillId="0" borderId="14" xfId="180" applyFont="1" applyFill="1" applyBorder="1" applyAlignment="1">
      <alignment horizontal="center" wrapText="1"/>
    </xf>
    <xf numFmtId="0" fontId="24" fillId="0" borderId="13" xfId="180" applyFont="1" applyFill="1" applyBorder="1" applyAlignment="1">
      <alignment horizontal="center" wrapText="1"/>
    </xf>
    <xf numFmtId="0" fontId="24" fillId="0" borderId="153" xfId="180" applyFont="1" applyFill="1" applyBorder="1" applyAlignment="1">
      <alignment horizontal="center" wrapText="1"/>
    </xf>
    <xf numFmtId="0" fontId="24" fillId="0" borderId="151" xfId="180" applyFont="1" applyFill="1" applyBorder="1" applyAlignment="1">
      <alignment horizontal="center" wrapText="1"/>
    </xf>
    <xf numFmtId="0" fontId="23" fillId="9" borderId="0" xfId="180" applyFont="1" applyFill="1" applyBorder="1" applyAlignment="1">
      <alignment horizontal="left" textRotation="90"/>
    </xf>
    <xf numFmtId="0" fontId="48" fillId="0" borderId="0" xfId="180" applyFont="1" applyFill="1" applyBorder="1" applyAlignment="1">
      <alignment horizontal="center"/>
    </xf>
    <xf numFmtId="0" fontId="41" fillId="2" borderId="15" xfId="180" applyFont="1" applyFill="1" applyBorder="1" applyAlignment="1">
      <alignment horizontal="center" vertical="center" wrapText="1"/>
    </xf>
    <xf numFmtId="0" fontId="41" fillId="0" borderId="1" xfId="2" applyFont="1" applyFill="1" applyBorder="1" applyAlignment="1">
      <alignment vertical="top"/>
    </xf>
    <xf numFmtId="0" fontId="41" fillId="0" borderId="0" xfId="2" applyFont="1" applyFill="1" applyBorder="1" applyAlignment="1">
      <alignment vertical="top"/>
    </xf>
    <xf numFmtId="0" fontId="41" fillId="0" borderId="1" xfId="180" applyFont="1" applyFill="1" applyBorder="1" applyAlignment="1">
      <alignment horizontal="center" wrapText="1"/>
    </xf>
    <xf numFmtId="0" fontId="41" fillId="0" borderId="0" xfId="180" applyFont="1" applyFill="1" applyBorder="1" applyAlignment="1">
      <alignment horizontal="center" wrapText="1"/>
    </xf>
    <xf numFmtId="0" fontId="31" fillId="0" borderId="0" xfId="180" applyFont="1" applyFill="1" applyBorder="1" applyAlignment="1">
      <alignment horizontal="center" vertical="center" wrapText="1"/>
    </xf>
    <xf numFmtId="0" fontId="31" fillId="6" borderId="2" xfId="180" applyFont="1" applyFill="1" applyBorder="1" applyAlignment="1">
      <alignment horizontal="center" vertical="center" wrapText="1"/>
    </xf>
    <xf numFmtId="0" fontId="40" fillId="0" borderId="49" xfId="180" applyFont="1" applyFill="1" applyBorder="1" applyAlignment="1">
      <alignment horizontal="center" vertical="center" wrapText="1"/>
    </xf>
    <xf numFmtId="0" fontId="41" fillId="0" borderId="9" xfId="2" applyFont="1" applyFill="1" applyBorder="1" applyAlignment="1"/>
    <xf numFmtId="0" fontId="41" fillId="0" borderId="14" xfId="2" applyFont="1" applyFill="1" applyBorder="1" applyAlignment="1"/>
    <xf numFmtId="0" fontId="24" fillId="0" borderId="240" xfId="2" applyFont="1" applyFill="1" applyBorder="1" applyAlignment="1"/>
    <xf numFmtId="0" fontId="40" fillId="0" borderId="28" xfId="2" applyFont="1" applyFill="1" applyBorder="1" applyAlignment="1">
      <alignment horizontal="right" vertical="center"/>
    </xf>
    <xf numFmtId="0" fontId="30" fillId="0" borderId="0" xfId="181" applyFont="1" applyFill="1" applyAlignment="1"/>
    <xf numFmtId="0" fontId="51" fillId="0" borderId="42" xfId="78" applyFont="1" applyFill="1" applyBorder="1" applyAlignment="1">
      <alignment vertical="center" wrapText="1"/>
    </xf>
    <xf numFmtId="0" fontId="24" fillId="0" borderId="62" xfId="78" applyFont="1" applyFill="1" applyBorder="1" applyAlignment="1">
      <alignment horizontal="left" vertical="center" wrapText="1"/>
    </xf>
    <xf numFmtId="0" fontId="24" fillId="0" borderId="7" xfId="78" applyFont="1" applyFill="1" applyBorder="1" applyAlignment="1">
      <alignment horizontal="left" vertical="center" wrapText="1"/>
    </xf>
    <xf numFmtId="0" fontId="24" fillId="0" borderId="240" xfId="78" applyFont="1" applyFill="1" applyBorder="1" applyAlignment="1">
      <alignment horizontal="left" vertical="center" wrapText="1"/>
    </xf>
    <xf numFmtId="0" fontId="24" fillId="0" borderId="84" xfId="78" applyFont="1" applyFill="1" applyBorder="1" applyAlignment="1">
      <alignment horizontal="left" vertical="center" wrapText="1"/>
    </xf>
    <xf numFmtId="0" fontId="24" fillId="0" borderId="103" xfId="78" applyFont="1" applyFill="1" applyBorder="1" applyAlignment="1">
      <alignment horizontal="left" vertical="center" wrapText="1"/>
    </xf>
    <xf numFmtId="0" fontId="51" fillId="0" borderId="62" xfId="78" applyFont="1" applyFill="1" applyBorder="1" applyAlignment="1">
      <alignment horizontal="left" vertical="center" wrapText="1"/>
    </xf>
    <xf numFmtId="0" fontId="24" fillId="0" borderId="9" xfId="78" applyFont="1" applyFill="1" applyBorder="1" applyAlignment="1">
      <alignment horizontal="left" vertical="center" wrapText="1"/>
    </xf>
    <xf numFmtId="0" fontId="24" fillId="6" borderId="240" xfId="78" applyFont="1" applyFill="1" applyBorder="1" applyAlignment="1">
      <alignment horizontal="left" vertical="center" wrapText="1"/>
    </xf>
    <xf numFmtId="0" fontId="111" fillId="6" borderId="14" xfId="173" applyFont="1" applyFill="1" applyBorder="1" applyAlignment="1">
      <alignment wrapText="1"/>
    </xf>
    <xf numFmtId="0" fontId="111" fillId="6" borderId="14" xfId="173" applyFont="1" applyFill="1" applyBorder="1"/>
    <xf numFmtId="0" fontId="41" fillId="6" borderId="14" xfId="173" applyFont="1" applyFill="1" applyBorder="1" applyAlignment="1">
      <alignment wrapText="1"/>
    </xf>
    <xf numFmtId="0" fontId="25" fillId="0" borderId="23" xfId="78" applyFont="1" applyFill="1" applyBorder="1" applyAlignment="1">
      <alignment vertical="top" wrapText="1" readingOrder="1"/>
    </xf>
    <xf numFmtId="0" fontId="24" fillId="0" borderId="43" xfId="78" applyFont="1" applyFill="1" applyBorder="1" applyAlignment="1">
      <alignment horizontal="left" vertical="center" wrapText="1"/>
    </xf>
    <xf numFmtId="0" fontId="20" fillId="0" borderId="0" xfId="0" applyFont="1" applyFill="1" applyBorder="1" applyAlignment="1" applyProtection="1">
      <alignment horizontal="left" readingOrder="1"/>
      <protection locked="0"/>
    </xf>
    <xf numFmtId="0" fontId="20" fillId="0" borderId="239" xfId="0" applyFont="1" applyFill="1" applyBorder="1" applyAlignment="1" applyProtection="1">
      <alignment horizontal="center" readingOrder="1"/>
      <protection locked="0"/>
    </xf>
    <xf numFmtId="0" fontId="20" fillId="0" borderId="111" xfId="0" applyFont="1" applyFill="1" applyBorder="1" applyAlignment="1" applyProtection="1">
      <alignment horizontal="center" readingOrder="1"/>
      <protection locked="0"/>
    </xf>
    <xf numFmtId="0" fontId="20" fillId="0" borderId="112" xfId="0" applyFont="1" applyFill="1" applyBorder="1" applyAlignment="1" applyProtection="1">
      <alignment horizontal="center" readingOrder="1"/>
      <protection locked="0"/>
    </xf>
    <xf numFmtId="0" fontId="20" fillId="0" borderId="5" xfId="0" applyFont="1" applyFill="1" applyBorder="1" applyAlignment="1" applyProtection="1">
      <alignment horizontal="center" readingOrder="1"/>
      <protection locked="0"/>
    </xf>
    <xf numFmtId="0" fontId="20" fillId="0" borderId="6" xfId="0" applyFont="1" applyFill="1" applyBorder="1" applyAlignment="1" applyProtection="1">
      <alignment horizontal="center" readingOrder="1"/>
      <protection locked="0"/>
    </xf>
    <xf numFmtId="0" fontId="20" fillId="0" borderId="7" xfId="0" applyFont="1" applyFill="1" applyBorder="1" applyAlignment="1" applyProtection="1">
      <alignment horizontal="center" readingOrder="1"/>
      <protection locked="0"/>
    </xf>
    <xf numFmtId="0" fontId="41" fillId="0" borderId="1" xfId="180" applyFont="1" applyFill="1" applyBorder="1" applyAlignment="1">
      <alignment horizontal="left" vertical="top" wrapText="1"/>
    </xf>
    <xf numFmtId="0" fontId="41" fillId="0" borderId="0" xfId="180" applyFont="1" applyFill="1" applyBorder="1" applyAlignment="1">
      <alignment horizontal="center" vertical="top" wrapText="1"/>
    </xf>
    <xf numFmtId="0" fontId="40" fillId="0" borderId="1" xfId="180" applyFont="1" applyFill="1" applyBorder="1" applyAlignment="1">
      <alignment vertical="top" wrapText="1"/>
    </xf>
    <xf numFmtId="0" fontId="40" fillId="0" borderId="2" xfId="180" applyFont="1" applyFill="1" applyBorder="1" applyAlignment="1">
      <alignment horizontal="left" vertical="center" wrapText="1"/>
    </xf>
    <xf numFmtId="0" fontId="41" fillId="0" borderId="0" xfId="180" applyFont="1" applyFill="1" applyBorder="1" applyAlignment="1">
      <alignment horizontal="center" vertical="center" wrapText="1"/>
    </xf>
    <xf numFmtId="0" fontId="24" fillId="0" borderId="399" xfId="180" applyFont="1" applyFill="1" applyBorder="1" applyAlignment="1">
      <alignment vertical="center"/>
    </xf>
    <xf numFmtId="0" fontId="41" fillId="0" borderId="399" xfId="15" applyFont="1" applyFill="1" applyBorder="1" applyAlignment="1">
      <alignment horizontal="center" vertical="center" wrapText="1"/>
    </xf>
    <xf numFmtId="0" fontId="24" fillId="0" borderId="405" xfId="180" applyFont="1" applyFill="1" applyBorder="1" applyAlignment="1">
      <alignment vertical="center"/>
    </xf>
    <xf numFmtId="165" fontId="24" fillId="0" borderId="405" xfId="180" applyNumberFormat="1" applyFont="1" applyFill="1" applyBorder="1" applyAlignment="1">
      <alignment vertical="center"/>
    </xf>
    <xf numFmtId="0" fontId="41" fillId="0" borderId="19" xfId="15" applyFont="1" applyFill="1" applyBorder="1" applyAlignment="1">
      <alignment vertical="center"/>
    </xf>
    <xf numFmtId="165" fontId="24" fillId="0" borderId="20" xfId="180" applyNumberFormat="1" applyFont="1" applyFill="1" applyBorder="1" applyAlignment="1">
      <alignment vertical="center"/>
    </xf>
    <xf numFmtId="0" fontId="24" fillId="0" borderId="29" xfId="180" applyFont="1" applyFill="1" applyBorder="1" applyAlignment="1">
      <alignment vertical="center"/>
    </xf>
    <xf numFmtId="0" fontId="24" fillId="0" borderId="23" xfId="180" applyFont="1" applyFill="1" applyBorder="1" applyAlignment="1">
      <alignment horizontal="left" vertical="center"/>
    </xf>
    <xf numFmtId="0" fontId="41" fillId="0" borderId="23" xfId="180" applyFont="1" applyFill="1" applyBorder="1" applyAlignment="1">
      <alignment horizontal="right" vertical="center" wrapText="1"/>
    </xf>
    <xf numFmtId="0" fontId="40" fillId="0" borderId="84" xfId="180" applyFont="1" applyFill="1" applyBorder="1" applyAlignment="1">
      <alignment vertical="center" wrapText="1"/>
    </xf>
    <xf numFmtId="0" fontId="41" fillId="0" borderId="341" xfId="180" applyFont="1" applyFill="1" applyBorder="1" applyAlignment="1">
      <alignment horizontal="left" vertical="center" wrapText="1"/>
    </xf>
    <xf numFmtId="0" fontId="30" fillId="0" borderId="26" xfId="15" applyFont="1" applyFill="1" applyBorder="1" applyAlignment="1">
      <alignment vertical="center"/>
    </xf>
    <xf numFmtId="0" fontId="41" fillId="0" borderId="6" xfId="180" applyFont="1" applyFill="1" applyBorder="1" applyAlignment="1">
      <alignment horizontal="right" vertical="center" wrapText="1"/>
    </xf>
    <xf numFmtId="0" fontId="41" fillId="0" borderId="6" xfId="15" applyFont="1" applyFill="1" applyBorder="1" applyAlignment="1">
      <alignment vertical="center"/>
    </xf>
    <xf numFmtId="0" fontId="24" fillId="0" borderId="84" xfId="180" applyFont="1" applyFill="1" applyBorder="1"/>
    <xf numFmtId="0" fontId="24" fillId="0" borderId="420" xfId="180" applyFont="1" applyFill="1" applyBorder="1" applyAlignment="1">
      <alignment vertical="top" wrapText="1"/>
    </xf>
    <xf numFmtId="0" fontId="24" fillId="0" borderId="341" xfId="180" applyFont="1" applyFill="1" applyBorder="1"/>
    <xf numFmtId="0" fontId="41" fillId="0" borderId="362" xfId="180" applyFont="1" applyFill="1" applyBorder="1" applyAlignment="1">
      <alignment horizontal="left" wrapText="1"/>
    </xf>
    <xf numFmtId="0" fontId="24" fillId="0" borderId="94" xfId="180" applyFont="1" applyFill="1" applyBorder="1"/>
    <xf numFmtId="0" fontId="24" fillId="0" borderId="68" xfId="78" applyFont="1" applyFill="1" applyBorder="1" applyAlignment="1">
      <alignment vertical="center" readingOrder="2"/>
    </xf>
    <xf numFmtId="0" fontId="24" fillId="0" borderId="69" xfId="78" applyFont="1" applyFill="1" applyBorder="1" applyAlignment="1">
      <alignment vertical="center" readingOrder="2"/>
    </xf>
    <xf numFmtId="0" fontId="24" fillId="0" borderId="72" xfId="78" applyFont="1" applyFill="1" applyBorder="1" applyAlignment="1">
      <alignment vertical="center" readingOrder="2"/>
    </xf>
    <xf numFmtId="0" fontId="40" fillId="0" borderId="7" xfId="180" applyFont="1" applyFill="1" applyBorder="1" applyAlignment="1">
      <alignment horizontal="left" vertical="center" wrapText="1"/>
    </xf>
    <xf numFmtId="0" fontId="24" fillId="0" borderId="6" xfId="180" applyFont="1" applyFill="1" applyBorder="1" applyAlignment="1">
      <alignment horizontal="left" vertical="center"/>
    </xf>
    <xf numFmtId="0" fontId="41" fillId="0" borderId="1" xfId="0" applyFont="1" applyFill="1" applyBorder="1" applyAlignment="1">
      <alignment vertical="top" wrapText="1"/>
    </xf>
    <xf numFmtId="0" fontId="41" fillId="0" borderId="398" xfId="0" applyFont="1" applyFill="1" applyBorder="1" applyAlignment="1"/>
    <xf numFmtId="0" fontId="24" fillId="0" borderId="12" xfId="4" applyFont="1" applyFill="1" applyBorder="1" applyAlignment="1">
      <alignment horizontal="center" vertical="top" wrapText="1"/>
    </xf>
    <xf numFmtId="0" fontId="24" fillId="0" borderId="13" xfId="4" applyFont="1" applyFill="1" applyBorder="1" applyAlignment="1">
      <alignment horizontal="center" vertical="top" wrapText="1"/>
    </xf>
    <xf numFmtId="0" fontId="24" fillId="0" borderId="0" xfId="0" applyFont="1" applyBorder="1"/>
    <xf numFmtId="0" fontId="41" fillId="0" borderId="0" xfId="180" applyFont="1" applyFill="1" applyBorder="1" applyAlignment="1">
      <alignment horizontal="right" vertical="top" wrapText="1"/>
    </xf>
    <xf numFmtId="0" fontId="31" fillId="0" borderId="0" xfId="180" applyFont="1" applyFill="1" applyBorder="1" applyAlignment="1">
      <alignment horizontal="center" wrapText="1"/>
    </xf>
    <xf numFmtId="0" fontId="67" fillId="0" borderId="0" xfId="180" applyFont="1" applyFill="1" applyBorder="1" applyAlignment="1">
      <alignment vertical="top" wrapText="1"/>
    </xf>
    <xf numFmtId="0" fontId="41" fillId="0" borderId="267" xfId="180" applyFont="1" applyFill="1" applyBorder="1" applyAlignment="1">
      <alignment horizontal="left" vertical="center"/>
    </xf>
    <xf numFmtId="0" fontId="40" fillId="39" borderId="0" xfId="78" applyFont="1" applyFill="1" applyAlignment="1">
      <alignment horizontal="center" readingOrder="2"/>
    </xf>
    <xf numFmtId="0" fontId="25" fillId="18" borderId="14" xfId="78" applyFont="1" applyFill="1" applyBorder="1" applyAlignment="1">
      <alignment horizontal="center" vertical="center" wrapText="1"/>
    </xf>
    <xf numFmtId="0" fontId="40" fillId="39" borderId="0" xfId="78" applyNumberFormat="1" applyFont="1" applyFill="1" applyBorder="1" applyAlignment="1">
      <alignment horizontal="left"/>
    </xf>
    <xf numFmtId="0" fontId="24" fillId="0" borderId="14" xfId="2" applyFont="1" applyBorder="1" applyAlignment="1">
      <alignment vertical="center"/>
    </xf>
    <xf numFmtId="0" fontId="21" fillId="0" borderId="6" xfId="3" applyFont="1" applyFill="1" applyBorder="1" applyAlignment="1">
      <alignment horizontal="left" vertical="center"/>
    </xf>
    <xf numFmtId="0" fontId="40" fillId="0" borderId="74" xfId="2" applyFont="1" applyFill="1" applyBorder="1" applyAlignment="1">
      <alignment horizontal="left" vertical="center"/>
    </xf>
    <xf numFmtId="0" fontId="24" fillId="0" borderId="403" xfId="2" applyFont="1" applyBorder="1" applyAlignment="1"/>
    <xf numFmtId="0" fontId="24" fillId="0" borderId="21" xfId="2" applyFont="1" applyBorder="1" applyAlignment="1"/>
    <xf numFmtId="0" fontId="41" fillId="0" borderId="403" xfId="2" applyFont="1" applyBorder="1" applyAlignment="1"/>
    <xf numFmtId="0" fontId="24" fillId="0" borderId="22" xfId="2" applyFont="1" applyBorder="1" applyAlignment="1"/>
    <xf numFmtId="0" fontId="24" fillId="0" borderId="341" xfId="2" applyFont="1" applyBorder="1" applyAlignment="1"/>
    <xf numFmtId="0" fontId="24" fillId="0" borderId="404" xfId="2" applyFont="1" applyBorder="1" applyAlignment="1"/>
    <xf numFmtId="0" fontId="24" fillId="0" borderId="12" xfId="2" applyFont="1" applyFill="1" applyBorder="1" applyAlignment="1"/>
    <xf numFmtId="0" fontId="24" fillId="0" borderId="49" xfId="2" applyFont="1" applyFill="1" applyBorder="1" applyAlignment="1">
      <alignment horizontal="left" vertical="center"/>
    </xf>
    <xf numFmtId="0" fontId="20" fillId="0" borderId="0" xfId="0" applyFont="1" applyFill="1" applyBorder="1" applyAlignment="1" applyProtection="1">
      <alignment horizontal="left" readingOrder="1"/>
      <protection locked="0"/>
    </xf>
    <xf numFmtId="0" fontId="41" fillId="0" borderId="260" xfId="180" applyFont="1" applyFill="1" applyBorder="1" applyAlignment="1">
      <alignment horizontal="left" vertical="center"/>
    </xf>
    <xf numFmtId="0" fontId="127" fillId="0" borderId="0" xfId="180" applyFont="1" applyBorder="1" applyAlignment="1">
      <alignment horizontal="center" wrapText="1"/>
    </xf>
    <xf numFmtId="0" fontId="127" fillId="0" borderId="2" xfId="180" applyFont="1" applyBorder="1" applyAlignment="1">
      <alignment horizontal="center" wrapText="1"/>
    </xf>
    <xf numFmtId="0" fontId="24" fillId="0" borderId="2" xfId="180" applyFont="1" applyFill="1" applyBorder="1" applyAlignment="1">
      <alignment horizontal="center"/>
    </xf>
    <xf numFmtId="165" fontId="24" fillId="0" borderId="52" xfId="180" applyNumberFormat="1" applyFont="1" applyBorder="1" applyAlignment="1">
      <alignment horizontal="center"/>
    </xf>
    <xf numFmtId="0" fontId="24" fillId="0" borderId="178" xfId="180" applyFont="1" applyBorder="1" applyAlignment="1">
      <alignment horizontal="center"/>
    </xf>
    <xf numFmtId="165" fontId="24" fillId="0" borderId="165" xfId="180" applyNumberFormat="1" applyFont="1" applyFill="1" applyBorder="1" applyAlignment="1"/>
    <xf numFmtId="165" fontId="24" fillId="22" borderId="107" xfId="180" applyNumberFormat="1" applyFont="1" applyFill="1" applyBorder="1" applyAlignment="1"/>
    <xf numFmtId="165" fontId="24" fillId="0" borderId="107" xfId="180" applyNumberFormat="1" applyFont="1" applyFill="1" applyBorder="1" applyAlignment="1"/>
    <xf numFmtId="165" fontId="24" fillId="22" borderId="160" xfId="180" applyNumberFormat="1" applyFont="1" applyFill="1" applyBorder="1" applyAlignment="1"/>
    <xf numFmtId="0" fontId="17" fillId="0" borderId="21" xfId="180" applyFill="1" applyBorder="1"/>
    <xf numFmtId="0" fontId="41" fillId="0" borderId="415" xfId="180" applyFont="1" applyFill="1" applyBorder="1" applyAlignment="1">
      <alignment horizontal="center" vertical="top" wrapText="1"/>
    </xf>
    <xf numFmtId="0" fontId="41" fillId="0" borderId="425" xfId="180" applyFont="1" applyFill="1" applyBorder="1" applyAlignment="1">
      <alignment horizontal="center" vertical="top" wrapText="1"/>
    </xf>
    <xf numFmtId="0" fontId="41" fillId="9" borderId="260" xfId="180" applyFont="1" applyFill="1" applyBorder="1" applyAlignment="1">
      <alignment horizontal="left" vertical="center"/>
    </xf>
    <xf numFmtId="0" fontId="41" fillId="9" borderId="0" xfId="180" applyFont="1" applyFill="1" applyBorder="1" applyAlignment="1">
      <alignment horizontal="left"/>
    </xf>
    <xf numFmtId="0" fontId="17" fillId="0" borderId="239" xfId="0" applyFont="1" applyFill="1" applyBorder="1" applyAlignment="1" applyProtection="1">
      <alignment horizontal="center" wrapText="1" readingOrder="1"/>
      <protection locked="0"/>
    </xf>
    <xf numFmtId="0" fontId="17" fillId="0" borderId="111" xfId="0" applyFont="1" applyFill="1" applyBorder="1" applyAlignment="1" applyProtection="1">
      <alignment horizontal="center" wrapText="1" readingOrder="1"/>
      <protection locked="0"/>
    </xf>
    <xf numFmtId="0" fontId="19" fillId="0" borderId="111" xfId="0" applyFont="1" applyFill="1" applyBorder="1" applyAlignment="1" applyProtection="1">
      <alignment wrapText="1" readingOrder="1"/>
      <protection locked="0"/>
    </xf>
    <xf numFmtId="0" fontId="19" fillId="0" borderId="240" xfId="0" applyFont="1" applyFill="1" applyBorder="1" applyAlignment="1" applyProtection="1">
      <alignment wrapText="1" readingOrder="1"/>
      <protection locked="0"/>
    </xf>
    <xf numFmtId="0" fontId="17" fillId="0" borderId="5" xfId="0" applyFont="1" applyFill="1" applyBorder="1" applyAlignment="1" applyProtection="1">
      <alignment horizontal="center" wrapText="1" readingOrder="1"/>
      <protection locked="0"/>
    </xf>
    <xf numFmtId="0" fontId="17" fillId="0" borderId="7" xfId="0" applyFont="1" applyFill="1" applyBorder="1" applyAlignment="1" applyProtection="1">
      <alignment horizontal="center" wrapText="1" readingOrder="1"/>
      <protection locked="0"/>
    </xf>
    <xf numFmtId="0" fontId="19" fillId="0" borderId="6" xfId="0" applyFont="1" applyFill="1" applyBorder="1" applyAlignment="1" applyProtection="1">
      <alignment wrapText="1" readingOrder="1"/>
      <protection locked="0"/>
    </xf>
    <xf numFmtId="0" fontId="41" fillId="0" borderId="260" xfId="180" applyFont="1" applyBorder="1" applyAlignment="1">
      <alignment horizontal="left"/>
    </xf>
    <xf numFmtId="0" fontId="41" fillId="0" borderId="400" xfId="180" applyFont="1" applyBorder="1" applyAlignment="1">
      <alignment horizontal="center" shrinkToFit="1"/>
    </xf>
    <xf numFmtId="0" fontId="41" fillId="0" borderId="400" xfId="180" applyFont="1" applyFill="1" applyBorder="1" applyAlignment="1">
      <alignment horizontal="center" vertical="center" shrinkToFit="1"/>
    </xf>
    <xf numFmtId="0" fontId="41" fillId="9" borderId="400" xfId="180" applyFont="1" applyFill="1" applyBorder="1" applyAlignment="1">
      <alignment horizontal="center" vertical="center" shrinkToFit="1"/>
    </xf>
    <xf numFmtId="0" fontId="41" fillId="9" borderId="363" xfId="180" applyFont="1" applyFill="1" applyBorder="1" applyAlignment="1">
      <alignment horizontal="center"/>
    </xf>
    <xf numFmtId="0" fontId="127" fillId="0" borderId="1" xfId="180" applyFont="1" applyBorder="1" applyAlignment="1">
      <alignment horizontal="center" wrapText="1"/>
    </xf>
    <xf numFmtId="0" fontId="31" fillId="9" borderId="1" xfId="180" applyFont="1" applyFill="1" applyBorder="1" applyAlignment="1">
      <alignment vertical="top" wrapText="1"/>
    </xf>
    <xf numFmtId="0" fontId="31" fillId="9" borderId="426" xfId="180" applyFont="1" applyFill="1" applyBorder="1" applyAlignment="1">
      <alignment vertical="top" wrapText="1"/>
    </xf>
    <xf numFmtId="0" fontId="41" fillId="0" borderId="260" xfId="180" applyFont="1" applyBorder="1" applyAlignment="1">
      <alignment horizontal="left" wrapText="1"/>
    </xf>
    <xf numFmtId="0" fontId="41" fillId="0" borderId="400" xfId="180" applyFont="1" applyBorder="1" applyAlignment="1">
      <alignment horizontal="center" wrapText="1" shrinkToFit="1"/>
    </xf>
    <xf numFmtId="0" fontId="127" fillId="0" borderId="2" xfId="180" applyFont="1" applyBorder="1" applyAlignment="1">
      <alignment vertical="center"/>
    </xf>
    <xf numFmtId="0" fontId="24" fillId="0" borderId="72" xfId="180" applyFont="1" applyFill="1" applyBorder="1" applyAlignment="1">
      <alignment horizontal="center" vertical="center"/>
    </xf>
    <xf numFmtId="0" fontId="24" fillId="0" borderId="69" xfId="180" applyFont="1" applyFill="1" applyBorder="1"/>
    <xf numFmtId="0" fontId="40" fillId="6" borderId="0" xfId="180" applyFont="1" applyFill="1"/>
    <xf numFmtId="0" fontId="32" fillId="6" borderId="97" xfId="180" applyFont="1" applyFill="1" applyBorder="1" applyAlignment="1">
      <alignment vertical="top"/>
    </xf>
    <xf numFmtId="0" fontId="24" fillId="6" borderId="97" xfId="180" applyFont="1" applyFill="1" applyBorder="1" applyAlignment="1">
      <alignment horizontal="right" vertical="top"/>
    </xf>
    <xf numFmtId="0" fontId="24" fillId="6" borderId="97" xfId="180" applyFont="1" applyFill="1" applyBorder="1"/>
    <xf numFmtId="0" fontId="100" fillId="6" borderId="0" xfId="177" applyFont="1" applyFill="1"/>
    <xf numFmtId="0" fontId="19" fillId="6" borderId="0" xfId="15" applyFont="1" applyFill="1" applyBorder="1" applyAlignment="1">
      <alignment horizontal="left" vertical="top" wrapText="1"/>
    </xf>
    <xf numFmtId="0" fontId="31" fillId="6" borderId="0" xfId="15" applyFont="1" applyFill="1" applyBorder="1" applyAlignment="1">
      <alignment horizontal="right" vertical="top" wrapText="1"/>
    </xf>
    <xf numFmtId="0" fontId="31" fillId="6" borderId="0" xfId="15" applyFont="1" applyFill="1" applyBorder="1" applyAlignment="1">
      <alignment vertical="top" wrapText="1"/>
    </xf>
    <xf numFmtId="0" fontId="99" fillId="6" borderId="0" xfId="177" applyFont="1" applyFill="1"/>
    <xf numFmtId="2" fontId="99" fillId="6" borderId="0" xfId="177" applyNumberFormat="1" applyFont="1" applyFill="1" applyAlignment="1">
      <alignment horizontal="left"/>
    </xf>
    <xf numFmtId="0" fontId="117" fillId="6" borderId="0" xfId="177" applyFont="1" applyFill="1"/>
    <xf numFmtId="0" fontId="31" fillId="6" borderId="27" xfId="15" applyFont="1" applyFill="1" applyBorder="1" applyAlignment="1">
      <alignment horizontal="left" vertical="top" wrapText="1"/>
    </xf>
    <xf numFmtId="0" fontId="31" fillId="6" borderId="28" xfId="15" applyFont="1" applyFill="1" applyBorder="1" applyAlignment="1">
      <alignment horizontal="left" vertical="top" wrapText="1"/>
    </xf>
    <xf numFmtId="0" fontId="31" fillId="6" borderId="29" xfId="15" applyFont="1" applyFill="1" applyBorder="1" applyAlignment="1">
      <alignment vertical="top" wrapText="1"/>
    </xf>
    <xf numFmtId="0" fontId="98" fillId="6" borderId="10" xfId="177" applyFont="1" applyFill="1" applyBorder="1"/>
    <xf numFmtId="0" fontId="98" fillId="6" borderId="8" xfId="177" applyFont="1" applyFill="1" applyBorder="1"/>
    <xf numFmtId="0" fontId="98" fillId="6" borderId="9" xfId="177" applyFont="1" applyFill="1" applyBorder="1"/>
    <xf numFmtId="0" fontId="25" fillId="6" borderId="239" xfId="2" applyFont="1" applyFill="1" applyBorder="1" applyAlignment="1">
      <alignment vertical="top"/>
    </xf>
    <xf numFmtId="0" fontId="25" fillId="6" borderId="242" xfId="91" applyFont="1" applyFill="1" applyBorder="1" applyAlignment="1"/>
    <xf numFmtId="0" fontId="25" fillId="6" borderId="240" xfId="91" applyFont="1" applyFill="1" applyBorder="1" applyAlignment="1"/>
    <xf numFmtId="0" fontId="25" fillId="6" borderId="1" xfId="2" applyFont="1" applyFill="1" applyBorder="1" applyAlignment="1"/>
    <xf numFmtId="0" fontId="25" fillId="6" borderId="0" xfId="91" applyFont="1" applyFill="1" applyBorder="1" applyAlignment="1"/>
    <xf numFmtId="0" fontId="25" fillId="6" borderId="2" xfId="91" applyFont="1" applyFill="1" applyBorder="1" applyAlignment="1"/>
    <xf numFmtId="0" fontId="24" fillId="6" borderId="10" xfId="91" applyFont="1" applyFill="1" applyBorder="1" applyAlignment="1">
      <alignment vertical="top"/>
    </xf>
    <xf numFmtId="0" fontId="24" fillId="6" borderId="8" xfId="91" applyFont="1" applyFill="1" applyBorder="1" applyAlignment="1">
      <alignment vertical="top"/>
    </xf>
    <xf numFmtId="0" fontId="24" fillId="6" borderId="37" xfId="91" applyFont="1" applyFill="1" applyBorder="1" applyAlignment="1">
      <alignment vertical="top"/>
    </xf>
    <xf numFmtId="0" fontId="24" fillId="6" borderId="9" xfId="91" applyFont="1" applyFill="1" applyBorder="1" applyAlignment="1">
      <alignment vertical="top"/>
    </xf>
    <xf numFmtId="0" fontId="67" fillId="6" borderId="38" xfId="91" applyFont="1" applyFill="1" applyBorder="1" applyAlignment="1">
      <alignment horizontal="left" vertical="top"/>
    </xf>
    <xf numFmtId="0" fontId="67" fillId="6" borderId="39" xfId="91" applyFont="1" applyFill="1" applyBorder="1" applyAlignment="1">
      <alignment horizontal="left" vertical="top"/>
    </xf>
    <xf numFmtId="0" fontId="25" fillId="6" borderId="40" xfId="91" applyFont="1" applyFill="1" applyBorder="1" applyAlignment="1">
      <alignment horizontal="left" vertical="top"/>
    </xf>
    <xf numFmtId="0" fontId="25" fillId="6" borderId="38" xfId="91" applyFont="1" applyFill="1" applyBorder="1" applyAlignment="1">
      <alignment horizontal="left" vertical="top"/>
    </xf>
    <xf numFmtId="0" fontId="25" fillId="6" borderId="39" xfId="91" applyFont="1" applyFill="1" applyBorder="1" applyAlignment="1">
      <alignment horizontal="left" vertical="top"/>
    </xf>
    <xf numFmtId="0" fontId="24" fillId="6" borderId="9" xfId="78" applyFont="1" applyFill="1" applyBorder="1"/>
    <xf numFmtId="0" fontId="24" fillId="6" borderId="84" xfId="78" applyFont="1" applyFill="1" applyBorder="1" applyAlignment="1">
      <alignment horizontal="center" vertical="center" readingOrder="2"/>
    </xf>
    <xf numFmtId="0" fontId="24" fillId="6" borderId="66" xfId="78" applyFont="1" applyFill="1" applyBorder="1"/>
    <xf numFmtId="0" fontId="24" fillId="6" borderId="27" xfId="78" applyFont="1" applyFill="1" applyBorder="1" applyAlignment="1">
      <alignment horizontal="center" vertical="center" readingOrder="2"/>
    </xf>
    <xf numFmtId="0" fontId="24" fillId="6" borderId="43" xfId="78" applyFont="1" applyFill="1" applyBorder="1" applyAlignment="1">
      <alignment vertical="center"/>
    </xf>
    <xf numFmtId="0" fontId="24" fillId="6" borderId="101" xfId="78" applyFont="1" applyFill="1" applyBorder="1" applyAlignment="1">
      <alignment vertical="center"/>
    </xf>
    <xf numFmtId="0" fontId="24" fillId="6" borderId="29" xfId="78" applyFont="1" applyFill="1" applyBorder="1" applyAlignment="1">
      <alignment horizontal="center" vertical="center" readingOrder="2"/>
    </xf>
    <xf numFmtId="0" fontId="24" fillId="6" borderId="103" xfId="78" applyFont="1" applyFill="1" applyBorder="1" applyAlignment="1">
      <alignment horizontal="center" vertical="center"/>
    </xf>
    <xf numFmtId="0" fontId="24" fillId="6" borderId="14" xfId="78" applyFont="1" applyFill="1" applyBorder="1"/>
    <xf numFmtId="0" fontId="24" fillId="6" borderId="12" xfId="78" applyFont="1" applyFill="1" applyBorder="1"/>
    <xf numFmtId="0" fontId="24" fillId="6" borderId="10" xfId="78" applyFont="1" applyFill="1" applyBorder="1"/>
    <xf numFmtId="0" fontId="25" fillId="6" borderId="146" xfId="78" applyFont="1" applyFill="1" applyBorder="1" applyAlignment="1">
      <alignment horizontal="center" vertical="center"/>
    </xf>
    <xf numFmtId="0" fontId="25" fillId="6" borderId="103" xfId="78" applyFont="1" applyFill="1" applyBorder="1" applyAlignment="1">
      <alignment horizontal="center" vertical="center"/>
    </xf>
    <xf numFmtId="0" fontId="24" fillId="6" borderId="42" xfId="4" applyFont="1" applyFill="1" applyBorder="1" applyAlignment="1">
      <alignment horizontal="center" vertical="center" wrapText="1"/>
    </xf>
    <xf numFmtId="0" fontId="24" fillId="6" borderId="37" xfId="4" applyFont="1" applyFill="1" applyBorder="1" applyAlignment="1">
      <alignment horizontal="center" vertical="center" wrapText="1"/>
    </xf>
    <xf numFmtId="0" fontId="25" fillId="0" borderId="68" xfId="180" applyFont="1" applyFill="1" applyBorder="1" applyAlignment="1">
      <alignment horizontal="center" vertical="center"/>
    </xf>
    <xf numFmtId="0" fontId="24" fillId="0" borderId="418" xfId="180" applyFont="1" applyFill="1" applyBorder="1"/>
    <xf numFmtId="0" fontId="24" fillId="0" borderId="84" xfId="180" applyFont="1" applyFill="1" applyBorder="1" applyAlignment="1">
      <alignment vertical="center"/>
    </xf>
    <xf numFmtId="0" fontId="41" fillId="0" borderId="406" xfId="180" applyFont="1" applyFill="1" applyBorder="1" applyAlignment="1">
      <alignment horizontal="center"/>
    </xf>
    <xf numFmtId="0" fontId="111" fillId="0" borderId="410" xfId="180" applyFont="1" applyFill="1" applyBorder="1" applyAlignment="1">
      <alignment horizontal="center" vertical="top"/>
    </xf>
    <xf numFmtId="0" fontId="41" fillId="0" borderId="429" xfId="180" applyFont="1" applyFill="1" applyBorder="1" applyAlignment="1">
      <alignment horizontal="left" vertical="center"/>
    </xf>
    <xf numFmtId="0" fontId="41" fillId="0" borderId="420" xfId="0" applyFont="1" applyFill="1" applyBorder="1" applyAlignment="1"/>
    <xf numFmtId="0" fontId="30" fillId="6" borderId="15" xfId="15" applyFont="1" applyFill="1" applyBorder="1" applyAlignment="1">
      <alignment horizontal="right" vertical="center" wrapText="1"/>
    </xf>
    <xf numFmtId="0" fontId="24" fillId="46" borderId="10" xfId="2" applyFont="1" applyFill="1" applyBorder="1" applyAlignment="1"/>
    <xf numFmtId="0" fontId="24" fillId="46" borderId="9" xfId="2" applyFont="1" applyFill="1" applyBorder="1" applyAlignment="1"/>
    <xf numFmtId="0" fontId="32" fillId="0" borderId="27" xfId="78" applyNumberFormat="1" applyFont="1" applyFill="1" applyBorder="1" applyAlignment="1">
      <alignment horizontal="center" vertical="center" readingOrder="2"/>
    </xf>
    <xf numFmtId="0" fontId="67" fillId="13" borderId="28" xfId="180" applyFont="1" applyFill="1" applyBorder="1" applyAlignment="1">
      <alignment horizontal="center" vertical="center"/>
    </xf>
    <xf numFmtId="0" fontId="41" fillId="0" borderId="0" xfId="180" applyFont="1" applyFill="1" applyBorder="1" applyAlignment="1">
      <alignment horizontal="left" vertical="center"/>
    </xf>
    <xf numFmtId="0" fontId="41" fillId="0" borderId="0" xfId="180" applyFont="1" applyFill="1" applyBorder="1" applyAlignment="1">
      <alignment horizontal="left" vertical="center" wrapText="1"/>
    </xf>
    <xf numFmtId="0" fontId="41" fillId="0" borderId="0" xfId="15" applyFont="1" applyFill="1" applyBorder="1" applyAlignment="1">
      <alignment horizontal="left" vertical="center" wrapText="1"/>
    </xf>
    <xf numFmtId="0" fontId="67" fillId="13" borderId="73" xfId="180" applyFont="1" applyFill="1" applyBorder="1" applyAlignment="1">
      <alignment horizontal="center" vertical="center"/>
    </xf>
    <xf numFmtId="0" fontId="96" fillId="40" borderId="239" xfId="0" applyFont="1" applyFill="1" applyBorder="1" applyAlignment="1" applyProtection="1">
      <alignment horizontal="center" vertical="center" readingOrder="1"/>
      <protection locked="0"/>
    </xf>
    <xf numFmtId="0" fontId="96" fillId="0" borderId="111" xfId="0" applyFont="1" applyFill="1" applyBorder="1" applyAlignment="1" applyProtection="1">
      <alignment horizontal="center" vertical="center" readingOrder="1"/>
      <protection locked="0"/>
    </xf>
    <xf numFmtId="0" fontId="96" fillId="0" borderId="112" xfId="0" applyFont="1" applyFill="1" applyBorder="1" applyAlignment="1" applyProtection="1">
      <alignment horizontal="center" vertical="center" readingOrder="1"/>
      <protection locked="0"/>
    </xf>
    <xf numFmtId="0" fontId="96" fillId="0" borderId="1" xfId="0" applyFont="1" applyFill="1" applyBorder="1" applyAlignment="1" applyProtection="1">
      <alignment horizontal="center" vertical="center" readingOrder="1"/>
      <protection locked="0"/>
    </xf>
    <xf numFmtId="0" fontId="96" fillId="0" borderId="0" xfId="0" applyFont="1" applyFill="1" applyBorder="1" applyAlignment="1" applyProtection="1">
      <alignment horizontal="center" vertical="center" readingOrder="1"/>
      <protection locked="0"/>
    </xf>
    <xf numFmtId="0" fontId="96" fillId="0" borderId="2" xfId="0" applyFont="1" applyFill="1" applyBorder="1" applyAlignment="1" applyProtection="1">
      <alignment horizontal="center" vertical="center" readingOrder="1"/>
      <protection locked="0"/>
    </xf>
    <xf numFmtId="0" fontId="19" fillId="0" borderId="17" xfId="0" applyFont="1" applyFill="1" applyBorder="1" applyAlignment="1" applyProtection="1">
      <alignment horizontal="center" readingOrder="1"/>
      <protection locked="0"/>
    </xf>
    <xf numFmtId="0" fontId="20" fillId="0" borderId="0" xfId="0" applyFont="1" applyFill="1" applyBorder="1" applyAlignment="1" applyProtection="1">
      <alignment horizontal="left" readingOrder="1"/>
      <protection locked="0"/>
    </xf>
    <xf numFmtId="0" fontId="19" fillId="0" borderId="0" xfId="0" applyFont="1" applyFill="1" applyBorder="1" applyAlignment="1" applyProtection="1">
      <alignment horizontal="right" readingOrder="1"/>
      <protection locked="0"/>
    </xf>
    <xf numFmtId="0" fontId="19" fillId="0" borderId="2" xfId="0" applyFont="1" applyFill="1" applyBorder="1" applyAlignment="1" applyProtection="1">
      <alignment horizontal="right" readingOrder="1"/>
      <protection locked="0"/>
    </xf>
    <xf numFmtId="0" fontId="20" fillId="0" borderId="0" xfId="0" applyFont="1" applyFill="1" applyBorder="1" applyAlignment="1" applyProtection="1">
      <alignment horizontal="left" wrapText="1" readingOrder="1"/>
      <protection locked="0"/>
    </xf>
    <xf numFmtId="0" fontId="19" fillId="0" borderId="1" xfId="0" applyFont="1" applyFill="1" applyBorder="1" applyAlignment="1" applyProtection="1">
      <alignment horizontal="right" readingOrder="1"/>
      <protection locked="0"/>
    </xf>
    <xf numFmtId="0" fontId="32" fillId="0" borderId="1" xfId="0" applyFont="1" applyFill="1" applyBorder="1" applyAlignment="1" applyProtection="1">
      <alignment horizontal="right" vertical="center" readingOrder="1"/>
      <protection locked="0"/>
    </xf>
    <xf numFmtId="0" fontId="32" fillId="0" borderId="0" xfId="0" applyFont="1" applyFill="1" applyBorder="1" applyAlignment="1" applyProtection="1">
      <alignment horizontal="right" vertical="center" readingOrder="1"/>
      <protection locked="0"/>
    </xf>
    <xf numFmtId="0" fontId="32" fillId="0" borderId="2" xfId="0" applyFont="1" applyFill="1" applyBorder="1" applyAlignment="1" applyProtection="1">
      <alignment horizontal="right" vertical="center" readingOrder="1"/>
      <protection locked="0"/>
    </xf>
    <xf numFmtId="0" fontId="32" fillId="0" borderId="5" xfId="0" applyFont="1" applyFill="1" applyBorder="1" applyAlignment="1" applyProtection="1">
      <alignment horizontal="right" vertical="center" readingOrder="1"/>
      <protection locked="0"/>
    </xf>
    <xf numFmtId="0" fontId="32" fillId="0" borderId="6" xfId="0" applyFont="1" applyFill="1" applyBorder="1" applyAlignment="1" applyProtection="1">
      <alignment horizontal="right" vertical="center" readingOrder="1"/>
      <protection locked="0"/>
    </xf>
    <xf numFmtId="0" fontId="32" fillId="0" borderId="7" xfId="0" applyFont="1" applyFill="1" applyBorder="1" applyAlignment="1" applyProtection="1">
      <alignment horizontal="right" vertical="center" readingOrder="1"/>
      <protection locked="0"/>
    </xf>
    <xf numFmtId="0" fontId="118" fillId="0" borderId="0" xfId="0" applyFont="1" applyFill="1" applyBorder="1" applyAlignment="1" applyProtection="1">
      <alignment horizontal="left" readingOrder="1"/>
      <protection locked="0"/>
    </xf>
    <xf numFmtId="0" fontId="40" fillId="0" borderId="1" xfId="0" applyFont="1" applyFill="1" applyBorder="1" applyAlignment="1" applyProtection="1">
      <alignment horizontal="center" wrapText="1" readingOrder="1"/>
      <protection locked="0"/>
    </xf>
    <xf numFmtId="0" fontId="40" fillId="0" borderId="0" xfId="0" applyFont="1" applyFill="1" applyBorder="1" applyAlignment="1" applyProtection="1">
      <alignment horizontal="center" wrapText="1" readingOrder="1"/>
      <protection locked="0"/>
    </xf>
    <xf numFmtId="0" fontId="40" fillId="0" borderId="0" xfId="0" applyFont="1" applyFill="1" applyBorder="1" applyAlignment="1" applyProtection="1">
      <alignment horizontal="right" vertical="center" wrapText="1" readingOrder="1"/>
      <protection locked="0"/>
    </xf>
    <xf numFmtId="0" fontId="40" fillId="0" borderId="6" xfId="0" applyFont="1" applyFill="1" applyBorder="1" applyAlignment="1" applyProtection="1">
      <alignment horizontal="right" vertical="center" wrapText="1" readingOrder="1"/>
      <protection locked="0"/>
    </xf>
    <xf numFmtId="0" fontId="24" fillId="0" borderId="6" xfId="0" applyFont="1" applyFill="1" applyBorder="1" applyAlignment="1">
      <alignment horizontal="left"/>
    </xf>
    <xf numFmtId="0" fontId="24" fillId="0" borderId="0" xfId="0" applyFont="1" applyFill="1" applyBorder="1" applyAlignment="1">
      <alignment horizontal="left"/>
    </xf>
    <xf numFmtId="0" fontId="24" fillId="0" borderId="6" xfId="0" applyFont="1" applyFill="1" applyBorder="1" applyAlignment="1">
      <alignment horizontal="center"/>
    </xf>
    <xf numFmtId="0" fontId="24" fillId="0" borderId="0" xfId="0" applyFont="1" applyFill="1" applyBorder="1" applyAlignment="1">
      <alignment horizontal="center"/>
    </xf>
    <xf numFmtId="0" fontId="68" fillId="0" borderId="0" xfId="0" applyFont="1" applyFill="1" applyBorder="1" applyAlignment="1">
      <alignment horizontal="left"/>
    </xf>
    <xf numFmtId="0" fontId="38" fillId="4" borderId="343" xfId="0" applyFont="1" applyFill="1" applyBorder="1" applyAlignment="1">
      <alignment horizontal="center" vertical="center"/>
    </xf>
    <xf numFmtId="0" fontId="38" fillId="4" borderId="344" xfId="0" applyFont="1" applyFill="1" applyBorder="1" applyAlignment="1">
      <alignment horizontal="center" vertical="center"/>
    </xf>
    <xf numFmtId="0" fontId="38" fillId="4" borderId="345" xfId="0" applyFont="1" applyFill="1" applyBorder="1" applyAlignment="1">
      <alignment horizontal="center" vertical="center"/>
    </xf>
    <xf numFmtId="0" fontId="49" fillId="19" borderId="27" xfId="180" applyFont="1" applyFill="1" applyBorder="1" applyAlignment="1">
      <alignment horizontal="left"/>
    </xf>
    <xf numFmtId="0" fontId="49" fillId="19" borderId="28" xfId="180" applyFont="1" applyFill="1" applyBorder="1" applyAlignment="1">
      <alignment horizontal="left"/>
    </xf>
    <xf numFmtId="0" fontId="49" fillId="19" borderId="29" xfId="180" applyFont="1" applyFill="1" applyBorder="1" applyAlignment="1">
      <alignment horizontal="left"/>
    </xf>
    <xf numFmtId="0" fontId="49" fillId="13" borderId="10" xfId="180" applyFont="1" applyFill="1" applyBorder="1" applyAlignment="1">
      <alignment horizontal="center" vertical="center" wrapText="1"/>
    </xf>
    <xf numFmtId="0" fontId="49" fillId="13" borderId="8" xfId="180" applyFont="1" applyFill="1" applyBorder="1" applyAlignment="1">
      <alignment horizontal="center" vertical="center" wrapText="1"/>
    </xf>
    <xf numFmtId="0" fontId="49" fillId="13" borderId="9" xfId="180" applyFont="1" applyFill="1" applyBorder="1" applyAlignment="1">
      <alignment horizontal="center" vertical="center" wrapText="1"/>
    </xf>
    <xf numFmtId="0" fontId="49" fillId="13" borderId="375" xfId="180" applyFont="1" applyFill="1" applyBorder="1" applyAlignment="1">
      <alignment horizontal="center" vertical="center" wrapText="1"/>
    </xf>
    <xf numFmtId="0" fontId="25" fillId="13" borderId="10" xfId="180" applyFont="1" applyFill="1" applyBorder="1" applyAlignment="1">
      <alignment horizontal="center" vertical="center"/>
    </xf>
    <xf numFmtId="0" fontId="25" fillId="13" borderId="8" xfId="180" applyFont="1" applyFill="1" applyBorder="1" applyAlignment="1">
      <alignment horizontal="center" vertical="center"/>
    </xf>
    <xf numFmtId="0" fontId="25" fillId="13" borderId="9" xfId="180" applyFont="1" applyFill="1" applyBorder="1" applyAlignment="1">
      <alignment horizontal="center" vertical="center"/>
    </xf>
    <xf numFmtId="0" fontId="25" fillId="0" borderId="242" xfId="180" applyFont="1" applyFill="1" applyBorder="1" applyAlignment="1">
      <alignment horizontal="left" vertical="top" wrapText="1"/>
    </xf>
    <xf numFmtId="0" fontId="25" fillId="0" borderId="111" xfId="180" applyFont="1" applyFill="1" applyBorder="1" applyAlignment="1">
      <alignment horizontal="left" vertical="top" wrapText="1"/>
    </xf>
    <xf numFmtId="0" fontId="25" fillId="0" borderId="112" xfId="180" applyFont="1" applyFill="1" applyBorder="1" applyAlignment="1">
      <alignment horizontal="left" vertical="top" wrapText="1"/>
    </xf>
    <xf numFmtId="0" fontId="25" fillId="0" borderId="0" xfId="180" applyFont="1" applyFill="1" applyBorder="1" applyAlignment="1">
      <alignment horizontal="left" vertical="top" wrapText="1"/>
    </xf>
    <xf numFmtId="0" fontId="25" fillId="0" borderId="2" xfId="180" applyFont="1" applyFill="1" applyBorder="1" applyAlignment="1">
      <alignment horizontal="left" vertical="top" wrapText="1"/>
    </xf>
    <xf numFmtId="0" fontId="25" fillId="0" borderId="11" xfId="180" applyFont="1" applyFill="1" applyBorder="1" applyAlignment="1">
      <alignment horizontal="left" vertical="top" wrapText="1"/>
    </xf>
    <xf numFmtId="0" fontId="25" fillId="0" borderId="1" xfId="180" applyFont="1" applyFill="1" applyBorder="1" applyAlignment="1">
      <alignment horizontal="left" vertical="top" wrapText="1"/>
    </xf>
    <xf numFmtId="0" fontId="25" fillId="0" borderId="239" xfId="180" applyFont="1" applyFill="1" applyBorder="1" applyAlignment="1">
      <alignment horizontal="left" vertical="top" wrapText="1"/>
    </xf>
    <xf numFmtId="0" fontId="25" fillId="0" borderId="240" xfId="180" applyFont="1" applyFill="1" applyBorder="1" applyAlignment="1">
      <alignment horizontal="left" vertical="top" wrapText="1"/>
    </xf>
    <xf numFmtId="0" fontId="24" fillId="0" borderId="1" xfId="180" applyFont="1" applyFill="1" applyBorder="1" applyAlignment="1">
      <alignment horizontal="center" vertical="top" wrapText="1"/>
    </xf>
    <xf numFmtId="0" fontId="24" fillId="0" borderId="0" xfId="180" applyFont="1" applyFill="1" applyBorder="1" applyAlignment="1">
      <alignment horizontal="center" vertical="top" wrapText="1"/>
    </xf>
    <xf numFmtId="0" fontId="24" fillId="0" borderId="2" xfId="180" applyFont="1" applyFill="1" applyBorder="1" applyAlignment="1">
      <alignment horizontal="center" vertical="top" wrapText="1"/>
    </xf>
    <xf numFmtId="0" fontId="25" fillId="0" borderId="1" xfId="180" applyFont="1" applyFill="1" applyBorder="1" applyAlignment="1">
      <alignment vertical="top" wrapText="1"/>
    </xf>
    <xf numFmtId="0" fontId="25" fillId="0" borderId="0" xfId="180" applyFont="1" applyFill="1" applyBorder="1" applyAlignment="1">
      <alignment vertical="top" wrapText="1"/>
    </xf>
    <xf numFmtId="0" fontId="25" fillId="0" borderId="1" xfId="180" applyFont="1" applyFill="1" applyBorder="1" applyAlignment="1">
      <alignment wrapText="1"/>
    </xf>
    <xf numFmtId="0" fontId="25" fillId="0" borderId="0" xfId="180" applyFont="1" applyFill="1" applyBorder="1" applyAlignment="1">
      <alignment wrapText="1"/>
    </xf>
    <xf numFmtId="0" fontId="24" fillId="0" borderId="239" xfId="180" applyFont="1" applyFill="1" applyBorder="1" applyAlignment="1">
      <alignment horizontal="center" vertical="top" wrapText="1"/>
    </xf>
    <xf numFmtId="0" fontId="24" fillId="0" borderId="242" xfId="180" applyFont="1" applyFill="1" applyBorder="1" applyAlignment="1">
      <alignment horizontal="center" vertical="top" wrapText="1"/>
    </xf>
    <xf numFmtId="0" fontId="24" fillId="0" borderId="240" xfId="180" applyFont="1" applyFill="1" applyBorder="1" applyAlignment="1">
      <alignment horizontal="center" vertical="top" wrapText="1"/>
    </xf>
    <xf numFmtId="0" fontId="24" fillId="0" borderId="1" xfId="180" applyFont="1" applyFill="1" applyBorder="1" applyAlignment="1">
      <alignment horizontal="center" vertical="center" wrapText="1"/>
    </xf>
    <xf numFmtId="0" fontId="24" fillId="0" borderId="2" xfId="180" applyFont="1" applyFill="1" applyBorder="1" applyAlignment="1">
      <alignment horizontal="center" vertical="center" wrapText="1"/>
    </xf>
    <xf numFmtId="0" fontId="24" fillId="0" borderId="0" xfId="180" applyFont="1" applyFill="1" applyBorder="1" applyAlignment="1">
      <alignment horizontal="center" vertical="center" wrapText="1"/>
    </xf>
    <xf numFmtId="0" fontId="24" fillId="0" borderId="1" xfId="180" applyFont="1" applyBorder="1" applyAlignment="1">
      <alignment horizontal="center" wrapText="1"/>
    </xf>
    <xf numFmtId="0" fontId="24" fillId="0" borderId="2" xfId="180" applyFont="1" applyBorder="1" applyAlignment="1">
      <alignment horizontal="center" wrapText="1"/>
    </xf>
    <xf numFmtId="166" fontId="25" fillId="0" borderId="0" xfId="180" quotePrefix="1" applyNumberFormat="1" applyFont="1" applyFill="1" applyBorder="1" applyAlignment="1">
      <alignment horizontal="left" vertical="center"/>
    </xf>
    <xf numFmtId="0" fontId="49" fillId="0" borderId="2" xfId="180" applyFont="1" applyFill="1" applyBorder="1" applyAlignment="1">
      <alignment horizontal="left" vertical="center"/>
    </xf>
    <xf numFmtId="0" fontId="49" fillId="0" borderId="330" xfId="180" applyFont="1" applyFill="1" applyBorder="1" applyAlignment="1">
      <alignment horizontal="right" vertical="center"/>
    </xf>
    <xf numFmtId="0" fontId="49" fillId="0" borderId="156" xfId="180" applyFont="1" applyFill="1" applyBorder="1" applyAlignment="1">
      <alignment horizontal="right" vertical="center"/>
    </xf>
    <xf numFmtId="0" fontId="49" fillId="0" borderId="363" xfId="180" applyFont="1" applyFill="1" applyBorder="1" applyAlignment="1">
      <alignment horizontal="right" vertical="center"/>
    </xf>
    <xf numFmtId="0" fontId="49" fillId="42" borderId="5" xfId="180" applyFont="1" applyFill="1" applyBorder="1" applyAlignment="1">
      <alignment horizontal="center" vertical="center"/>
    </xf>
    <xf numFmtId="0" fontId="49" fillId="42" borderId="6" xfId="180" applyFont="1" applyFill="1" applyBorder="1" applyAlignment="1">
      <alignment horizontal="center" vertical="center"/>
    </xf>
    <xf numFmtId="2" fontId="49" fillId="42" borderId="5" xfId="180" applyNumberFormat="1" applyFont="1" applyFill="1" applyBorder="1" applyAlignment="1">
      <alignment horizontal="center" vertical="center"/>
    </xf>
    <xf numFmtId="2" fontId="49" fillId="42" borderId="6" xfId="180" applyNumberFormat="1" applyFont="1" applyFill="1" applyBorder="1" applyAlignment="1">
      <alignment horizontal="center" vertical="center"/>
    </xf>
    <xf numFmtId="2" fontId="49" fillId="42" borderId="7" xfId="180" applyNumberFormat="1" applyFont="1" applyFill="1" applyBorder="1" applyAlignment="1">
      <alignment horizontal="center" vertical="center"/>
    </xf>
    <xf numFmtId="0" fontId="49" fillId="0" borderId="332" xfId="180" applyFont="1" applyFill="1" applyBorder="1" applyAlignment="1">
      <alignment horizontal="right" vertical="center"/>
    </xf>
    <xf numFmtId="0" fontId="49" fillId="0" borderId="292" xfId="180" applyFont="1" applyFill="1" applyBorder="1" applyAlignment="1">
      <alignment horizontal="right" vertical="center"/>
    </xf>
    <xf numFmtId="2" fontId="49" fillId="13" borderId="8" xfId="180" applyNumberFormat="1" applyFont="1" applyFill="1" applyBorder="1" applyAlignment="1">
      <alignment horizontal="center" vertical="center"/>
    </xf>
    <xf numFmtId="2" fontId="49" fillId="13" borderId="9" xfId="180" applyNumberFormat="1" applyFont="1" applyFill="1" applyBorder="1" applyAlignment="1">
      <alignment horizontal="center" vertical="center"/>
    </xf>
    <xf numFmtId="2" fontId="49" fillId="13" borderId="10" xfId="180" applyNumberFormat="1" applyFont="1" applyFill="1" applyBorder="1" applyAlignment="1">
      <alignment horizontal="center" vertical="center" wrapText="1"/>
    </xf>
    <xf numFmtId="2" fontId="49" fillId="13" borderId="10" xfId="180" applyNumberFormat="1" applyFont="1" applyFill="1" applyBorder="1" applyAlignment="1">
      <alignment horizontal="center" vertical="center"/>
    </xf>
    <xf numFmtId="0" fontId="49" fillId="13" borderId="8" xfId="180" applyFont="1" applyFill="1" applyBorder="1" applyAlignment="1">
      <alignment horizontal="center" vertical="center"/>
    </xf>
    <xf numFmtId="0" fontId="49" fillId="13" borderId="9" xfId="180" applyFont="1" applyFill="1" applyBorder="1" applyAlignment="1">
      <alignment horizontal="center" vertical="center"/>
    </xf>
    <xf numFmtId="166" fontId="25" fillId="0" borderId="1" xfId="180" quotePrefix="1" applyNumberFormat="1" applyFont="1" applyFill="1" applyBorder="1" applyAlignment="1">
      <alignment horizontal="center" vertical="center" wrapText="1"/>
    </xf>
    <xf numFmtId="166" fontId="25" fillId="0" borderId="0" xfId="180" quotePrefix="1" applyNumberFormat="1" applyFont="1" applyFill="1" applyBorder="1" applyAlignment="1">
      <alignment horizontal="center" vertical="center" wrapText="1"/>
    </xf>
    <xf numFmtId="0" fontId="19" fillId="0" borderId="1" xfId="180" applyFont="1" applyFill="1" applyBorder="1" applyAlignment="1">
      <alignment horizontal="center" vertical="center" wrapText="1"/>
    </xf>
    <xf numFmtId="0" fontId="19" fillId="0" borderId="0" xfId="180" applyFont="1" applyFill="1" applyBorder="1" applyAlignment="1">
      <alignment horizontal="center" vertical="center" wrapText="1"/>
    </xf>
    <xf numFmtId="165" fontId="24" fillId="0" borderId="400" xfId="180" applyNumberFormat="1" applyFont="1" applyFill="1" applyBorder="1" applyAlignment="1">
      <alignment horizontal="center" vertical="center" wrapText="1"/>
    </xf>
    <xf numFmtId="0" fontId="24" fillId="0" borderId="1" xfId="180" applyFont="1" applyFill="1" applyBorder="1" applyAlignment="1">
      <alignment horizontal="center" wrapText="1"/>
    </xf>
    <xf numFmtId="0" fontId="24" fillId="0" borderId="2" xfId="180" applyFont="1" applyFill="1" applyBorder="1" applyAlignment="1">
      <alignment horizontal="center" wrapText="1"/>
    </xf>
    <xf numFmtId="2" fontId="49" fillId="42" borderId="26" xfId="180" applyNumberFormat="1" applyFont="1" applyFill="1" applyBorder="1" applyAlignment="1">
      <alignment horizontal="center" vertical="center"/>
    </xf>
    <xf numFmtId="0" fontId="49" fillId="42" borderId="7" xfId="180" applyFont="1" applyFill="1" applyBorder="1" applyAlignment="1">
      <alignment horizontal="center" vertical="center"/>
    </xf>
    <xf numFmtId="0" fontId="24" fillId="6" borderId="1" xfId="180" applyFont="1" applyFill="1" applyBorder="1" applyAlignment="1">
      <alignment horizontal="center" vertical="top" wrapText="1"/>
    </xf>
    <xf numFmtId="0" fontId="24" fillId="6" borderId="0" xfId="180" applyFont="1" applyFill="1" applyBorder="1" applyAlignment="1">
      <alignment horizontal="center" vertical="top" wrapText="1"/>
    </xf>
    <xf numFmtId="0" fontId="24" fillId="6" borderId="426" xfId="180" applyFont="1" applyFill="1" applyBorder="1" applyAlignment="1">
      <alignment horizontal="center" vertical="top" wrapText="1"/>
    </xf>
    <xf numFmtId="0" fontId="24" fillId="6" borderId="362" xfId="180" applyFont="1" applyFill="1" applyBorder="1" applyAlignment="1">
      <alignment horizontal="center" vertical="top" wrapText="1"/>
    </xf>
    <xf numFmtId="0" fontId="24" fillId="0" borderId="1" xfId="180" applyFont="1" applyFill="1" applyBorder="1" applyAlignment="1">
      <alignment horizontal="center" vertical="top"/>
    </xf>
    <xf numFmtId="0" fontId="24" fillId="0" borderId="2" xfId="180" applyFont="1" applyFill="1" applyBorder="1" applyAlignment="1">
      <alignment horizontal="center" vertical="top"/>
    </xf>
    <xf numFmtId="0" fontId="49" fillId="0" borderId="377" xfId="180" applyFont="1" applyFill="1" applyBorder="1" applyAlignment="1">
      <alignment horizontal="center" vertical="top"/>
    </xf>
    <xf numFmtId="0" fontId="49" fillId="0" borderId="2" xfId="180" applyFont="1" applyFill="1" applyBorder="1" applyAlignment="1">
      <alignment horizontal="center" vertical="top"/>
    </xf>
    <xf numFmtId="166" fontId="24" fillId="0" borderId="1" xfId="180" applyNumberFormat="1" applyFont="1" applyFill="1" applyBorder="1" applyAlignment="1">
      <alignment horizontal="center" vertical="top"/>
    </xf>
    <xf numFmtId="166" fontId="24" fillId="0" borderId="379" xfId="180" applyNumberFormat="1" applyFont="1" applyFill="1" applyBorder="1" applyAlignment="1">
      <alignment horizontal="center" vertical="top"/>
    </xf>
    <xf numFmtId="0" fontId="24" fillId="0" borderId="372" xfId="180" applyFont="1" applyFill="1" applyBorder="1" applyAlignment="1">
      <alignment horizontal="center" vertical="top"/>
    </xf>
    <xf numFmtId="0" fontId="49" fillId="0" borderId="294" xfId="180" applyFont="1" applyFill="1" applyBorder="1" applyAlignment="1">
      <alignment horizontal="center" vertical="center"/>
    </xf>
    <xf numFmtId="0" fontId="49" fillId="0" borderId="156" xfId="180" applyFont="1" applyFill="1" applyBorder="1" applyAlignment="1">
      <alignment horizontal="center" vertical="center"/>
    </xf>
    <xf numFmtId="0" fontId="49" fillId="0" borderId="292" xfId="180" applyFont="1" applyFill="1" applyBorder="1" applyAlignment="1">
      <alignment horizontal="center" vertical="center"/>
    </xf>
    <xf numFmtId="0" fontId="19" fillId="0" borderId="23" xfId="180" applyFont="1" applyFill="1" applyBorder="1" applyAlignment="1">
      <alignment horizontal="center" vertical="center" wrapText="1"/>
    </xf>
    <xf numFmtId="2" fontId="49" fillId="13" borderId="9" xfId="180" applyNumberFormat="1" applyFont="1" applyFill="1" applyBorder="1" applyAlignment="1">
      <alignment horizontal="center" vertical="center" wrapText="1"/>
    </xf>
    <xf numFmtId="0" fontId="25" fillId="0" borderId="11" xfId="180" applyFont="1" applyFill="1" applyBorder="1" applyAlignment="1">
      <alignment vertical="top" wrapText="1"/>
    </xf>
    <xf numFmtId="0" fontId="24" fillId="0" borderId="242" xfId="180" applyFont="1" applyFill="1" applyBorder="1" applyAlignment="1">
      <alignment vertical="top" wrapText="1"/>
    </xf>
    <xf numFmtId="0" fontId="25" fillId="0" borderId="376" xfId="180" applyFont="1" applyFill="1" applyBorder="1" applyAlignment="1">
      <alignment horizontal="left" vertical="top" wrapText="1"/>
    </xf>
    <xf numFmtId="0" fontId="25" fillId="0" borderId="377" xfId="180" applyFont="1" applyFill="1" applyBorder="1" applyAlignment="1">
      <alignment horizontal="left" vertical="top" wrapText="1"/>
    </xf>
    <xf numFmtId="2" fontId="49" fillId="42" borderId="25" xfId="180" applyNumberFormat="1" applyFont="1" applyFill="1" applyBorder="1" applyAlignment="1">
      <alignment horizontal="center" vertical="center"/>
    </xf>
    <xf numFmtId="0" fontId="24" fillId="0" borderId="306" xfId="180" applyFont="1" applyFill="1" applyBorder="1" applyAlignment="1">
      <alignment horizontal="left" vertical="center" wrapText="1"/>
    </xf>
    <xf numFmtId="0" fontId="24" fillId="0" borderId="178" xfId="180" applyFont="1" applyFill="1" applyBorder="1" applyAlignment="1">
      <alignment horizontal="center" vertical="top" wrapText="1"/>
    </xf>
    <xf numFmtId="0" fontId="24" fillId="0" borderId="23" xfId="180" applyFont="1" applyFill="1" applyBorder="1" applyAlignment="1">
      <alignment horizontal="center" vertical="top" wrapText="1"/>
    </xf>
    <xf numFmtId="165" fontId="24" fillId="0" borderId="307" xfId="180" applyNumberFormat="1" applyFont="1" applyFill="1" applyBorder="1" applyAlignment="1">
      <alignment horizontal="center" vertical="center" wrapText="1"/>
    </xf>
    <xf numFmtId="0" fontId="24" fillId="0" borderId="1" xfId="180" quotePrefix="1" applyFont="1" applyFill="1" applyBorder="1" applyAlignment="1">
      <alignment horizontal="center" vertical="center" wrapText="1"/>
    </xf>
    <xf numFmtId="0" fontId="24" fillId="0" borderId="2" xfId="180" quotePrefix="1" applyFont="1" applyFill="1" applyBorder="1" applyAlignment="1">
      <alignment horizontal="center" vertical="center" wrapText="1"/>
    </xf>
    <xf numFmtId="0" fontId="25" fillId="6" borderId="11" xfId="180" quotePrefix="1" applyFont="1" applyFill="1" applyBorder="1" applyAlignment="1">
      <alignment horizontal="left" vertical="top" wrapText="1"/>
    </xf>
    <xf numFmtId="0" fontId="25" fillId="6" borderId="111" xfId="180" quotePrefix="1" applyFont="1" applyFill="1" applyBorder="1" applyAlignment="1">
      <alignment horizontal="left" vertical="top" wrapText="1"/>
    </xf>
    <xf numFmtId="0" fontId="25" fillId="6" borderId="112" xfId="180" applyFont="1" applyFill="1" applyBorder="1" applyAlignment="1">
      <alignment horizontal="left" vertical="top" wrapText="1"/>
    </xf>
    <xf numFmtId="0" fontId="25" fillId="6" borderId="1" xfId="180" applyFont="1" applyFill="1" applyBorder="1" applyAlignment="1">
      <alignment horizontal="left" vertical="top" wrapText="1"/>
    </xf>
    <xf numFmtId="0" fontId="25" fillId="6" borderId="0" xfId="180" applyFont="1" applyFill="1" applyBorder="1" applyAlignment="1">
      <alignment horizontal="left" vertical="top" wrapText="1"/>
    </xf>
    <xf numFmtId="0" fontId="25" fillId="6" borderId="2" xfId="180" applyFont="1" applyFill="1" applyBorder="1" applyAlignment="1">
      <alignment horizontal="left" vertical="top" wrapText="1"/>
    </xf>
    <xf numFmtId="0" fontId="24" fillId="0" borderId="294" xfId="180" applyFont="1" applyFill="1" applyBorder="1" applyAlignment="1">
      <alignment horizontal="center" vertical="top" wrapText="1"/>
    </xf>
    <xf numFmtId="0" fontId="24" fillId="0" borderId="157" xfId="180" applyFont="1" applyFill="1" applyBorder="1" applyAlignment="1">
      <alignment horizontal="center" vertical="top" wrapText="1"/>
    </xf>
    <xf numFmtId="0" fontId="49" fillId="0" borderId="1" xfId="180" applyFont="1" applyFill="1" applyBorder="1" applyAlignment="1">
      <alignment horizontal="center" vertical="center" wrapText="1"/>
    </xf>
    <xf numFmtId="0" fontId="49" fillId="0" borderId="0" xfId="180" applyFont="1" applyFill="1" applyBorder="1" applyAlignment="1">
      <alignment horizontal="center" vertical="center" wrapText="1"/>
    </xf>
    <xf numFmtId="0" fontId="49" fillId="0" borderId="2" xfId="180" applyFont="1" applyFill="1" applyBorder="1" applyAlignment="1">
      <alignment horizontal="center" vertical="center" wrapText="1"/>
    </xf>
    <xf numFmtId="0" fontId="49" fillId="0" borderId="213" xfId="180" applyFont="1" applyFill="1" applyBorder="1" applyAlignment="1">
      <alignment horizontal="center" vertical="center" wrapText="1"/>
    </xf>
    <xf numFmtId="0" fontId="49" fillId="0" borderId="214" xfId="180" applyFont="1" applyFill="1" applyBorder="1" applyAlignment="1">
      <alignment horizontal="center" vertical="center" wrapText="1"/>
    </xf>
    <xf numFmtId="0" fontId="49" fillId="0" borderId="215" xfId="180" applyFont="1" applyFill="1" applyBorder="1" applyAlignment="1">
      <alignment horizontal="center" vertical="center" wrapText="1"/>
    </xf>
    <xf numFmtId="0" fontId="49" fillId="0" borderId="294" xfId="180" applyFont="1" applyFill="1" applyBorder="1" applyAlignment="1">
      <alignment horizontal="right" vertical="center"/>
    </xf>
    <xf numFmtId="166" fontId="25" fillId="0" borderId="23" xfId="180" quotePrefix="1" applyNumberFormat="1" applyFont="1" applyFill="1" applyBorder="1" applyAlignment="1">
      <alignment horizontal="center" vertical="center" wrapText="1"/>
    </xf>
    <xf numFmtId="0" fontId="24" fillId="6" borderId="14" xfId="180" applyFont="1" applyFill="1" applyBorder="1" applyAlignment="1">
      <alignment horizontal="center" vertical="center"/>
    </xf>
    <xf numFmtId="0" fontId="24" fillId="6" borderId="12" xfId="180" applyFont="1" applyFill="1" applyBorder="1" applyAlignment="1">
      <alignment horizontal="center" vertical="center"/>
    </xf>
    <xf numFmtId="0" fontId="24" fillId="0" borderId="242" xfId="180" applyFont="1" applyFill="1" applyBorder="1" applyAlignment="1">
      <alignment horizontal="left" vertical="top" wrapText="1"/>
    </xf>
    <xf numFmtId="0" fontId="24" fillId="0" borderId="111" xfId="180" applyFont="1" applyFill="1" applyBorder="1" applyAlignment="1">
      <alignment horizontal="left" vertical="top" wrapText="1"/>
    </xf>
    <xf numFmtId="0" fontId="24" fillId="0" borderId="112" xfId="180" applyFont="1" applyFill="1" applyBorder="1" applyAlignment="1">
      <alignment horizontal="left" vertical="top" wrapText="1"/>
    </xf>
    <xf numFmtId="0" fontId="24" fillId="0" borderId="0" xfId="180" applyFont="1" applyFill="1" applyBorder="1" applyAlignment="1">
      <alignment horizontal="left" vertical="top" wrapText="1"/>
    </xf>
    <xf numFmtId="0" fontId="24" fillId="0" borderId="2" xfId="180" applyFont="1" applyFill="1" applyBorder="1" applyAlignment="1">
      <alignment horizontal="left" vertical="top" wrapText="1"/>
    </xf>
    <xf numFmtId="165" fontId="140" fillId="5" borderId="42" xfId="180" applyNumberFormat="1" applyFont="1" applyFill="1" applyBorder="1" applyAlignment="1">
      <alignment horizontal="center" vertical="center"/>
    </xf>
    <xf numFmtId="165" fontId="140" fillId="5" borderId="9" xfId="180" applyNumberFormat="1" applyFont="1" applyFill="1" applyBorder="1" applyAlignment="1">
      <alignment horizontal="center" vertical="center"/>
    </xf>
    <xf numFmtId="165" fontId="49" fillId="0" borderId="42" xfId="180" applyNumberFormat="1" applyFont="1" applyFill="1" applyBorder="1" applyAlignment="1">
      <alignment horizontal="center" vertical="center"/>
    </xf>
    <xf numFmtId="165" fontId="49" fillId="0" borderId="9" xfId="180" applyNumberFormat="1" applyFont="1" applyFill="1" applyBorder="1" applyAlignment="1">
      <alignment horizontal="center" vertical="center"/>
    </xf>
    <xf numFmtId="0" fontId="24" fillId="0" borderId="11" xfId="180" applyFont="1" applyFill="1" applyBorder="1" applyAlignment="1">
      <alignment horizontal="center" vertical="center" wrapText="1"/>
    </xf>
    <xf numFmtId="0" fontId="24" fillId="0" borderId="112" xfId="180" applyFont="1" applyFill="1" applyBorder="1" applyAlignment="1">
      <alignment horizontal="center" vertical="center" wrapText="1"/>
    </xf>
    <xf numFmtId="165" fontId="140" fillId="5" borderId="31" xfId="180" applyNumberFormat="1" applyFont="1" applyFill="1" applyBorder="1" applyAlignment="1">
      <alignment horizontal="center" vertical="center"/>
    </xf>
    <xf numFmtId="165" fontId="140" fillId="5" borderId="35" xfId="180" applyNumberFormat="1" applyFont="1" applyFill="1" applyBorder="1" applyAlignment="1">
      <alignment horizontal="center" vertical="center"/>
    </xf>
    <xf numFmtId="0" fontId="24" fillId="0" borderId="0" xfId="180" applyFont="1" applyFill="1" applyBorder="1" applyAlignment="1">
      <alignment horizontal="center" vertical="center"/>
    </xf>
    <xf numFmtId="0" fontId="24" fillId="0" borderId="2" xfId="180" applyFont="1" applyFill="1" applyBorder="1" applyAlignment="1">
      <alignment horizontal="center" vertical="center"/>
    </xf>
    <xf numFmtId="0" fontId="24" fillId="0" borderId="242" xfId="180" applyFont="1" applyFill="1" applyBorder="1" applyAlignment="1">
      <alignment horizontal="center" vertical="center" wrapText="1"/>
    </xf>
    <xf numFmtId="0" fontId="24" fillId="0" borderId="111" xfId="180" applyFont="1" applyFill="1" applyBorder="1" applyAlignment="1">
      <alignment horizontal="center" vertical="center" wrapText="1"/>
    </xf>
    <xf numFmtId="0" fontId="24" fillId="0" borderId="40" xfId="180" applyFont="1" applyFill="1" applyBorder="1" applyAlignment="1">
      <alignment horizontal="center" vertical="center"/>
    </xf>
    <xf numFmtId="0" fontId="24" fillId="0" borderId="38" xfId="180" applyFont="1" applyFill="1" applyBorder="1" applyAlignment="1">
      <alignment horizontal="center" vertical="center"/>
    </xf>
    <xf numFmtId="0" fontId="24" fillId="0" borderId="39" xfId="180" applyFont="1" applyFill="1" applyBorder="1" applyAlignment="1">
      <alignment horizontal="center" vertical="center"/>
    </xf>
    <xf numFmtId="0" fontId="24" fillId="0" borderId="1" xfId="180" applyFont="1" applyFill="1" applyBorder="1" applyAlignment="1">
      <alignment horizontal="center" vertical="center"/>
    </xf>
    <xf numFmtId="0" fontId="24" fillId="0" borderId="350" xfId="180" applyFont="1" applyFill="1" applyBorder="1" applyAlignment="1">
      <alignment horizontal="center" vertical="center"/>
    </xf>
    <xf numFmtId="0" fontId="24" fillId="0" borderId="403" xfId="180" applyFont="1" applyFill="1" applyBorder="1" applyAlignment="1">
      <alignment horizontal="center" vertical="center"/>
    </xf>
    <xf numFmtId="0" fontId="24" fillId="0" borderId="404" xfId="180" applyFont="1" applyFill="1" applyBorder="1" applyAlignment="1">
      <alignment horizontal="center" vertical="center"/>
    </xf>
    <xf numFmtId="0" fontId="49" fillId="0" borderId="11" xfId="180" applyFont="1" applyFill="1" applyBorder="1" applyAlignment="1">
      <alignment horizontal="center" vertical="center" textRotation="90" wrapText="1"/>
    </xf>
    <xf numFmtId="0" fontId="49" fillId="0" borderId="112" xfId="180" applyFont="1" applyFill="1" applyBorder="1" applyAlignment="1">
      <alignment horizontal="center" vertical="center" textRotation="90" wrapText="1"/>
    </xf>
    <xf numFmtId="0" fontId="49" fillId="0" borderId="1" xfId="180" applyFont="1" applyFill="1" applyBorder="1" applyAlignment="1">
      <alignment horizontal="center" vertical="center" textRotation="90" wrapText="1"/>
    </xf>
    <xf numFmtId="0" fontId="49" fillId="0" borderId="2" xfId="180" applyFont="1" applyFill="1" applyBorder="1" applyAlignment="1">
      <alignment horizontal="center" vertical="center" textRotation="90" wrapText="1"/>
    </xf>
    <xf numFmtId="0" fontId="24" fillId="0" borderId="239" xfId="180" applyFont="1" applyFill="1" applyBorder="1" applyAlignment="1">
      <alignment horizontal="center" vertical="center" wrapText="1"/>
    </xf>
    <xf numFmtId="0" fontId="24" fillId="0" borderId="350" xfId="180" applyFont="1" applyFill="1" applyBorder="1" applyAlignment="1">
      <alignment horizontal="center" vertical="center" wrapText="1"/>
    </xf>
    <xf numFmtId="0" fontId="24" fillId="0" borderId="403" xfId="180" applyFont="1" applyFill="1" applyBorder="1" applyAlignment="1">
      <alignment horizontal="center" vertical="center" wrapText="1"/>
    </xf>
    <xf numFmtId="0" fontId="24" fillId="0" borderId="178" xfId="180" applyFont="1" applyFill="1" applyBorder="1" applyAlignment="1">
      <alignment horizontal="center" vertical="center" wrapText="1"/>
    </xf>
    <xf numFmtId="0" fontId="24" fillId="0" borderId="341" xfId="180" applyFont="1" applyFill="1" applyBorder="1" applyAlignment="1">
      <alignment horizontal="center" vertical="center" wrapText="1"/>
    </xf>
    <xf numFmtId="0" fontId="25" fillId="0" borderId="55" xfId="180" applyFont="1" applyFill="1" applyBorder="1" applyAlignment="1">
      <alignment horizontal="left" vertical="top" wrapText="1"/>
    </xf>
    <xf numFmtId="0" fontId="25" fillId="0" borderId="21" xfId="180" applyFont="1" applyFill="1" applyBorder="1" applyAlignment="1">
      <alignment horizontal="left" vertical="top" wrapText="1"/>
    </xf>
    <xf numFmtId="0" fontId="49" fillId="6" borderId="294" xfId="180" applyFont="1" applyFill="1" applyBorder="1" applyAlignment="1">
      <alignment horizontal="right" vertical="center"/>
    </xf>
    <xf numFmtId="0" fontId="49" fillId="6" borderId="156" xfId="180" applyFont="1" applyFill="1" applyBorder="1" applyAlignment="1">
      <alignment horizontal="right" vertical="center"/>
    </xf>
    <xf numFmtId="0" fontId="49" fillId="6" borderId="292" xfId="180" applyFont="1" applyFill="1" applyBorder="1" applyAlignment="1">
      <alignment horizontal="right" vertical="center"/>
    </xf>
    <xf numFmtId="165" fontId="140" fillId="5" borderId="43" xfId="180" applyNumberFormat="1" applyFont="1" applyFill="1" applyBorder="1" applyAlignment="1">
      <alignment horizontal="center" vertical="center"/>
    </xf>
    <xf numFmtId="165" fontId="140" fillId="5" borderId="39" xfId="180" applyNumberFormat="1" applyFont="1" applyFill="1" applyBorder="1" applyAlignment="1">
      <alignment horizontal="center" vertical="center"/>
    </xf>
    <xf numFmtId="0" fontId="24" fillId="0" borderId="84" xfId="180" applyFont="1" applyFill="1" applyBorder="1" applyAlignment="1">
      <alignment horizontal="center" vertical="center"/>
    </xf>
    <xf numFmtId="0" fontId="41" fillId="0" borderId="14" xfId="180" applyFont="1" applyFill="1" applyBorder="1" applyAlignment="1">
      <alignment horizontal="center" vertical="center" wrapText="1"/>
    </xf>
    <xf numFmtId="0" fontId="41" fillId="6" borderId="10" xfId="180" applyFont="1" applyFill="1" applyBorder="1" applyAlignment="1">
      <alignment horizontal="center" vertical="center" wrapText="1"/>
    </xf>
    <xf numFmtId="0" fontId="40" fillId="0" borderId="19" xfId="180" applyFont="1" applyFill="1" applyBorder="1" applyAlignment="1">
      <alignment horizontal="left" vertical="center" wrapText="1"/>
    </xf>
    <xf numFmtId="0" fontId="40" fillId="0" borderId="20" xfId="180" applyFont="1" applyFill="1" applyBorder="1" applyAlignment="1">
      <alignment horizontal="left" vertical="center" wrapText="1"/>
    </xf>
    <xf numFmtId="0" fontId="40" fillId="0" borderId="24" xfId="180" applyFont="1" applyFill="1" applyBorder="1" applyAlignment="1">
      <alignment horizontal="left" vertical="center" wrapText="1"/>
    </xf>
    <xf numFmtId="0" fontId="40" fillId="0" borderId="21" xfId="180" applyFont="1" applyFill="1" applyBorder="1" applyAlignment="1">
      <alignment horizontal="left" vertical="center" wrapText="1"/>
    </xf>
    <xf numFmtId="0" fontId="40" fillId="0" borderId="0" xfId="180" applyFont="1" applyFill="1" applyBorder="1" applyAlignment="1">
      <alignment horizontal="left" vertical="center" wrapText="1"/>
    </xf>
    <xf numFmtId="0" fontId="40" fillId="0" borderId="23" xfId="180" applyFont="1" applyFill="1" applyBorder="1" applyAlignment="1">
      <alignment horizontal="left" vertical="center" wrapText="1"/>
    </xf>
    <xf numFmtId="0" fontId="41" fillId="0" borderId="68" xfId="180" applyFont="1" applyFill="1" applyBorder="1" applyAlignment="1">
      <alignment horizontal="center" vertical="center"/>
    </xf>
    <xf numFmtId="0" fontId="41" fillId="0" borderId="72" xfId="180" applyFont="1" applyFill="1" applyBorder="1" applyAlignment="1">
      <alignment horizontal="center" vertical="center"/>
    </xf>
    <xf numFmtId="0" fontId="41" fillId="0" borderId="418" xfId="15" applyFont="1" applyFill="1" applyBorder="1" applyAlignment="1">
      <alignment horizontal="left" vertical="center" wrapText="1"/>
    </xf>
    <xf numFmtId="0" fontId="41" fillId="0" borderId="419" xfId="15" applyFont="1" applyFill="1" applyBorder="1" applyAlignment="1">
      <alignment horizontal="left" vertical="center" wrapText="1"/>
    </xf>
    <xf numFmtId="0" fontId="41" fillId="0" borderId="21" xfId="15" applyFont="1" applyFill="1" applyBorder="1" applyAlignment="1">
      <alignment horizontal="left" vertical="center" wrapText="1"/>
    </xf>
    <xf numFmtId="0" fontId="41" fillId="0" borderId="0" xfId="15" applyFont="1" applyFill="1" applyBorder="1" applyAlignment="1">
      <alignment horizontal="left" vertical="center" wrapText="1"/>
    </xf>
    <xf numFmtId="0" fontId="25" fillId="0" borderId="20" xfId="180" applyFont="1" applyFill="1" applyBorder="1" applyAlignment="1">
      <alignment horizontal="left" vertical="center" wrapText="1"/>
    </xf>
    <xf numFmtId="0" fontId="25" fillId="0" borderId="0" xfId="180" applyFont="1" applyFill="1" applyBorder="1" applyAlignment="1">
      <alignment horizontal="left" vertical="center" wrapText="1"/>
    </xf>
    <xf numFmtId="0" fontId="24" fillId="0" borderId="68" xfId="180" applyFont="1" applyFill="1" applyBorder="1" applyAlignment="1">
      <alignment horizontal="center" vertical="center"/>
    </xf>
    <xf numFmtId="0" fontId="24" fillId="0" borderId="72" xfId="180" applyFont="1" applyFill="1" applyBorder="1" applyAlignment="1">
      <alignment horizontal="center" vertical="center"/>
    </xf>
    <xf numFmtId="0" fontId="41" fillId="0" borderId="328" xfId="15" applyFont="1" applyFill="1" applyBorder="1" applyAlignment="1">
      <alignment horizontal="left" vertical="center" wrapText="1"/>
    </xf>
    <xf numFmtId="0" fontId="24" fillId="0" borderId="21" xfId="180" applyFont="1" applyFill="1" applyBorder="1" applyAlignment="1">
      <alignment horizontal="left" vertical="center" wrapText="1"/>
    </xf>
    <xf numFmtId="0" fontId="19" fillId="0" borderId="0" xfId="0" applyFont="1" applyFill="1" applyAlignment="1">
      <alignment horizontal="left" vertical="center" wrapText="1"/>
    </xf>
    <xf numFmtId="0" fontId="24" fillId="0" borderId="0" xfId="180" applyFont="1" applyFill="1" applyBorder="1" applyAlignment="1">
      <alignment horizontal="left" vertical="center" wrapText="1"/>
    </xf>
    <xf numFmtId="0" fontId="24" fillId="6" borderId="22" xfId="180" applyFont="1" applyFill="1" applyBorder="1" applyAlignment="1">
      <alignment horizontal="left" vertical="center" wrapText="1"/>
    </xf>
    <xf numFmtId="0" fontId="24" fillId="6" borderId="403" xfId="180" applyFont="1" applyFill="1" applyBorder="1" applyAlignment="1">
      <alignment horizontal="left" vertical="center" wrapText="1"/>
    </xf>
    <xf numFmtId="0" fontId="41" fillId="0" borderId="328" xfId="15" applyFont="1" applyFill="1" applyBorder="1" applyAlignment="1">
      <alignment horizontal="center" vertical="center" wrapText="1"/>
    </xf>
    <xf numFmtId="0" fontId="41" fillId="0" borderId="254" xfId="180" applyFont="1" applyFill="1" applyBorder="1" applyAlignment="1">
      <alignment horizontal="left" vertical="center"/>
    </xf>
    <xf numFmtId="0" fontId="41" fillId="0" borderId="250" xfId="180" applyFont="1" applyFill="1" applyBorder="1" applyAlignment="1">
      <alignment horizontal="left" vertical="center"/>
    </xf>
    <xf numFmtId="0" fontId="40" fillId="6" borderId="20" xfId="180" applyFont="1" applyFill="1" applyBorder="1" applyAlignment="1">
      <alignment horizontal="left" vertical="center" wrapText="1"/>
    </xf>
    <xf numFmtId="0" fontId="40" fillId="6" borderId="24" xfId="180" applyFont="1" applyFill="1" applyBorder="1" applyAlignment="1">
      <alignment horizontal="left" vertical="center" wrapText="1"/>
    </xf>
    <xf numFmtId="0" fontId="40" fillId="6" borderId="0" xfId="180" applyFont="1" applyFill="1" applyBorder="1" applyAlignment="1">
      <alignment horizontal="left" vertical="center" wrapText="1"/>
    </xf>
    <xf numFmtId="0" fontId="40" fillId="6" borderId="23" xfId="180" applyFont="1" applyFill="1" applyBorder="1" applyAlignment="1">
      <alignment horizontal="left" vertical="center" wrapText="1"/>
    </xf>
    <xf numFmtId="0" fontId="40" fillId="0" borderId="84" xfId="180" applyFont="1" applyFill="1" applyBorder="1" applyAlignment="1">
      <alignment horizontal="center" vertical="center" wrapText="1"/>
    </xf>
    <xf numFmtId="0" fontId="41" fillId="0" borderId="0" xfId="180" applyFont="1" applyFill="1" applyBorder="1" applyAlignment="1">
      <alignment horizontal="left" vertical="center"/>
    </xf>
    <xf numFmtId="0" fontId="41" fillId="0" borderId="156" xfId="180" applyFont="1" applyFill="1" applyBorder="1" applyAlignment="1">
      <alignment horizontal="left" vertical="center"/>
    </xf>
    <xf numFmtId="0" fontId="41" fillId="0" borderId="331" xfId="180" applyFont="1" applyFill="1" applyBorder="1" applyAlignment="1">
      <alignment horizontal="left" vertical="top" wrapText="1"/>
    </xf>
    <xf numFmtId="0" fontId="41" fillId="0" borderId="156" xfId="180" applyFont="1" applyFill="1" applyBorder="1" applyAlignment="1">
      <alignment horizontal="left" vertical="top" wrapText="1"/>
    </xf>
    <xf numFmtId="0" fontId="40" fillId="0" borderId="68" xfId="180" applyFont="1" applyFill="1" applyBorder="1" applyAlignment="1">
      <alignment horizontal="left" vertical="center" wrapText="1"/>
    </xf>
    <xf numFmtId="0" fontId="40" fillId="0" borderId="72" xfId="180" applyFont="1" applyFill="1" applyBorder="1" applyAlignment="1">
      <alignment horizontal="left" vertical="center" wrapText="1"/>
    </xf>
    <xf numFmtId="0" fontId="40" fillId="0" borderId="20" xfId="180" applyFont="1" applyFill="1" applyBorder="1" applyAlignment="1">
      <alignment horizontal="left" vertical="center"/>
    </xf>
    <xf numFmtId="0" fontId="41" fillId="0" borderId="0" xfId="180" applyFont="1" applyFill="1" applyBorder="1" applyAlignment="1">
      <alignment horizontal="right" vertical="center" wrapText="1"/>
    </xf>
    <xf numFmtId="0" fontId="40" fillId="0" borderId="0" xfId="180" applyFont="1" applyFill="1" applyBorder="1" applyAlignment="1" applyProtection="1">
      <alignment horizontal="left" vertical="center" wrapText="1"/>
      <protection locked="0"/>
    </xf>
    <xf numFmtId="0" fontId="40" fillId="0" borderId="23" xfId="180" applyFont="1" applyFill="1" applyBorder="1" applyAlignment="1" applyProtection="1">
      <alignment horizontal="left" vertical="center" wrapText="1"/>
      <protection locked="0"/>
    </xf>
    <xf numFmtId="165" fontId="41" fillId="0" borderId="254" xfId="180" quotePrefix="1" applyNumberFormat="1" applyFont="1" applyFill="1" applyBorder="1" applyAlignment="1">
      <alignment horizontal="left" vertical="center"/>
    </xf>
    <xf numFmtId="165" fontId="41" fillId="0" borderId="250" xfId="180" applyNumberFormat="1" applyFont="1" applyFill="1" applyBorder="1" applyAlignment="1">
      <alignment horizontal="left" vertical="center"/>
    </xf>
    <xf numFmtId="0" fontId="40" fillId="0" borderId="0" xfId="180" applyFont="1" applyFill="1" applyBorder="1" applyAlignment="1">
      <alignment horizontal="center" vertical="center" wrapText="1"/>
    </xf>
    <xf numFmtId="0" fontId="41" fillId="0" borderId="0" xfId="180" applyFont="1" applyFill="1" applyBorder="1" applyAlignment="1">
      <alignment horizontal="left" vertical="center" wrapText="1"/>
    </xf>
    <xf numFmtId="0" fontId="40" fillId="0" borderId="20" xfId="180" applyFont="1" applyFill="1" applyBorder="1" applyAlignment="1">
      <alignment horizontal="left" vertical="top" wrapText="1"/>
    </xf>
    <xf numFmtId="0" fontId="40" fillId="0" borderId="0" xfId="180" applyFont="1" applyFill="1" applyBorder="1" applyAlignment="1">
      <alignment horizontal="left" vertical="top" wrapText="1"/>
    </xf>
    <xf numFmtId="0" fontId="127" fillId="0" borderId="20" xfId="180" applyFont="1" applyFill="1" applyBorder="1" applyAlignment="1">
      <alignment horizontal="center" vertical="center" wrapText="1"/>
    </xf>
    <xf numFmtId="0" fontId="127" fillId="0" borderId="0" xfId="180" applyFont="1" applyFill="1" applyBorder="1" applyAlignment="1">
      <alignment horizontal="center" vertical="center" wrapText="1"/>
    </xf>
    <xf numFmtId="0" fontId="40" fillId="0" borderId="97" xfId="180" applyFont="1" applyFill="1" applyBorder="1" applyAlignment="1">
      <alignment horizontal="left" vertical="top" wrapText="1"/>
    </xf>
    <xf numFmtId="0" fontId="40" fillId="6" borderId="0" xfId="180" applyFont="1" applyFill="1" applyBorder="1" applyAlignment="1">
      <alignment horizontal="left" vertical="top" wrapText="1"/>
    </xf>
    <xf numFmtId="0" fontId="40" fillId="6" borderId="250" xfId="180" applyFont="1" applyFill="1" applyBorder="1" applyAlignment="1">
      <alignment horizontal="left" vertical="top" wrapText="1"/>
    </xf>
    <xf numFmtId="0" fontId="25" fillId="0" borderId="331" xfId="180" applyFont="1" applyFill="1" applyBorder="1" applyAlignment="1">
      <alignment horizontal="left" vertical="top" wrapText="1"/>
    </xf>
    <xf numFmtId="0" fontId="25" fillId="0" borderId="372" xfId="180" applyFont="1" applyFill="1" applyBorder="1" applyAlignment="1">
      <alignment horizontal="left" vertical="top" wrapText="1"/>
    </xf>
    <xf numFmtId="0" fontId="24" fillId="0" borderId="68" xfId="180" applyFont="1" applyFill="1" applyBorder="1"/>
    <xf numFmtId="0" fontId="24" fillId="0" borderId="69" xfId="180" applyFont="1" applyFill="1" applyBorder="1"/>
    <xf numFmtId="0" fontId="24" fillId="0" borderId="72" xfId="180" applyFont="1" applyFill="1" applyBorder="1"/>
    <xf numFmtId="0" fontId="25" fillId="0" borderId="260" xfId="180" applyFont="1" applyBorder="1" applyAlignment="1">
      <alignment horizontal="left" vertical="center" wrapText="1"/>
    </xf>
    <xf numFmtId="0" fontId="24" fillId="0" borderId="260" xfId="180" applyFont="1" applyBorder="1" applyAlignment="1">
      <alignment horizontal="left" vertical="center" wrapText="1"/>
    </xf>
    <xf numFmtId="0" fontId="24" fillId="0" borderId="256" xfId="180" applyFont="1" applyBorder="1" applyAlignment="1">
      <alignment horizontal="left" vertical="center" wrapText="1"/>
    </xf>
    <xf numFmtId="0" fontId="24" fillId="0" borderId="332" xfId="180" applyFont="1" applyFill="1" applyBorder="1" applyAlignment="1">
      <alignment horizontal="left" vertical="top" wrapText="1"/>
    </xf>
    <xf numFmtId="0" fontId="25" fillId="0" borderId="260" xfId="180" applyFont="1" applyFill="1" applyBorder="1" applyAlignment="1">
      <alignment horizontal="left" vertical="center" wrapText="1"/>
    </xf>
    <xf numFmtId="0" fontId="24" fillId="0" borderId="260" xfId="180" applyFont="1" applyFill="1" applyBorder="1" applyAlignment="1">
      <alignment horizontal="left" vertical="center" wrapText="1"/>
    </xf>
    <xf numFmtId="0" fontId="24" fillId="0" borderId="420" xfId="180" applyFont="1" applyFill="1" applyBorder="1" applyAlignment="1">
      <alignment horizontal="left" vertical="center" wrapText="1"/>
    </xf>
    <xf numFmtId="0" fontId="41" fillId="0" borderId="254" xfId="180" applyFont="1" applyFill="1" applyBorder="1" applyAlignment="1">
      <alignment horizontal="left" vertical="center" wrapText="1"/>
    </xf>
    <xf numFmtId="0" fontId="24" fillId="0" borderId="254" xfId="180" applyFont="1" applyFill="1" applyBorder="1" applyAlignment="1">
      <alignment horizontal="left" vertical="center" wrapText="1"/>
    </xf>
    <xf numFmtId="0" fontId="24" fillId="0" borderId="420" xfId="180" applyFont="1" applyBorder="1" applyAlignment="1">
      <alignment horizontal="left" vertical="center" wrapText="1"/>
    </xf>
    <xf numFmtId="0" fontId="24" fillId="0" borderId="331" xfId="180" applyFont="1" applyFill="1" applyBorder="1" applyAlignment="1">
      <alignment horizontal="left" vertical="top" wrapText="1"/>
    </xf>
    <xf numFmtId="0" fontId="24" fillId="0" borderId="362" xfId="180" applyFont="1" applyFill="1" applyBorder="1" applyAlignment="1">
      <alignment horizontal="left" vertical="top" wrapText="1"/>
    </xf>
    <xf numFmtId="0" fontId="24" fillId="0" borderId="363" xfId="180" applyFont="1" applyFill="1" applyBorder="1" applyAlignment="1">
      <alignment horizontal="left" vertical="top" wrapText="1"/>
    </xf>
    <xf numFmtId="0" fontId="25" fillId="0" borderId="420" xfId="180" applyFont="1" applyFill="1" applyBorder="1" applyAlignment="1">
      <alignment horizontal="left" vertical="top" wrapText="1"/>
    </xf>
    <xf numFmtId="0" fontId="40" fillId="6" borderId="19" xfId="180" applyFont="1" applyFill="1" applyBorder="1" applyAlignment="1">
      <alignment horizontal="left" vertical="center" wrapText="1"/>
    </xf>
    <xf numFmtId="0" fontId="40" fillId="6" borderId="22" xfId="180" applyFont="1" applyFill="1" applyBorder="1" applyAlignment="1">
      <alignment horizontal="left" vertical="center" wrapText="1"/>
    </xf>
    <xf numFmtId="0" fontId="40" fillId="6" borderId="97" xfId="180" applyFont="1" applyFill="1" applyBorder="1" applyAlignment="1">
      <alignment horizontal="left" vertical="center" wrapText="1"/>
    </xf>
    <xf numFmtId="0" fontId="40" fillId="6" borderId="341" xfId="180" applyFont="1" applyFill="1" applyBorder="1" applyAlignment="1">
      <alignment horizontal="left" vertical="center" wrapText="1"/>
    </xf>
    <xf numFmtId="0" fontId="25" fillId="6" borderId="19" xfId="180" applyFont="1" applyFill="1" applyBorder="1" applyAlignment="1">
      <alignment horizontal="left" vertical="center" wrapText="1"/>
    </xf>
    <xf numFmtId="0" fontId="25" fillId="6" borderId="20" xfId="180" applyFont="1" applyFill="1" applyBorder="1" applyAlignment="1">
      <alignment horizontal="left" vertical="center" wrapText="1"/>
    </xf>
    <xf numFmtId="0" fontId="25" fillId="6" borderId="24" xfId="180" applyFont="1" applyFill="1" applyBorder="1" applyAlignment="1">
      <alignment horizontal="left" vertical="center" wrapText="1"/>
    </xf>
    <xf numFmtId="0" fontId="25" fillId="6" borderId="22" xfId="180" applyFont="1" applyFill="1" applyBorder="1" applyAlignment="1">
      <alignment horizontal="left" vertical="center" wrapText="1"/>
    </xf>
    <xf numFmtId="0" fontId="25" fillId="6" borderId="97" xfId="180" applyFont="1" applyFill="1" applyBorder="1" applyAlignment="1">
      <alignment horizontal="left" vertical="center" wrapText="1"/>
    </xf>
    <xf numFmtId="0" fontId="25" fillId="6" borderId="110" xfId="180" applyFont="1" applyFill="1" applyBorder="1" applyAlignment="1">
      <alignment horizontal="left" vertical="center" wrapText="1"/>
    </xf>
    <xf numFmtId="0" fontId="40" fillId="6" borderId="20" xfId="180" applyFont="1" applyFill="1" applyBorder="1" applyAlignment="1">
      <alignment horizontal="left" vertical="top" wrapText="1"/>
    </xf>
    <xf numFmtId="0" fontId="24" fillId="0" borderId="403" xfId="180" applyFont="1" applyFill="1" applyBorder="1" applyAlignment="1">
      <alignment horizontal="center" vertical="top" wrapText="1"/>
    </xf>
    <xf numFmtId="0" fontId="25" fillId="0" borderId="19" xfId="180" applyFont="1" applyFill="1" applyBorder="1" applyAlignment="1">
      <alignment horizontal="left" vertical="top" wrapText="1"/>
    </xf>
    <xf numFmtId="0" fontId="25" fillId="0" borderId="20" xfId="180" applyFont="1" applyFill="1" applyBorder="1" applyAlignment="1">
      <alignment horizontal="left" vertical="top" wrapText="1"/>
    </xf>
    <xf numFmtId="0" fontId="25" fillId="0" borderId="24" xfId="180" applyFont="1" applyFill="1" applyBorder="1" applyAlignment="1">
      <alignment horizontal="left" vertical="top" wrapText="1"/>
    </xf>
    <xf numFmtId="0" fontId="25" fillId="0" borderId="22" xfId="180" applyFont="1" applyFill="1" applyBorder="1" applyAlignment="1">
      <alignment horizontal="left" vertical="top" wrapText="1"/>
    </xf>
    <xf numFmtId="0" fontId="25" fillId="0" borderId="403" xfId="180" applyFont="1" applyFill="1" applyBorder="1" applyAlignment="1">
      <alignment horizontal="left" vertical="top" wrapText="1"/>
    </xf>
    <xf numFmtId="0" fontId="25" fillId="0" borderId="341" xfId="180" applyFont="1" applyFill="1" applyBorder="1" applyAlignment="1">
      <alignment horizontal="left" vertical="top" wrapText="1"/>
    </xf>
    <xf numFmtId="0" fontId="40" fillId="6" borderId="0" xfId="180" applyFont="1" applyFill="1" applyBorder="1" applyAlignment="1">
      <alignment horizontal="right" vertical="center" wrapText="1"/>
    </xf>
    <xf numFmtId="0" fontId="41" fillId="6" borderId="0" xfId="180" applyFont="1" applyFill="1" applyBorder="1" applyAlignment="1">
      <alignment horizontal="right" vertical="center" wrapText="1"/>
    </xf>
    <xf numFmtId="0" fontId="26" fillId="0" borderId="0" xfId="180" applyFont="1" applyBorder="1" applyAlignment="1">
      <alignment vertical="center" wrapText="1"/>
    </xf>
    <xf numFmtId="0" fontId="24" fillId="0" borderId="263" xfId="180" applyFont="1" applyFill="1" applyBorder="1" applyAlignment="1">
      <alignment horizontal="left" vertical="center" wrapText="1"/>
    </xf>
    <xf numFmtId="0" fontId="24" fillId="0" borderId="405" xfId="180" applyFont="1" applyFill="1" applyBorder="1" applyAlignment="1">
      <alignment horizontal="left" vertical="center" wrapText="1"/>
    </xf>
    <xf numFmtId="0" fontId="40" fillId="6" borderId="2" xfId="180" applyFont="1" applyFill="1" applyBorder="1" applyAlignment="1">
      <alignment horizontal="right" vertical="center" wrapText="1"/>
    </xf>
    <xf numFmtId="0" fontId="26" fillId="0" borderId="1" xfId="180" applyFont="1" applyBorder="1" applyAlignment="1">
      <alignment vertical="center" wrapText="1"/>
    </xf>
    <xf numFmtId="0" fontId="41" fillId="0" borderId="20" xfId="180" applyFont="1" applyFill="1" applyBorder="1" applyAlignment="1">
      <alignment horizontal="left" vertical="top" wrapText="1"/>
    </xf>
    <xf numFmtId="0" fontId="41" fillId="0" borderId="0" xfId="180" applyFont="1" applyFill="1" applyBorder="1" applyAlignment="1">
      <alignment horizontal="left" vertical="top" wrapText="1"/>
    </xf>
    <xf numFmtId="0" fontId="41" fillId="0" borderId="97" xfId="180" applyFont="1" applyFill="1" applyBorder="1" applyAlignment="1">
      <alignment horizontal="left" vertical="top" wrapText="1"/>
    </xf>
    <xf numFmtId="0" fontId="40" fillId="6" borderId="0" xfId="180" applyFont="1" applyFill="1" applyBorder="1" applyAlignment="1">
      <alignment horizontal="left" wrapText="1"/>
    </xf>
    <xf numFmtId="0" fontId="40" fillId="6" borderId="250" xfId="180" applyFont="1" applyFill="1" applyBorder="1" applyAlignment="1">
      <alignment horizontal="left" wrapText="1"/>
    </xf>
    <xf numFmtId="0" fontId="40" fillId="6" borderId="362" xfId="180" applyFont="1" applyFill="1" applyBorder="1" applyAlignment="1">
      <alignment horizontal="left" wrapText="1"/>
    </xf>
    <xf numFmtId="0" fontId="41" fillId="0" borderId="254" xfId="180" applyFont="1" applyFill="1" applyBorder="1" applyAlignment="1">
      <alignment horizontal="left" vertical="top" wrapText="1"/>
    </xf>
    <xf numFmtId="0" fontId="41" fillId="0" borderId="250" xfId="180" applyFont="1" applyFill="1" applyBorder="1" applyAlignment="1">
      <alignment horizontal="left" vertical="top" wrapText="1"/>
    </xf>
    <xf numFmtId="0" fontId="41" fillId="0" borderId="362" xfId="180" applyFont="1" applyFill="1" applyBorder="1" applyAlignment="1">
      <alignment horizontal="left" vertical="top" wrapText="1"/>
    </xf>
    <xf numFmtId="0" fontId="40" fillId="0" borderId="331" xfId="180" applyFont="1" applyFill="1" applyBorder="1" applyAlignment="1">
      <alignment horizontal="left" vertical="center" wrapText="1"/>
    </xf>
    <xf numFmtId="0" fontId="40" fillId="0" borderId="362" xfId="180" applyFont="1" applyFill="1" applyBorder="1" applyAlignment="1">
      <alignment horizontal="left" vertical="center" wrapText="1"/>
    </xf>
    <xf numFmtId="0" fontId="41" fillId="0" borderId="331" xfId="180" applyFont="1" applyFill="1" applyBorder="1" applyAlignment="1">
      <alignment horizontal="left" vertical="top"/>
    </xf>
    <xf numFmtId="0" fontId="41" fillId="0" borderId="422" xfId="180" applyFont="1" applyFill="1" applyBorder="1" applyAlignment="1">
      <alignment horizontal="left" vertical="top"/>
    </xf>
    <xf numFmtId="0" fontId="41" fillId="0" borderId="260" xfId="180" applyFont="1" applyFill="1" applyBorder="1" applyAlignment="1">
      <alignment horizontal="left" vertical="center" wrapText="1"/>
    </xf>
    <xf numFmtId="0" fontId="24" fillId="0" borderId="302" xfId="180" applyFont="1" applyFill="1" applyBorder="1" applyAlignment="1">
      <alignment horizontal="left" vertical="center" wrapText="1"/>
    </xf>
    <xf numFmtId="0" fontId="24" fillId="0" borderId="307" xfId="180" applyFont="1" applyFill="1" applyBorder="1" applyAlignment="1">
      <alignment horizontal="left" vertical="center" wrapText="1"/>
    </xf>
    <xf numFmtId="0" fontId="24" fillId="6" borderId="302" xfId="180" applyFont="1" applyFill="1" applyBorder="1" applyAlignment="1">
      <alignment horizontal="left" vertical="center" wrapText="1"/>
    </xf>
    <xf numFmtId="0" fontId="24" fillId="6" borderId="307" xfId="180" applyFont="1" applyFill="1" applyBorder="1" applyAlignment="1">
      <alignment horizontal="left" vertical="center" wrapText="1"/>
    </xf>
    <xf numFmtId="0" fontId="51" fillId="0" borderId="302" xfId="180" applyFont="1" applyFill="1" applyBorder="1" applyAlignment="1">
      <alignment horizontal="left" vertical="center" wrapText="1"/>
    </xf>
    <xf numFmtId="0" fontId="51" fillId="0" borderId="307" xfId="180" applyFont="1" applyFill="1" applyBorder="1" applyAlignment="1">
      <alignment horizontal="left" vertical="center" wrapText="1"/>
    </xf>
    <xf numFmtId="0" fontId="51" fillId="0" borderId="300" xfId="180" applyFont="1" applyFill="1" applyBorder="1" applyAlignment="1">
      <alignment horizontal="left" vertical="center" wrapText="1"/>
    </xf>
    <xf numFmtId="0" fontId="51" fillId="0" borderId="265" xfId="180" applyFont="1" applyFill="1" applyBorder="1" applyAlignment="1">
      <alignment horizontal="left" vertical="center" wrapText="1"/>
    </xf>
    <xf numFmtId="0" fontId="24" fillId="6" borderId="68" xfId="180" applyFont="1" applyFill="1" applyBorder="1" applyAlignment="1">
      <alignment horizontal="center" vertical="center"/>
    </xf>
    <xf numFmtId="0" fontId="24" fillId="6" borderId="72" xfId="180" applyFont="1" applyFill="1" applyBorder="1" applyAlignment="1">
      <alignment horizontal="center" vertical="center"/>
    </xf>
    <xf numFmtId="0" fontId="25" fillId="0" borderId="19" xfId="180" applyFont="1" applyBorder="1" applyAlignment="1">
      <alignment horizontal="center" vertical="center" wrapText="1"/>
    </xf>
    <xf numFmtId="0" fontId="25" fillId="0" borderId="20" xfId="180" applyFont="1" applyBorder="1" applyAlignment="1">
      <alignment horizontal="center" vertical="center" wrapText="1"/>
    </xf>
    <xf numFmtId="0" fontId="25" fillId="0" borderId="24" xfId="180" applyFont="1" applyBorder="1" applyAlignment="1">
      <alignment horizontal="center" vertical="center" wrapText="1"/>
    </xf>
    <xf numFmtId="0" fontId="25" fillId="0" borderId="22" xfId="180" applyFont="1" applyBorder="1" applyAlignment="1">
      <alignment horizontal="center" vertical="center" wrapText="1"/>
    </xf>
    <xf numFmtId="0" fontId="25" fillId="0" borderId="97" xfId="180" applyFont="1" applyBorder="1" applyAlignment="1">
      <alignment horizontal="center" vertical="center" wrapText="1"/>
    </xf>
    <xf numFmtId="0" fontId="25" fillId="0" borderId="110" xfId="180" applyFont="1" applyBorder="1" applyAlignment="1">
      <alignment horizontal="center" vertical="center" wrapText="1"/>
    </xf>
    <xf numFmtId="0" fontId="41" fillId="0" borderId="331" xfId="180" applyFont="1" applyFill="1" applyBorder="1" applyAlignment="1">
      <alignment horizontal="left" vertical="center" wrapText="1"/>
    </xf>
    <xf numFmtId="0" fontId="24" fillId="0" borderId="302" xfId="180" applyFont="1" applyFill="1" applyBorder="1" applyAlignment="1">
      <alignment horizontal="left" vertical="top" wrapText="1"/>
    </xf>
    <xf numFmtId="0" fontId="24" fillId="0" borderId="307" xfId="180" applyFont="1" applyFill="1" applyBorder="1" applyAlignment="1">
      <alignment horizontal="left" vertical="top" wrapText="1"/>
    </xf>
    <xf numFmtId="0" fontId="24" fillId="0" borderId="12" xfId="180" applyFont="1" applyFill="1" applyBorder="1" applyAlignment="1">
      <alignment horizontal="center" vertical="center"/>
    </xf>
    <xf numFmtId="0" fontId="24" fillId="0" borderId="15" xfId="180" applyFont="1" applyFill="1" applyBorder="1" applyAlignment="1">
      <alignment horizontal="center" vertical="center"/>
    </xf>
    <xf numFmtId="0" fontId="24" fillId="6" borderId="302" xfId="180" applyFont="1" applyFill="1" applyBorder="1" applyAlignment="1">
      <alignment horizontal="left" vertical="top" wrapText="1"/>
    </xf>
    <xf numFmtId="0" fontId="24" fillId="6" borderId="307" xfId="180" applyFont="1" applyFill="1" applyBorder="1" applyAlignment="1">
      <alignment horizontal="left" vertical="top" wrapText="1"/>
    </xf>
    <xf numFmtId="0" fontId="40" fillId="0" borderId="156" xfId="180" applyFont="1" applyFill="1" applyBorder="1" applyAlignment="1">
      <alignment horizontal="left" vertical="center" wrapText="1"/>
    </xf>
    <xf numFmtId="0" fontId="40" fillId="0" borderId="20" xfId="180" applyFont="1" applyFill="1" applyBorder="1" applyAlignment="1">
      <alignment horizontal="center" vertical="top" wrapText="1"/>
    </xf>
    <xf numFmtId="0" fontId="40" fillId="0" borderId="0" xfId="180" applyFont="1" applyFill="1" applyBorder="1" applyAlignment="1">
      <alignment horizontal="center" vertical="top" wrapText="1"/>
    </xf>
    <xf numFmtId="0" fontId="40" fillId="0" borderId="156" xfId="180" applyFont="1" applyFill="1" applyBorder="1" applyAlignment="1">
      <alignment horizontal="center" vertical="top" wrapText="1"/>
    </xf>
    <xf numFmtId="0" fontId="40" fillId="0" borderId="331" xfId="180" applyFont="1" applyFill="1" applyBorder="1" applyAlignment="1">
      <alignment horizontal="left" vertical="top" wrapText="1"/>
    </xf>
    <xf numFmtId="0" fontId="40" fillId="0" borderId="362" xfId="180" applyFont="1" applyFill="1" applyBorder="1" applyAlignment="1">
      <alignment horizontal="left" vertical="top" wrapText="1"/>
    </xf>
    <xf numFmtId="0" fontId="20" fillId="0" borderId="254" xfId="180" applyFont="1" applyFill="1" applyBorder="1" applyAlignment="1">
      <alignment horizontal="center" vertical="center"/>
    </xf>
    <xf numFmtId="0" fontId="20" fillId="0" borderId="97" xfId="180" applyFont="1" applyFill="1" applyBorder="1" applyAlignment="1">
      <alignment horizontal="center" vertical="center"/>
    </xf>
    <xf numFmtId="0" fontId="24" fillId="0" borderId="68" xfId="180" applyFont="1" applyFill="1" applyBorder="1" applyAlignment="1">
      <alignment horizontal="center"/>
    </xf>
    <xf numFmtId="0" fontId="24" fillId="0" borderId="72" xfId="180" applyFont="1" applyFill="1" applyBorder="1" applyAlignment="1">
      <alignment horizontal="center"/>
    </xf>
    <xf numFmtId="0" fontId="40" fillId="0" borderId="23" xfId="180" applyFont="1" applyFill="1" applyBorder="1" applyAlignment="1">
      <alignment horizontal="left" vertical="top" wrapText="1"/>
    </xf>
    <xf numFmtId="0" fontId="32" fillId="0" borderId="27" xfId="15" applyFont="1" applyBorder="1" applyAlignment="1">
      <alignment horizontal="left" vertical="center" wrapText="1"/>
    </xf>
    <xf numFmtId="0" fontId="32" fillId="0" borderId="28" xfId="15" applyFont="1" applyBorder="1" applyAlignment="1">
      <alignment horizontal="left" vertical="center" wrapText="1"/>
    </xf>
    <xf numFmtId="0" fontId="32" fillId="0" borderId="29" xfId="15" applyFont="1" applyBorder="1" applyAlignment="1">
      <alignment horizontal="left" vertical="center" wrapText="1"/>
    </xf>
    <xf numFmtId="0" fontId="32" fillId="0" borderId="10" xfId="15" applyFont="1" applyBorder="1" applyAlignment="1">
      <alignment horizontal="left" vertical="center" wrapText="1"/>
    </xf>
    <xf numFmtId="0" fontId="32" fillId="0" borderId="8" xfId="15" applyFont="1" applyBorder="1" applyAlignment="1">
      <alignment horizontal="left" vertical="center" wrapText="1"/>
    </xf>
    <xf numFmtId="0" fontId="32" fillId="0" borderId="12" xfId="15" applyFont="1" applyBorder="1" applyAlignment="1">
      <alignment vertical="center" wrapText="1"/>
    </xf>
    <xf numFmtId="0" fontId="32" fillId="0" borderId="239" xfId="15" applyFont="1" applyBorder="1" applyAlignment="1">
      <alignment vertical="center" wrapText="1"/>
    </xf>
    <xf numFmtId="0" fontId="31" fillId="0" borderId="19" xfId="15" applyFont="1" applyBorder="1" applyAlignment="1">
      <alignment horizontal="center" vertical="center" wrapText="1"/>
    </xf>
    <xf numFmtId="0" fontId="31" fillId="0" borderId="24" xfId="15" applyFont="1" applyBorder="1" applyAlignment="1">
      <alignment horizontal="center" vertical="center" wrapText="1"/>
    </xf>
    <xf numFmtId="0" fontId="41" fillId="0" borderId="10" xfId="15" applyFont="1" applyBorder="1" applyAlignment="1">
      <alignment horizontal="center" vertical="center" wrapText="1"/>
    </xf>
    <xf numFmtId="0" fontId="41" fillId="0" borderId="9" xfId="15" applyFont="1" applyBorder="1" applyAlignment="1">
      <alignment horizontal="center" vertical="center" wrapText="1"/>
    </xf>
    <xf numFmtId="0" fontId="31" fillId="0" borderId="14" xfId="15" applyFont="1" applyBorder="1" applyAlignment="1">
      <alignment vertical="center" wrapText="1"/>
    </xf>
    <xf numFmtId="0" fontId="31" fillId="0" borderId="10" xfId="15" applyFont="1" applyBorder="1" applyAlignment="1">
      <alignment vertical="center" wrapText="1"/>
    </xf>
    <xf numFmtId="0" fontId="41" fillId="0" borderId="40" xfId="15" applyFont="1" applyBorder="1" applyAlignment="1">
      <alignment horizontal="center" vertical="center" wrapText="1"/>
    </xf>
    <xf numFmtId="0" fontId="41" fillId="0" borderId="39" xfId="15" applyFont="1" applyBorder="1" applyAlignment="1">
      <alignment horizontal="center" vertical="center" wrapText="1"/>
    </xf>
    <xf numFmtId="0" fontId="31" fillId="0" borderId="49" xfId="15" applyFont="1" applyBorder="1" applyAlignment="1">
      <alignment vertical="center" wrapText="1"/>
    </xf>
    <xf numFmtId="0" fontId="31" fillId="0" borderId="40" xfId="15" applyFont="1" applyBorder="1" applyAlignment="1">
      <alignment vertical="center" wrapText="1"/>
    </xf>
    <xf numFmtId="0" fontId="25" fillId="0" borderId="150" xfId="15" applyFont="1" applyBorder="1" applyAlignment="1">
      <alignment horizontal="left" vertical="top" wrapText="1"/>
    </xf>
    <xf numFmtId="0" fontId="25" fillId="0" borderId="77" xfId="15" applyFont="1" applyBorder="1" applyAlignment="1">
      <alignment horizontal="left" vertical="top" wrapText="1"/>
    </xf>
    <xf numFmtId="0" fontId="25" fillId="0" borderId="80" xfId="15" applyFont="1" applyBorder="1" applyAlignment="1">
      <alignment horizontal="left" vertical="top" wrapText="1"/>
    </xf>
    <xf numFmtId="0" fontId="40" fillId="0" borderId="6" xfId="15" applyFont="1" applyBorder="1" applyAlignment="1">
      <alignment horizontal="center" vertical="top" wrapText="1"/>
    </xf>
    <xf numFmtId="0" fontId="40" fillId="0" borderId="25" xfId="15" applyFont="1" applyBorder="1" applyAlignment="1">
      <alignment horizontal="center" vertical="top" wrapText="1"/>
    </xf>
    <xf numFmtId="0" fontId="40" fillId="0" borderId="52" xfId="15" applyFont="1" applyBorder="1" applyAlignment="1">
      <alignment horizontal="left" vertical="top" wrapText="1"/>
    </xf>
    <xf numFmtId="0" fontId="40" fillId="0" borderId="53" xfId="15" applyFont="1" applyBorder="1" applyAlignment="1">
      <alignment horizontal="left" vertical="top" wrapText="1"/>
    </xf>
    <xf numFmtId="0" fontId="40" fillId="0" borderId="12" xfId="15" applyFont="1" applyBorder="1" applyAlignment="1">
      <alignment horizontal="left" vertical="top" wrapText="1"/>
    </xf>
    <xf numFmtId="0" fontId="40" fillId="0" borderId="15" xfId="15" applyFont="1" applyBorder="1" applyAlignment="1">
      <alignment horizontal="left" vertical="top" wrapText="1"/>
    </xf>
    <xf numFmtId="0" fontId="40" fillId="0" borderId="63" xfId="15" applyFont="1" applyBorder="1" applyAlignment="1">
      <alignment horizontal="left" vertical="top" wrapText="1"/>
    </xf>
    <xf numFmtId="0" fontId="40" fillId="0" borderId="77" xfId="15" applyFont="1" applyBorder="1" applyAlignment="1">
      <alignment horizontal="left" vertical="top" wrapText="1"/>
    </xf>
    <xf numFmtId="0" fontId="41" fillId="0" borderId="5" xfId="15" applyFont="1" applyFill="1" applyBorder="1" applyAlignment="1">
      <alignment horizontal="center" vertical="center" wrapText="1"/>
    </xf>
    <xf numFmtId="0" fontId="41" fillId="0" borderId="25" xfId="15" applyFont="1" applyFill="1" applyBorder="1" applyAlignment="1">
      <alignment horizontal="center" vertical="center" wrapText="1"/>
    </xf>
    <xf numFmtId="0" fontId="21" fillId="0" borderId="0" xfId="15" applyFont="1" applyFill="1" applyBorder="1" applyAlignment="1">
      <alignment horizontal="left" vertical="top" wrapText="1"/>
    </xf>
    <xf numFmtId="166" fontId="68" fillId="39" borderId="0" xfId="180" applyNumberFormat="1" applyFont="1" applyFill="1" applyAlignment="1">
      <alignment horizontal="center" vertical="center"/>
    </xf>
    <xf numFmtId="0" fontId="40" fillId="0" borderId="0" xfId="15" applyFont="1" applyBorder="1" applyAlignment="1">
      <alignment horizontal="left" vertical="center" wrapText="1"/>
    </xf>
    <xf numFmtId="0" fontId="41" fillId="6" borderId="302" xfId="15" applyFont="1" applyFill="1" applyBorder="1" applyAlignment="1">
      <alignment horizontal="left" vertical="top" wrapText="1"/>
    </xf>
    <xf numFmtId="0" fontId="67" fillId="0" borderId="70" xfId="15" applyFont="1" applyBorder="1" applyAlignment="1">
      <alignment horizontal="center" vertical="center" wrapText="1"/>
    </xf>
    <xf numFmtId="0" fontId="67" fillId="0" borderId="50" xfId="15" applyFont="1" applyBorder="1" applyAlignment="1">
      <alignment horizontal="center" vertical="center" wrapText="1"/>
    </xf>
    <xf numFmtId="0" fontId="67" fillId="0" borderId="150" xfId="15" applyFont="1" applyBorder="1" applyAlignment="1">
      <alignment horizontal="center" vertical="center" wrapText="1"/>
    </xf>
    <xf numFmtId="2" fontId="67" fillId="38" borderId="74" xfId="15" applyNumberFormat="1" applyFont="1" applyFill="1" applyBorder="1" applyAlignment="1">
      <alignment horizontal="center" vertical="center" wrapText="1"/>
    </xf>
    <xf numFmtId="2" fontId="67" fillId="38" borderId="73" xfId="15" applyNumberFormat="1" applyFont="1" applyFill="1" applyBorder="1" applyAlignment="1">
      <alignment horizontal="center" vertical="center" wrapText="1"/>
    </xf>
    <xf numFmtId="166" fontId="67" fillId="38" borderId="74" xfId="15" applyNumberFormat="1" applyFont="1" applyFill="1" applyBorder="1" applyAlignment="1">
      <alignment horizontal="center" vertical="center" wrapText="1"/>
    </xf>
    <xf numFmtId="0" fontId="67" fillId="38" borderId="73" xfId="15" applyFont="1" applyFill="1" applyBorder="1" applyAlignment="1">
      <alignment horizontal="center" vertical="center" wrapText="1"/>
    </xf>
    <xf numFmtId="0" fontId="67" fillId="38" borderId="28" xfId="15" applyFont="1" applyFill="1" applyBorder="1" applyAlignment="1">
      <alignment horizontal="center" vertical="center" wrapText="1"/>
    </xf>
    <xf numFmtId="0" fontId="67" fillId="0" borderId="53" xfId="15" applyFont="1" applyBorder="1" applyAlignment="1">
      <alignment horizontal="center" vertical="center" wrapText="1"/>
    </xf>
    <xf numFmtId="0" fontId="40" fillId="0" borderId="51" xfId="15" applyFont="1" applyFill="1" applyBorder="1" applyAlignment="1">
      <alignment horizontal="left" vertical="top" wrapText="1"/>
    </xf>
    <xf numFmtId="0" fontId="40" fillId="0" borderId="34" xfId="15" applyFont="1" applyFill="1" applyBorder="1" applyAlignment="1">
      <alignment horizontal="left" vertical="top" wrapText="1"/>
    </xf>
    <xf numFmtId="0" fontId="40" fillId="0" borderId="1" xfId="15" applyFont="1" applyFill="1" applyBorder="1" applyAlignment="1">
      <alignment horizontal="left" vertical="top" wrapText="1"/>
    </xf>
    <xf numFmtId="0" fontId="40" fillId="0" borderId="2" xfId="15" applyFont="1" applyFill="1" applyBorder="1" applyAlignment="1">
      <alignment horizontal="left" vertical="top" wrapText="1"/>
    </xf>
    <xf numFmtId="0" fontId="40" fillId="0" borderId="24" xfId="15" applyFont="1" applyFill="1" applyBorder="1" applyAlignment="1">
      <alignment horizontal="left" vertical="top" wrapText="1"/>
    </xf>
    <xf numFmtId="0" fontId="40" fillId="0" borderId="23" xfId="15" applyFont="1" applyFill="1" applyBorder="1" applyAlignment="1">
      <alignment horizontal="left" vertical="top" wrapText="1"/>
    </xf>
    <xf numFmtId="0" fontId="41" fillId="0" borderId="308" xfId="15" applyFont="1" applyFill="1" applyBorder="1" applyAlignment="1">
      <alignment horizontal="center" vertical="center" wrapText="1"/>
    </xf>
    <xf numFmtId="0" fontId="41" fillId="0" borderId="157" xfId="15" applyFont="1" applyFill="1" applyBorder="1" applyAlignment="1">
      <alignment horizontal="center" vertical="center" wrapText="1"/>
    </xf>
    <xf numFmtId="0" fontId="40" fillId="0" borderId="70" xfId="15" applyFont="1" applyBorder="1" applyAlignment="1">
      <alignment horizontal="left" vertical="top" wrapText="1"/>
    </xf>
    <xf numFmtId="166" fontId="24" fillId="0" borderId="14" xfId="180" applyNumberFormat="1" applyFont="1" applyFill="1" applyBorder="1" applyAlignment="1">
      <alignment horizontal="center" vertical="center" textRotation="90"/>
    </xf>
    <xf numFmtId="0" fontId="41" fillId="6" borderId="6" xfId="180" applyFont="1" applyFill="1" applyBorder="1" applyAlignment="1">
      <alignment horizontal="center" vertical="top" wrapText="1"/>
    </xf>
    <xf numFmtId="0" fontId="24" fillId="0" borderId="10" xfId="180" applyFont="1" applyBorder="1" applyAlignment="1">
      <alignment horizontal="center"/>
    </xf>
    <xf numFmtId="0" fontId="24" fillId="0" borderId="8" xfId="180" applyFont="1" applyBorder="1" applyAlignment="1">
      <alignment horizontal="center"/>
    </xf>
    <xf numFmtId="0" fontId="24" fillId="0" borderId="9" xfId="180" applyFont="1" applyBorder="1" applyAlignment="1">
      <alignment horizontal="center"/>
    </xf>
    <xf numFmtId="0" fontId="24" fillId="0" borderId="10" xfId="180" applyFont="1" applyFill="1" applyBorder="1" applyAlignment="1">
      <alignment horizontal="center"/>
    </xf>
    <xf numFmtId="0" fontId="24" fillId="0" borderId="8" xfId="180" applyFont="1" applyFill="1" applyBorder="1" applyAlignment="1">
      <alignment horizontal="center"/>
    </xf>
    <xf numFmtId="0" fontId="24" fillId="0" borderId="9" xfId="180" applyFont="1" applyFill="1" applyBorder="1" applyAlignment="1">
      <alignment horizontal="center"/>
    </xf>
    <xf numFmtId="0" fontId="41" fillId="0" borderId="1" xfId="180" applyFont="1" applyFill="1" applyBorder="1" applyAlignment="1">
      <alignment horizontal="left" vertical="top" wrapText="1"/>
    </xf>
    <xf numFmtId="0" fontId="41" fillId="0" borderId="2" xfId="180" applyFont="1" applyFill="1" applyBorder="1" applyAlignment="1">
      <alignment horizontal="left" vertical="top" wrapText="1"/>
    </xf>
    <xf numFmtId="0" fontId="40" fillId="0" borderId="239" xfId="180" applyFont="1" applyFill="1" applyBorder="1" applyAlignment="1">
      <alignment horizontal="center" vertical="top" wrapText="1"/>
    </xf>
    <xf numFmtId="0" fontId="40" fillId="0" borderId="242" xfId="180" applyFont="1" applyFill="1" applyBorder="1" applyAlignment="1">
      <alignment horizontal="center" vertical="top" wrapText="1"/>
    </xf>
    <xf numFmtId="0" fontId="40" fillId="0" borderId="240" xfId="180" applyFont="1" applyFill="1" applyBorder="1" applyAlignment="1">
      <alignment horizontal="center" vertical="top" wrapText="1"/>
    </xf>
    <xf numFmtId="0" fontId="40" fillId="0" borderId="1" xfId="180" applyFont="1" applyFill="1" applyBorder="1" applyAlignment="1">
      <alignment horizontal="center" vertical="top" wrapText="1"/>
    </xf>
    <xf numFmtId="0" fontId="40" fillId="0" borderId="2" xfId="180" applyFont="1" applyFill="1" applyBorder="1" applyAlignment="1">
      <alignment horizontal="center" vertical="top" wrapText="1"/>
    </xf>
    <xf numFmtId="166" fontId="67" fillId="13" borderId="10" xfId="180" applyNumberFormat="1" applyFont="1" applyFill="1" applyBorder="1" applyAlignment="1">
      <alignment horizontal="center"/>
    </xf>
    <xf numFmtId="166" fontId="67" fillId="13" borderId="8" xfId="180" applyNumberFormat="1" applyFont="1" applyFill="1" applyBorder="1" applyAlignment="1">
      <alignment horizontal="center"/>
    </xf>
    <xf numFmtId="166" fontId="67" fillId="13" borderId="9" xfId="180" applyNumberFormat="1" applyFont="1" applyFill="1" applyBorder="1" applyAlignment="1">
      <alignment horizontal="center"/>
    </xf>
    <xf numFmtId="0" fontId="41" fillId="0" borderId="10" xfId="180" applyFont="1" applyFill="1" applyBorder="1" applyAlignment="1">
      <alignment horizontal="center"/>
    </xf>
    <xf numFmtId="0" fontId="41" fillId="0" borderId="8" xfId="180" applyFont="1" applyFill="1" applyBorder="1" applyAlignment="1">
      <alignment horizontal="center"/>
    </xf>
    <xf numFmtId="0" fontId="41" fillId="0" borderId="9" xfId="180" applyFont="1" applyFill="1" applyBorder="1" applyAlignment="1">
      <alignment horizontal="center"/>
    </xf>
    <xf numFmtId="0" fontId="41" fillId="0" borderId="5" xfId="180" applyFont="1" applyFill="1" applyBorder="1" applyAlignment="1">
      <alignment horizontal="left" vertical="top" wrapText="1"/>
    </xf>
    <xf numFmtId="0" fontId="41" fillId="0" borderId="6" xfId="180" applyFont="1" applyFill="1" applyBorder="1" applyAlignment="1">
      <alignment horizontal="left" vertical="top" wrapText="1"/>
    </xf>
    <xf numFmtId="0" fontId="41" fillId="0" borderId="7" xfId="180" applyFont="1" applyFill="1" applyBorder="1" applyAlignment="1">
      <alignment horizontal="left" vertical="top" wrapText="1"/>
    </xf>
    <xf numFmtId="0" fontId="41" fillId="0" borderId="1" xfId="180" applyFont="1" applyFill="1" applyBorder="1" applyAlignment="1">
      <alignment horizontal="center" vertical="top" wrapText="1"/>
    </xf>
    <xf numFmtId="0" fontId="41" fillId="0" borderId="0" xfId="180" applyFont="1" applyFill="1" applyBorder="1" applyAlignment="1">
      <alignment horizontal="center" vertical="top" wrapText="1"/>
    </xf>
    <xf numFmtId="0" fontId="41" fillId="0" borderId="2" xfId="180" applyFont="1" applyFill="1" applyBorder="1" applyAlignment="1">
      <alignment horizontal="center" vertical="top" wrapText="1"/>
    </xf>
    <xf numFmtId="0" fontId="41" fillId="0" borderId="5" xfId="180" applyFont="1" applyFill="1" applyBorder="1" applyAlignment="1">
      <alignment horizontal="center" vertical="top" wrapText="1"/>
    </xf>
    <xf numFmtId="0" fontId="41" fillId="0" borderId="6" xfId="180" applyFont="1" applyFill="1" applyBorder="1" applyAlignment="1">
      <alignment horizontal="center" vertical="top" wrapText="1"/>
    </xf>
    <xf numFmtId="0" fontId="41" fillId="0" borderId="7" xfId="180" applyFont="1" applyFill="1" applyBorder="1" applyAlignment="1">
      <alignment horizontal="center" vertical="top" wrapText="1"/>
    </xf>
    <xf numFmtId="0" fontId="108" fillId="0" borderId="0" xfId="180" applyFont="1" applyBorder="1" applyAlignment="1">
      <alignment wrapText="1"/>
    </xf>
    <xf numFmtId="0" fontId="17" fillId="0" borderId="0" xfId="180" applyAlignment="1"/>
    <xf numFmtId="0" fontId="40" fillId="0" borderId="0" xfId="180" applyFont="1" applyBorder="1" applyAlignment="1">
      <alignment horizontal="left" vertical="top" wrapText="1"/>
    </xf>
    <xf numFmtId="0" fontId="41" fillId="0" borderId="0" xfId="180" applyFont="1" applyBorder="1" applyAlignment="1">
      <alignment horizontal="right" vertical="top"/>
    </xf>
    <xf numFmtId="0" fontId="40" fillId="0" borderId="0" xfId="180" applyFont="1" applyFill="1" applyAlignment="1">
      <alignment horizontal="left" wrapText="1"/>
    </xf>
    <xf numFmtId="0" fontId="40" fillId="0" borderId="0" xfId="180" applyFont="1" applyFill="1" applyBorder="1" applyAlignment="1" applyProtection="1">
      <alignment horizontal="center" vertical="top" wrapText="1" shrinkToFit="1"/>
      <protection locked="0"/>
    </xf>
    <xf numFmtId="0" fontId="111" fillId="6" borderId="398" xfId="180" applyFont="1" applyFill="1" applyBorder="1" applyAlignment="1">
      <alignment horizontal="left"/>
    </xf>
    <xf numFmtId="0" fontId="111" fillId="6" borderId="399" xfId="180" applyFont="1" applyFill="1" applyBorder="1" applyAlignment="1">
      <alignment horizontal="left"/>
    </xf>
    <xf numFmtId="0" fontId="41" fillId="6" borderId="430" xfId="180" applyFont="1" applyFill="1" applyBorder="1" applyAlignment="1">
      <alignment horizontal="left" vertical="top" wrapText="1"/>
    </xf>
    <xf numFmtId="0" fontId="41" fillId="6" borderId="420" xfId="180" applyFont="1" applyFill="1" applyBorder="1" applyAlignment="1">
      <alignment horizontal="left" vertical="top" wrapText="1"/>
    </xf>
    <xf numFmtId="0" fontId="25" fillId="0" borderId="403" xfId="180" applyFont="1" applyBorder="1" applyAlignment="1">
      <alignment horizontal="center"/>
    </xf>
    <xf numFmtId="0" fontId="25" fillId="0" borderId="404" xfId="180" applyFont="1" applyBorder="1" applyAlignment="1">
      <alignment horizontal="center"/>
    </xf>
    <xf numFmtId="0" fontId="41" fillId="0" borderId="350" xfId="180" applyFont="1" applyBorder="1" applyAlignment="1">
      <alignment horizontal="center"/>
    </xf>
    <xf numFmtId="0" fontId="41" fillId="0" borderId="403" xfId="180" applyFont="1" applyBorder="1" applyAlignment="1">
      <alignment horizontal="center"/>
    </xf>
    <xf numFmtId="0" fontId="41" fillId="0" borderId="404" xfId="180" applyFont="1" applyBorder="1" applyAlignment="1">
      <alignment horizontal="center"/>
    </xf>
    <xf numFmtId="166" fontId="24" fillId="0" borderId="52" xfId="180" applyNumberFormat="1" applyFont="1" applyBorder="1" applyAlignment="1">
      <alignment horizontal="center" vertical="center" textRotation="90"/>
    </xf>
    <xf numFmtId="166" fontId="24" fillId="0" borderId="53" xfId="180" applyNumberFormat="1" applyFont="1" applyBorder="1" applyAlignment="1">
      <alignment horizontal="center" vertical="center" textRotation="90"/>
    </xf>
    <xf numFmtId="166" fontId="24" fillId="0" borderId="64" xfId="180" applyNumberFormat="1" applyFont="1" applyBorder="1" applyAlignment="1">
      <alignment horizontal="center" vertical="center" textRotation="90"/>
    </xf>
    <xf numFmtId="0" fontId="133" fillId="0" borderId="239" xfId="180" applyFont="1" applyFill="1" applyBorder="1" applyAlignment="1">
      <alignment horizontal="left" vertical="top" wrapText="1"/>
    </xf>
    <xf numFmtId="0" fontId="133" fillId="0" borderId="111" xfId="180" applyFont="1" applyFill="1" applyBorder="1" applyAlignment="1">
      <alignment horizontal="left" vertical="top" wrapText="1"/>
    </xf>
    <xf numFmtId="0" fontId="133" fillId="0" borderId="240" xfId="180" applyFont="1" applyFill="1" applyBorder="1" applyAlignment="1">
      <alignment horizontal="left" vertical="top" wrapText="1"/>
    </xf>
    <xf numFmtId="0" fontId="133" fillId="0" borderId="1" xfId="180" applyFont="1" applyFill="1" applyBorder="1" applyAlignment="1">
      <alignment horizontal="left" vertical="top" wrapText="1"/>
    </xf>
    <xf numFmtId="0" fontId="133" fillId="0" borderId="0" xfId="180" applyFont="1" applyFill="1" applyBorder="1" applyAlignment="1">
      <alignment horizontal="left" vertical="top" wrapText="1"/>
    </xf>
    <xf numFmtId="0" fontId="133" fillId="0" borderId="2" xfId="180" applyFont="1" applyFill="1" applyBorder="1" applyAlignment="1">
      <alignment horizontal="left" vertical="top" wrapText="1"/>
    </xf>
    <xf numFmtId="0" fontId="40" fillId="0" borderId="239" xfId="180" applyFont="1" applyFill="1" applyBorder="1" applyAlignment="1">
      <alignment horizontal="left" vertical="top" wrapText="1"/>
    </xf>
    <xf numFmtId="0" fontId="40" fillId="0" borderId="111" xfId="180" applyFont="1" applyFill="1" applyBorder="1" applyAlignment="1">
      <alignment horizontal="left" vertical="top" wrapText="1"/>
    </xf>
    <xf numFmtId="0" fontId="40" fillId="0" borderId="240" xfId="180" applyFont="1" applyFill="1" applyBorder="1" applyAlignment="1">
      <alignment horizontal="left" vertical="top" wrapText="1"/>
    </xf>
    <xf numFmtId="0" fontId="40" fillId="0" borderId="1" xfId="180" applyFont="1" applyFill="1" applyBorder="1" applyAlignment="1">
      <alignment horizontal="left" vertical="top" wrapText="1"/>
    </xf>
    <xf numFmtId="0" fontId="40" fillId="0" borderId="2" xfId="180" applyFont="1" applyFill="1" applyBorder="1" applyAlignment="1">
      <alignment horizontal="left" vertical="top" wrapText="1"/>
    </xf>
    <xf numFmtId="0" fontId="133" fillId="6" borderId="239" xfId="180" applyFont="1" applyFill="1" applyBorder="1" applyAlignment="1">
      <alignment horizontal="left" vertical="top" wrapText="1"/>
    </xf>
    <xf numFmtId="0" fontId="133" fillId="6" borderId="111" xfId="180" applyFont="1" applyFill="1" applyBorder="1" applyAlignment="1">
      <alignment horizontal="left" vertical="top" wrapText="1"/>
    </xf>
    <xf numFmtId="0" fontId="133" fillId="6" borderId="178" xfId="180" applyFont="1" applyFill="1" applyBorder="1" applyAlignment="1">
      <alignment horizontal="left" vertical="top" wrapText="1"/>
    </xf>
    <xf numFmtId="0" fontId="133" fillId="6" borderId="386" xfId="180" applyFont="1" applyFill="1" applyBorder="1" applyAlignment="1">
      <alignment horizontal="left" vertical="top" wrapText="1"/>
    </xf>
    <xf numFmtId="0" fontId="133" fillId="6" borderId="387" xfId="180" applyFont="1" applyFill="1" applyBorder="1" applyAlignment="1">
      <alignment horizontal="left" vertical="top" wrapText="1"/>
    </xf>
    <xf numFmtId="0" fontId="133" fillId="6" borderId="395" xfId="180" applyFont="1" applyFill="1" applyBorder="1" applyAlignment="1">
      <alignment horizontal="left" vertical="top" wrapText="1"/>
    </xf>
    <xf numFmtId="0" fontId="41" fillId="0" borderId="388" xfId="180" applyFont="1" applyFill="1" applyBorder="1" applyAlignment="1">
      <alignment horizontal="left" vertical="center" wrapText="1"/>
    </xf>
    <xf numFmtId="0" fontId="41" fillId="0" borderId="389" xfId="180" applyFont="1" applyFill="1" applyBorder="1" applyAlignment="1">
      <alignment horizontal="left" vertical="center" wrapText="1"/>
    </xf>
    <xf numFmtId="0" fontId="41" fillId="0" borderId="386" xfId="180" applyFont="1" applyFill="1" applyBorder="1" applyAlignment="1">
      <alignment horizontal="left" vertical="center" wrapText="1"/>
    </xf>
    <xf numFmtId="0" fontId="41" fillId="0" borderId="387" xfId="180" applyFont="1" applyFill="1" applyBorder="1" applyAlignment="1">
      <alignment horizontal="left" vertical="center" wrapText="1"/>
    </xf>
    <xf numFmtId="0" fontId="111" fillId="0" borderId="396" xfId="180" quotePrefix="1" applyNumberFormat="1" applyFont="1" applyFill="1" applyBorder="1" applyAlignment="1">
      <alignment horizontal="center" vertical="center"/>
    </xf>
    <xf numFmtId="0" fontId="111" fillId="0" borderId="395" xfId="180" applyNumberFormat="1" applyFont="1" applyFill="1" applyBorder="1" applyAlignment="1">
      <alignment horizontal="center" vertical="center"/>
    </xf>
    <xf numFmtId="0" fontId="41" fillId="0" borderId="388" xfId="180" applyFont="1" applyFill="1" applyBorder="1" applyAlignment="1">
      <alignment horizontal="left" vertical="top" wrapText="1"/>
    </xf>
    <xf numFmtId="0" fontId="41" fillId="0" borderId="389" xfId="180" applyFont="1" applyFill="1" applyBorder="1" applyAlignment="1">
      <alignment horizontal="left" vertical="top" wrapText="1"/>
    </xf>
    <xf numFmtId="0" fontId="41" fillId="0" borderId="392" xfId="180" applyFont="1" applyFill="1" applyBorder="1" applyAlignment="1">
      <alignment horizontal="left" vertical="top"/>
    </xf>
    <xf numFmtId="0" fontId="41" fillId="0" borderId="393" xfId="180" applyFont="1" applyFill="1" applyBorder="1" applyAlignment="1">
      <alignment horizontal="left" vertical="top"/>
    </xf>
    <xf numFmtId="0" fontId="41" fillId="0" borderId="398" xfId="180" applyFont="1" applyFill="1" applyBorder="1" applyAlignment="1">
      <alignment horizontal="left" vertical="top"/>
    </xf>
    <xf numFmtId="0" fontId="41" fillId="0" borderId="399" xfId="180" applyFont="1" applyFill="1" applyBorder="1" applyAlignment="1">
      <alignment horizontal="left" vertical="top"/>
    </xf>
    <xf numFmtId="0" fontId="111" fillId="0" borderId="401" xfId="180" quotePrefix="1" applyFont="1" applyFill="1" applyBorder="1" applyAlignment="1">
      <alignment horizontal="center" vertical="top"/>
    </xf>
    <xf numFmtId="0" fontId="111" fillId="0" borderId="402" xfId="180" applyFont="1" applyFill="1" applyBorder="1" applyAlignment="1">
      <alignment horizontal="center" vertical="top"/>
    </xf>
    <xf numFmtId="2" fontId="67" fillId="13" borderId="36" xfId="180" applyNumberFormat="1" applyFont="1" applyFill="1" applyBorder="1" applyAlignment="1">
      <alignment horizontal="center"/>
    </xf>
    <xf numFmtId="2" fontId="67" fillId="13" borderId="30" xfId="180" applyNumberFormat="1" applyFont="1" applyFill="1" applyBorder="1" applyAlignment="1">
      <alignment horizontal="center"/>
    </xf>
    <xf numFmtId="2" fontId="67" fillId="13" borderId="32" xfId="180" applyNumberFormat="1" applyFont="1" applyFill="1" applyBorder="1" applyAlignment="1">
      <alignment horizontal="center"/>
    </xf>
    <xf numFmtId="0" fontId="67" fillId="13" borderId="36" xfId="180" applyFont="1" applyFill="1" applyBorder="1" applyAlignment="1">
      <alignment horizontal="center"/>
    </xf>
    <xf numFmtId="0" fontId="67" fillId="13" borderId="30" xfId="180" applyFont="1" applyFill="1" applyBorder="1" applyAlignment="1">
      <alignment horizontal="center"/>
    </xf>
    <xf numFmtId="0" fontId="67" fillId="13" borderId="35" xfId="180" applyFont="1" applyFill="1" applyBorder="1" applyAlignment="1">
      <alignment horizontal="center"/>
    </xf>
    <xf numFmtId="0" fontId="67" fillId="13" borderId="32" xfId="180" applyFont="1" applyFill="1" applyBorder="1" applyAlignment="1">
      <alignment horizontal="center"/>
    </xf>
    <xf numFmtId="0" fontId="40" fillId="0" borderId="239" xfId="180" applyFont="1" applyBorder="1" applyAlignment="1">
      <alignment horizontal="left" vertical="top" wrapText="1"/>
    </xf>
    <xf numFmtId="0" fontId="40" fillId="0" borderId="111" xfId="180" applyFont="1" applyBorder="1" applyAlignment="1">
      <alignment horizontal="left" vertical="top" wrapText="1"/>
    </xf>
    <xf numFmtId="0" fontId="40" fillId="0" borderId="178" xfId="180" applyFont="1" applyBorder="1" applyAlignment="1">
      <alignment horizontal="left" vertical="top" wrapText="1"/>
    </xf>
    <xf numFmtId="0" fontId="40" fillId="0" borderId="1" xfId="180" applyFont="1" applyBorder="1" applyAlignment="1">
      <alignment horizontal="left" vertical="top" wrapText="1"/>
    </xf>
    <xf numFmtId="0" fontId="40" fillId="0" borderId="23" xfId="180" applyFont="1" applyBorder="1" applyAlignment="1">
      <alignment horizontal="left" vertical="top" wrapText="1"/>
    </xf>
    <xf numFmtId="0" fontId="25" fillId="0" borderId="350" xfId="180" applyFont="1" applyBorder="1" applyAlignment="1">
      <alignment horizontal="center"/>
    </xf>
    <xf numFmtId="0" fontId="24" fillId="0" borderId="40" xfId="180" applyFont="1" applyBorder="1" applyAlignment="1">
      <alignment horizontal="center"/>
    </xf>
    <xf numFmtId="0" fontId="24" fillId="0" borderId="38" xfId="180" applyFont="1" applyBorder="1" applyAlignment="1">
      <alignment horizontal="center"/>
    </xf>
    <xf numFmtId="0" fontId="24" fillId="0" borderId="41" xfId="180" applyFont="1" applyBorder="1" applyAlignment="1">
      <alignment horizontal="center"/>
    </xf>
    <xf numFmtId="166" fontId="41" fillId="0" borderId="10" xfId="180" applyNumberFormat="1" applyFont="1" applyBorder="1" applyAlignment="1">
      <alignment horizontal="left"/>
    </xf>
    <xf numFmtId="166" fontId="41" fillId="0" borderId="8" xfId="180" applyNumberFormat="1" applyFont="1" applyBorder="1" applyAlignment="1">
      <alignment horizontal="left"/>
    </xf>
    <xf numFmtId="166" fontId="41" fillId="0" borderId="9" xfId="180" applyNumberFormat="1" applyFont="1" applyBorder="1" applyAlignment="1">
      <alignment horizontal="left"/>
    </xf>
    <xf numFmtId="166" fontId="41" fillId="0" borderId="40" xfId="180" applyNumberFormat="1" applyFont="1" applyBorder="1" applyAlignment="1">
      <alignment horizontal="left"/>
    </xf>
    <xf numFmtId="166" fontId="41" fillId="0" borderId="38" xfId="180" applyNumberFormat="1" applyFont="1" applyBorder="1" applyAlignment="1">
      <alignment horizontal="left"/>
    </xf>
    <xf numFmtId="166" fontId="41" fillId="0" borderId="39" xfId="180" applyNumberFormat="1" applyFont="1" applyBorder="1" applyAlignment="1">
      <alignment horizontal="left"/>
    </xf>
    <xf numFmtId="166" fontId="67" fillId="13" borderId="0" xfId="180" quotePrefix="1" applyNumberFormat="1" applyFont="1" applyFill="1" applyAlignment="1">
      <alignment horizontal="left"/>
    </xf>
    <xf numFmtId="166" fontId="67" fillId="13" borderId="0" xfId="180" applyNumberFormat="1" applyFont="1" applyFill="1" applyAlignment="1">
      <alignment horizontal="left"/>
    </xf>
    <xf numFmtId="0" fontId="24" fillId="0" borderId="52" xfId="180" applyFont="1" applyBorder="1" applyAlignment="1">
      <alignment horizontal="center" vertical="center" textRotation="90" wrapText="1"/>
    </xf>
    <xf numFmtId="0" fontId="24" fillId="0" borderId="53" xfId="180" applyFont="1" applyBorder="1" applyAlignment="1">
      <alignment horizontal="center" vertical="center" textRotation="90" wrapText="1"/>
    </xf>
    <xf numFmtId="0" fontId="24" fillId="0" borderId="64" xfId="180" applyFont="1" applyBorder="1" applyAlignment="1">
      <alignment horizontal="center" vertical="center" textRotation="90" wrapText="1"/>
    </xf>
    <xf numFmtId="0" fontId="24" fillId="0" borderId="239" xfId="180" applyFont="1" applyBorder="1" applyAlignment="1">
      <alignment horizontal="center"/>
    </xf>
    <xf numFmtId="0" fontId="24" fillId="0" borderId="111" xfId="180" applyFont="1" applyBorder="1" applyAlignment="1">
      <alignment horizontal="center"/>
    </xf>
    <xf numFmtId="0" fontId="24" fillId="0" borderId="240" xfId="180" applyFont="1" applyBorder="1" applyAlignment="1">
      <alignment horizontal="center"/>
    </xf>
    <xf numFmtId="0" fontId="24" fillId="0" borderId="1" xfId="180" applyFont="1" applyBorder="1" applyAlignment="1">
      <alignment horizontal="center"/>
    </xf>
    <xf numFmtId="0" fontId="24" fillId="0" borderId="0" xfId="180" applyFont="1" applyBorder="1" applyAlignment="1">
      <alignment horizontal="center"/>
    </xf>
    <xf numFmtId="0" fontId="24" fillId="0" borderId="2" xfId="180" applyFont="1" applyBorder="1" applyAlignment="1">
      <alignment horizontal="center"/>
    </xf>
    <xf numFmtId="166" fontId="41" fillId="0" borderId="10" xfId="180" applyNumberFormat="1" applyFont="1" applyFill="1" applyBorder="1" applyAlignment="1">
      <alignment horizontal="left"/>
    </xf>
    <xf numFmtId="166" fontId="41" fillId="0" borderId="8" xfId="180" applyNumberFormat="1" applyFont="1" applyFill="1" applyBorder="1" applyAlignment="1">
      <alignment horizontal="left"/>
    </xf>
    <xf numFmtId="166" fontId="41" fillId="0" borderId="9" xfId="180" applyNumberFormat="1" applyFont="1" applyFill="1" applyBorder="1" applyAlignment="1">
      <alignment horizontal="left"/>
    </xf>
    <xf numFmtId="166" fontId="111" fillId="6" borderId="10" xfId="180" applyNumberFormat="1" applyFont="1" applyFill="1" applyBorder="1" applyAlignment="1">
      <alignment horizontal="left"/>
    </xf>
    <xf numFmtId="166" fontId="111" fillId="6" borderId="8" xfId="180" applyNumberFormat="1" applyFont="1" applyFill="1" applyBorder="1" applyAlignment="1">
      <alignment horizontal="left"/>
    </xf>
    <xf numFmtId="166" fontId="111" fillId="6" borderId="9" xfId="180" applyNumberFormat="1" applyFont="1" applyFill="1" applyBorder="1" applyAlignment="1">
      <alignment horizontal="left"/>
    </xf>
    <xf numFmtId="0" fontId="41" fillId="0" borderId="239" xfId="180" applyFont="1" applyBorder="1" applyAlignment="1">
      <alignment horizontal="left" vertical="center"/>
    </xf>
    <xf numFmtId="0" fontId="41" fillId="0" borderId="111" xfId="180" applyFont="1" applyBorder="1" applyAlignment="1">
      <alignment horizontal="left" vertical="center"/>
    </xf>
    <xf numFmtId="0" fontId="41" fillId="0" borderId="240" xfId="180" applyFont="1" applyBorder="1" applyAlignment="1">
      <alignment horizontal="left" vertical="center"/>
    </xf>
    <xf numFmtId="0" fontId="41" fillId="0" borderId="49" xfId="180" applyFont="1" applyBorder="1" applyAlignment="1">
      <alignment horizontal="left" vertical="center"/>
    </xf>
    <xf numFmtId="0" fontId="67" fillId="13" borderId="36" xfId="180" quotePrefix="1" applyFont="1" applyFill="1" applyBorder="1" applyAlignment="1">
      <alignment horizontal="center"/>
    </xf>
    <xf numFmtId="0" fontId="41" fillId="0" borderId="14" xfId="180" applyFont="1" applyBorder="1" applyAlignment="1">
      <alignment horizontal="left" vertical="center" wrapText="1"/>
    </xf>
    <xf numFmtId="166" fontId="45" fillId="7" borderId="10" xfId="3" applyNumberFormat="1" applyFont="1" applyFill="1" applyBorder="1" applyAlignment="1">
      <alignment horizontal="center" vertical="center" wrapText="1"/>
    </xf>
    <xf numFmtId="166" fontId="45" fillId="7" borderId="8" xfId="3" applyNumberFormat="1" applyFont="1" applyFill="1" applyBorder="1" applyAlignment="1">
      <alignment horizontal="center" vertical="center" wrapText="1"/>
    </xf>
    <xf numFmtId="165" fontId="41" fillId="0" borderId="258" xfId="3" applyNumberFormat="1" applyFont="1" applyFill="1" applyBorder="1" applyAlignment="1">
      <alignment horizontal="center" vertical="center"/>
    </xf>
    <xf numFmtId="165" fontId="41" fillId="0" borderId="292" xfId="3" applyNumberFormat="1" applyFont="1" applyFill="1" applyBorder="1" applyAlignment="1">
      <alignment horizontal="center" vertical="center"/>
    </xf>
    <xf numFmtId="166" fontId="45" fillId="7" borderId="322" xfId="3" applyNumberFormat="1" applyFont="1" applyFill="1" applyBorder="1" applyAlignment="1">
      <alignment horizontal="left"/>
    </xf>
    <xf numFmtId="166" fontId="45" fillId="7" borderId="6" xfId="3" applyNumberFormat="1" applyFont="1" applyFill="1" applyBorder="1" applyAlignment="1">
      <alignment horizontal="left"/>
    </xf>
    <xf numFmtId="0" fontId="67" fillId="13" borderId="11" xfId="3" applyFont="1" applyFill="1" applyBorder="1" applyAlignment="1">
      <alignment horizontal="center" vertical="center"/>
    </xf>
    <xf numFmtId="0" fontId="67" fillId="13" borderId="112" xfId="3" applyFont="1" applyFill="1" applyBorder="1" applyAlignment="1">
      <alignment horizontal="center" vertical="center"/>
    </xf>
    <xf numFmtId="0" fontId="67" fillId="13" borderId="111" xfId="3" applyFont="1" applyFill="1" applyBorder="1" applyAlignment="1">
      <alignment horizontal="center" vertical="center"/>
    </xf>
    <xf numFmtId="0" fontId="67" fillId="13" borderId="11" xfId="3" applyFont="1" applyFill="1" applyBorder="1" applyAlignment="1">
      <alignment horizontal="center"/>
    </xf>
    <xf numFmtId="0" fontId="67" fillId="13" borderId="112" xfId="3" applyFont="1" applyFill="1" applyBorder="1" applyAlignment="1">
      <alignment horizontal="center"/>
    </xf>
    <xf numFmtId="2" fontId="67" fillId="13" borderId="11" xfId="3" quotePrefix="1" applyNumberFormat="1" applyFont="1" applyFill="1" applyBorder="1" applyAlignment="1">
      <alignment horizontal="center" vertical="center"/>
    </xf>
    <xf numFmtId="2" fontId="67" fillId="13" borderId="40" xfId="180" applyNumberFormat="1" applyFont="1" applyFill="1" applyBorder="1" applyAlignment="1">
      <alignment horizontal="center"/>
    </xf>
    <xf numFmtId="0" fontId="67" fillId="13" borderId="38" xfId="180" applyFont="1" applyFill="1" applyBorder="1" applyAlignment="1">
      <alignment horizontal="center"/>
    </xf>
    <xf numFmtId="2" fontId="67" fillId="13" borderId="40" xfId="180" applyNumberFormat="1" applyFont="1" applyFill="1" applyBorder="1" applyAlignment="1">
      <alignment horizontal="center" vertical="center" wrapText="1"/>
    </xf>
    <xf numFmtId="2" fontId="67" fillId="13" borderId="39" xfId="180" applyNumberFormat="1" applyFont="1" applyFill="1" applyBorder="1" applyAlignment="1">
      <alignment horizontal="center" vertical="center" wrapText="1"/>
    </xf>
    <xf numFmtId="2" fontId="67" fillId="13" borderId="38" xfId="180" applyNumberFormat="1" applyFont="1" applyFill="1" applyBorder="1" applyAlignment="1">
      <alignment horizontal="center" vertical="center"/>
    </xf>
    <xf numFmtId="0" fontId="67" fillId="13" borderId="38" xfId="180" applyFont="1" applyFill="1" applyBorder="1" applyAlignment="1">
      <alignment horizontal="center" vertical="center"/>
    </xf>
    <xf numFmtId="0" fontId="40" fillId="0" borderId="15" xfId="3" applyFont="1" applyFill="1" applyBorder="1" applyAlignment="1">
      <alignment horizontal="left" vertical="top" wrapText="1"/>
    </xf>
    <xf numFmtId="0" fontId="40" fillId="0" borderId="51" xfId="180" applyFont="1" applyFill="1" applyBorder="1" applyAlignment="1">
      <alignment horizontal="left" vertical="top" wrapText="1"/>
    </xf>
    <xf numFmtId="0" fontId="40" fillId="0" borderId="34" xfId="180" applyFont="1" applyFill="1" applyBorder="1" applyAlignment="1">
      <alignment horizontal="left" vertical="top" wrapText="1"/>
    </xf>
    <xf numFmtId="0" fontId="40" fillId="0" borderId="50" xfId="180" applyFont="1" applyFill="1" applyBorder="1" applyAlignment="1">
      <alignment vertical="top" wrapText="1"/>
    </xf>
    <xf numFmtId="0" fontId="40" fillId="0" borderId="15" xfId="180" applyFont="1" applyFill="1" applyBorder="1" applyAlignment="1">
      <alignment vertical="top" wrapText="1"/>
    </xf>
    <xf numFmtId="0" fontId="40" fillId="0" borderId="51" xfId="180" applyFont="1" applyFill="1" applyBorder="1" applyAlignment="1">
      <alignment vertical="top" wrapText="1"/>
    </xf>
    <xf numFmtId="0" fontId="40" fillId="0" borderId="20" xfId="180" applyFont="1" applyFill="1" applyBorder="1" applyAlignment="1">
      <alignment vertical="top" wrapText="1"/>
    </xf>
    <xf numFmtId="0" fontId="40" fillId="0" borderId="34" xfId="180" applyFont="1" applyFill="1" applyBorder="1" applyAlignment="1">
      <alignment vertical="top" wrapText="1"/>
    </xf>
    <xf numFmtId="0" fontId="40" fillId="0" borderId="1" xfId="180" applyFont="1" applyFill="1" applyBorder="1" applyAlignment="1">
      <alignment vertical="top" wrapText="1"/>
    </xf>
    <xf numFmtId="0" fontId="40" fillId="0" borderId="0" xfId="180" applyFont="1" applyFill="1" applyBorder="1" applyAlignment="1">
      <alignment vertical="top" wrapText="1"/>
    </xf>
    <xf numFmtId="0" fontId="40" fillId="0" borderId="2" xfId="180" applyFont="1" applyFill="1" applyBorder="1" applyAlignment="1">
      <alignment vertical="top" wrapText="1"/>
    </xf>
    <xf numFmtId="0" fontId="67" fillId="0" borderId="1" xfId="180" applyFont="1" applyFill="1" applyBorder="1" applyAlignment="1">
      <alignment wrapText="1"/>
    </xf>
    <xf numFmtId="0" fontId="67" fillId="0" borderId="0" xfId="180" applyFont="1" applyFill="1" applyBorder="1" applyAlignment="1">
      <alignment wrapText="1"/>
    </xf>
    <xf numFmtId="0" fontId="67" fillId="0" borderId="2" xfId="180" applyFont="1" applyFill="1" applyBorder="1" applyAlignment="1">
      <alignment wrapText="1"/>
    </xf>
    <xf numFmtId="0" fontId="40" fillId="0" borderId="51" xfId="0" applyFont="1" applyFill="1" applyBorder="1" applyAlignment="1">
      <alignment horizontal="left" vertical="top" wrapText="1"/>
    </xf>
    <xf numFmtId="0" fontId="40" fillId="0" borderId="34" xfId="0" applyFont="1" applyFill="1" applyBorder="1" applyAlignment="1">
      <alignment horizontal="left" vertical="top" wrapText="1"/>
    </xf>
    <xf numFmtId="0" fontId="40" fillId="0" borderId="1" xfId="0" applyFont="1" applyFill="1" applyBorder="1" applyAlignment="1">
      <alignment horizontal="left" vertical="top" wrapText="1"/>
    </xf>
    <xf numFmtId="0" fontId="40" fillId="0" borderId="2" xfId="0" applyFont="1" applyFill="1" applyBorder="1" applyAlignment="1">
      <alignment horizontal="left" vertical="top" wrapText="1"/>
    </xf>
    <xf numFmtId="0" fontId="40" fillId="0" borderId="249" xfId="0" applyFont="1" applyFill="1" applyBorder="1" applyAlignment="1">
      <alignment horizontal="left" vertical="top" wrapText="1"/>
    </xf>
    <xf numFmtId="0" fontId="40" fillId="0" borderId="251" xfId="0" applyFont="1" applyFill="1" applyBorder="1" applyAlignment="1">
      <alignment horizontal="left" vertical="top" wrapText="1"/>
    </xf>
    <xf numFmtId="0" fontId="41" fillId="0" borderId="413" xfId="0" applyFont="1" applyFill="1" applyBorder="1" applyAlignment="1">
      <alignment horizontal="left" vertical="center"/>
    </xf>
    <xf numFmtId="0" fontId="41" fillId="0" borderId="414" xfId="0" applyFont="1" applyFill="1" applyBorder="1" applyAlignment="1">
      <alignment horizontal="left" vertical="center"/>
    </xf>
    <xf numFmtId="0" fontId="41" fillId="0" borderId="15" xfId="3" applyFont="1" applyFill="1" applyBorder="1" applyAlignment="1">
      <alignment horizontal="center" vertical="center" wrapText="1"/>
    </xf>
    <xf numFmtId="0" fontId="41" fillId="6" borderId="308" xfId="3" applyFont="1" applyFill="1" applyBorder="1" applyAlignment="1">
      <alignment horizontal="center" vertical="center"/>
    </xf>
    <xf numFmtId="0" fontId="41" fillId="6" borderId="156" xfId="3" applyFont="1" applyFill="1" applyBorder="1" applyAlignment="1">
      <alignment horizontal="center" vertical="center"/>
    </xf>
    <xf numFmtId="0" fontId="40" fillId="0" borderId="1" xfId="3" applyFont="1" applyFill="1" applyBorder="1" applyAlignment="1">
      <alignment horizontal="center" wrapText="1"/>
    </xf>
    <xf numFmtId="0" fontId="40" fillId="0" borderId="2" xfId="3" applyFont="1" applyFill="1" applyBorder="1" applyAlignment="1">
      <alignment horizontal="center" wrapText="1"/>
    </xf>
    <xf numFmtId="2" fontId="67" fillId="13" borderId="40" xfId="180" applyNumberFormat="1" applyFont="1" applyFill="1" applyBorder="1" applyAlignment="1">
      <alignment horizontal="center" vertical="center"/>
    </xf>
    <xf numFmtId="2" fontId="67" fillId="13" borderId="39" xfId="180" applyNumberFormat="1" applyFont="1" applyFill="1" applyBorder="1" applyAlignment="1">
      <alignment horizontal="center" vertical="center"/>
    </xf>
    <xf numFmtId="0" fontId="19" fillId="6" borderId="19" xfId="3" applyFont="1" applyFill="1" applyBorder="1" applyAlignment="1">
      <alignment horizontal="center" textRotation="90" wrapText="1"/>
    </xf>
    <xf numFmtId="0" fontId="19" fillId="6" borderId="34" xfId="3" applyFont="1" applyFill="1" applyBorder="1" applyAlignment="1">
      <alignment horizontal="center" textRotation="90" wrapText="1"/>
    </xf>
    <xf numFmtId="0" fontId="19" fillId="6" borderId="21" xfId="3" applyFont="1" applyFill="1" applyBorder="1" applyAlignment="1">
      <alignment horizontal="center" textRotation="90" wrapText="1"/>
    </xf>
    <xf numFmtId="0" fontId="19" fillId="6" borderId="2" xfId="3" applyFont="1" applyFill="1" applyBorder="1" applyAlignment="1">
      <alignment horizontal="center" textRotation="90" wrapText="1"/>
    </xf>
    <xf numFmtId="0" fontId="19" fillId="6" borderId="22" xfId="3" applyFont="1" applyFill="1" applyBorder="1" applyAlignment="1">
      <alignment horizontal="center" textRotation="90" wrapText="1"/>
    </xf>
    <xf numFmtId="0" fontId="19" fillId="6" borderId="108" xfId="3" applyFont="1" applyFill="1" applyBorder="1" applyAlignment="1">
      <alignment horizontal="center" textRotation="90" wrapText="1"/>
    </xf>
    <xf numFmtId="0" fontId="25" fillId="0" borderId="51" xfId="3" quotePrefix="1" applyFont="1" applyFill="1" applyBorder="1" applyAlignment="1">
      <alignment horizontal="left" vertical="top" wrapText="1"/>
    </xf>
    <xf numFmtId="0" fontId="25" fillId="0" borderId="34" xfId="3" quotePrefix="1" applyFont="1" applyFill="1" applyBorder="1" applyAlignment="1">
      <alignment horizontal="left" vertical="top" wrapText="1"/>
    </xf>
    <xf numFmtId="0" fontId="25" fillId="0" borderId="1" xfId="3" quotePrefix="1" applyFont="1" applyFill="1" applyBorder="1" applyAlignment="1">
      <alignment horizontal="left" vertical="top" wrapText="1"/>
    </xf>
    <xf numFmtId="0" fontId="25" fillId="0" borderId="2" xfId="3" quotePrefix="1" applyFont="1" applyFill="1" applyBorder="1" applyAlignment="1">
      <alignment horizontal="left" vertical="top" wrapText="1"/>
    </xf>
    <xf numFmtId="0" fontId="25" fillId="0" borderId="50" xfId="3" quotePrefix="1" applyFont="1" applyFill="1" applyBorder="1" applyAlignment="1">
      <alignment horizontal="left" vertical="top" wrapText="1"/>
    </xf>
    <xf numFmtId="0" fontId="25" fillId="0" borderId="15" xfId="3" quotePrefix="1" applyFont="1" applyFill="1" applyBorder="1" applyAlignment="1">
      <alignment horizontal="left" vertical="top" wrapText="1"/>
    </xf>
    <xf numFmtId="0" fontId="40" fillId="0" borderId="51" xfId="3" applyFont="1" applyFill="1" applyBorder="1" applyAlignment="1">
      <alignment vertical="top" wrapText="1"/>
    </xf>
    <xf numFmtId="0" fontId="40" fillId="0" borderId="34" xfId="3" applyFont="1" applyFill="1" applyBorder="1" applyAlignment="1">
      <alignment vertical="top" wrapText="1"/>
    </xf>
    <xf numFmtId="0" fontId="40" fillId="0" borderId="1" xfId="3" applyFont="1" applyFill="1" applyBorder="1" applyAlignment="1">
      <alignment vertical="top" wrapText="1"/>
    </xf>
    <xf numFmtId="0" fontId="40" fillId="0" borderId="2" xfId="3" applyFont="1" applyFill="1" applyBorder="1" applyAlignment="1">
      <alignment vertical="top" wrapText="1"/>
    </xf>
    <xf numFmtId="0" fontId="67" fillId="0" borderId="34" xfId="3" applyFont="1" applyFill="1" applyBorder="1" applyAlignment="1">
      <alignment wrapText="1"/>
    </xf>
    <xf numFmtId="0" fontId="67" fillId="0" borderId="2" xfId="3" applyFont="1" applyFill="1" applyBorder="1" applyAlignment="1">
      <alignment wrapText="1"/>
    </xf>
    <xf numFmtId="0" fontId="67" fillId="0" borderId="1" xfId="3" applyFont="1" applyFill="1" applyBorder="1" applyAlignment="1">
      <alignment wrapText="1"/>
    </xf>
    <xf numFmtId="0" fontId="67" fillId="0" borderId="1" xfId="3" applyFont="1" applyFill="1" applyBorder="1" applyAlignment="1"/>
    <xf numFmtId="0" fontId="67" fillId="0" borderId="2" xfId="3" applyFont="1" applyFill="1" applyBorder="1" applyAlignment="1"/>
    <xf numFmtId="0" fontId="40" fillId="0" borderId="51" xfId="3" applyFont="1" applyFill="1" applyBorder="1" applyAlignment="1">
      <alignment horizontal="left" vertical="top" wrapText="1"/>
    </xf>
    <xf numFmtId="0" fontId="40" fillId="0" borderId="34" xfId="3" applyFont="1" applyFill="1" applyBorder="1" applyAlignment="1">
      <alignment horizontal="left" vertical="top" wrapText="1"/>
    </xf>
    <xf numFmtId="0" fontId="40" fillId="0" borderId="1" xfId="3" applyFont="1" applyFill="1" applyBorder="1" applyAlignment="1">
      <alignment horizontal="left" vertical="top" wrapText="1"/>
    </xf>
    <xf numFmtId="0" fontId="40" fillId="0" borderId="2" xfId="3" applyFont="1" applyFill="1" applyBorder="1" applyAlignment="1">
      <alignment horizontal="left" vertical="top" wrapText="1"/>
    </xf>
    <xf numFmtId="0" fontId="40" fillId="0" borderId="204" xfId="3" applyFont="1" applyFill="1" applyBorder="1" applyAlignment="1">
      <alignment horizontal="left" vertical="top" wrapText="1"/>
    </xf>
    <xf numFmtId="0" fontId="40" fillId="0" borderId="206" xfId="3" applyFont="1" applyFill="1" applyBorder="1" applyAlignment="1">
      <alignment horizontal="left" vertical="top" wrapText="1"/>
    </xf>
    <xf numFmtId="0" fontId="67" fillId="13" borderId="39" xfId="180" applyFont="1" applyFill="1" applyBorder="1" applyAlignment="1">
      <alignment horizontal="center"/>
    </xf>
    <xf numFmtId="2" fontId="67" fillId="13" borderId="11" xfId="180" applyNumberFormat="1" applyFont="1" applyFill="1" applyBorder="1" applyAlignment="1">
      <alignment horizontal="center"/>
    </xf>
    <xf numFmtId="0" fontId="67" fillId="13" borderId="112" xfId="180" applyFont="1" applyFill="1" applyBorder="1" applyAlignment="1">
      <alignment horizontal="center"/>
    </xf>
    <xf numFmtId="0" fontId="41" fillId="0" borderId="0" xfId="180" applyFont="1" applyFill="1" applyBorder="1" applyAlignment="1">
      <alignment horizontal="left"/>
    </xf>
    <xf numFmtId="0" fontId="24" fillId="0" borderId="1" xfId="3" applyFont="1" applyFill="1" applyBorder="1" applyAlignment="1">
      <alignment horizontal="left" vertical="top" wrapText="1"/>
    </xf>
    <xf numFmtId="0" fontId="24" fillId="0" borderId="15" xfId="3" applyFont="1" applyFill="1" applyBorder="1" applyAlignment="1">
      <alignment horizontal="center" vertical="top" wrapText="1"/>
    </xf>
    <xf numFmtId="0" fontId="24" fillId="0" borderId="51" xfId="180" applyFont="1" applyFill="1" applyBorder="1" applyAlignment="1">
      <alignment horizontal="center" vertical="top" wrapText="1"/>
    </xf>
    <xf numFmtId="0" fontId="24" fillId="0" borderId="20" xfId="180" applyFont="1" applyFill="1" applyBorder="1" applyAlignment="1">
      <alignment horizontal="center" vertical="top" wrapText="1"/>
    </xf>
    <xf numFmtId="0" fontId="24" fillId="0" borderId="34" xfId="180" applyFont="1" applyFill="1" applyBorder="1" applyAlignment="1">
      <alignment horizontal="center" vertical="top" wrapText="1"/>
    </xf>
    <xf numFmtId="0" fontId="41" fillId="0" borderId="237" xfId="3" applyFont="1" applyFill="1" applyBorder="1" applyAlignment="1">
      <alignment horizontal="left" vertical="center" wrapText="1"/>
    </xf>
    <xf numFmtId="0" fontId="41" fillId="0" borderId="234" xfId="3" applyFont="1" applyFill="1" applyBorder="1" applyAlignment="1">
      <alignment horizontal="left" vertical="center" wrapText="1"/>
    </xf>
    <xf numFmtId="165" fontId="41" fillId="0" borderId="235" xfId="3" applyNumberFormat="1" applyFont="1" applyFill="1" applyBorder="1" applyAlignment="1">
      <alignment horizontal="center" vertical="center"/>
    </xf>
    <xf numFmtId="0" fontId="41" fillId="0" borderId="71" xfId="180" applyFont="1" applyFill="1" applyBorder="1" applyAlignment="1">
      <alignment horizontal="left" vertical="top" wrapText="1"/>
    </xf>
    <xf numFmtId="0" fontId="41" fillId="0" borderId="48" xfId="180" applyFont="1" applyFill="1" applyBorder="1" applyAlignment="1">
      <alignment horizontal="left" vertical="top" wrapText="1"/>
    </xf>
    <xf numFmtId="0" fontId="25" fillId="0" borderId="51" xfId="3" applyFont="1" applyFill="1" applyBorder="1" applyAlignment="1">
      <alignment horizontal="left" vertical="top" wrapText="1"/>
    </xf>
    <xf numFmtId="0" fontId="24" fillId="0" borderId="109" xfId="3" applyFont="1" applyFill="1" applyBorder="1" applyAlignment="1">
      <alignment horizontal="center" vertical="center"/>
    </xf>
    <xf numFmtId="0" fontId="24" fillId="0" borderId="108" xfId="3" applyFont="1" applyFill="1" applyBorder="1" applyAlignment="1">
      <alignment horizontal="center" vertical="center"/>
    </xf>
    <xf numFmtId="0" fontId="40" fillId="0" borderId="50" xfId="3" quotePrefix="1" applyFont="1" applyFill="1" applyBorder="1" applyAlignment="1">
      <alignment horizontal="left" vertical="top" wrapText="1"/>
    </xf>
    <xf numFmtId="0" fontId="40" fillId="0" borderId="15" xfId="3" quotePrefix="1" applyFont="1" applyFill="1" applyBorder="1" applyAlignment="1">
      <alignment horizontal="left" vertical="top" wrapText="1"/>
    </xf>
    <xf numFmtId="0" fontId="40" fillId="6" borderId="51" xfId="3" applyFont="1" applyFill="1" applyBorder="1" applyAlignment="1">
      <alignment horizontal="left" vertical="top" wrapText="1"/>
    </xf>
    <xf numFmtId="0" fontId="40" fillId="6" borderId="20" xfId="3" applyFont="1" applyFill="1" applyBorder="1" applyAlignment="1">
      <alignment horizontal="left" vertical="top" wrapText="1"/>
    </xf>
    <xf numFmtId="0" fontId="40" fillId="6" borderId="1" xfId="3" applyFont="1" applyFill="1" applyBorder="1" applyAlignment="1">
      <alignment horizontal="left" vertical="top" wrapText="1"/>
    </xf>
    <xf numFmtId="0" fontId="40" fillId="6" borderId="0" xfId="3" applyFont="1" applyFill="1" applyBorder="1" applyAlignment="1">
      <alignment horizontal="left" vertical="top" wrapText="1"/>
    </xf>
    <xf numFmtId="0" fontId="40" fillId="0" borderId="294" xfId="180" applyFont="1" applyFill="1" applyBorder="1" applyAlignment="1">
      <alignment horizontal="left" vertical="top" wrapText="1"/>
    </xf>
    <xf numFmtId="0" fontId="40" fillId="0" borderId="156" xfId="180" applyFont="1" applyFill="1" applyBorder="1" applyAlignment="1">
      <alignment horizontal="left" vertical="top" wrapText="1"/>
    </xf>
    <xf numFmtId="0" fontId="40" fillId="0" borderId="157" xfId="180" applyFont="1" applyFill="1" applyBorder="1" applyAlignment="1">
      <alignment horizontal="left" vertical="top" wrapText="1"/>
    </xf>
    <xf numFmtId="0" fontId="41" fillId="6" borderId="1" xfId="3" applyFont="1" applyFill="1" applyBorder="1" applyAlignment="1">
      <alignment horizontal="center" wrapText="1"/>
    </xf>
    <xf numFmtId="0" fontId="41" fillId="6" borderId="0" xfId="3" applyFont="1" applyFill="1" applyBorder="1" applyAlignment="1">
      <alignment horizontal="center" wrapText="1"/>
    </xf>
    <xf numFmtId="0" fontId="51" fillId="0" borderId="1" xfId="3" applyFont="1" applyFill="1" applyBorder="1" applyAlignment="1">
      <alignment horizontal="center" wrapText="1"/>
    </xf>
    <xf numFmtId="0" fontId="51" fillId="0" borderId="2" xfId="3" applyFont="1" applyFill="1" applyBorder="1" applyAlignment="1">
      <alignment horizontal="center" wrapText="1"/>
    </xf>
    <xf numFmtId="0" fontId="63" fillId="0" borderId="1" xfId="3" applyFont="1" applyFill="1" applyBorder="1" applyAlignment="1">
      <alignment horizontal="center" wrapText="1"/>
    </xf>
    <xf numFmtId="0" fontId="63" fillId="0" borderId="0" xfId="3" applyFont="1" applyFill="1" applyBorder="1" applyAlignment="1">
      <alignment horizontal="center" wrapText="1"/>
    </xf>
    <xf numFmtId="0" fontId="41" fillId="0" borderId="371" xfId="0" applyFont="1" applyFill="1" applyBorder="1" applyAlignment="1">
      <alignment vertical="top"/>
    </xf>
    <xf numFmtId="0" fontId="41" fillId="0" borderId="294" xfId="0" applyFont="1" applyFill="1" applyBorder="1" applyAlignment="1">
      <alignment vertical="top"/>
    </xf>
    <xf numFmtId="0" fontId="41" fillId="0" borderId="372" xfId="0" applyFont="1" applyFill="1" applyBorder="1" applyAlignment="1">
      <alignment horizontal="center" vertical="top"/>
    </xf>
    <xf numFmtId="0" fontId="41" fillId="0" borderId="363" xfId="0" applyFont="1" applyFill="1" applyBorder="1" applyAlignment="1">
      <alignment horizontal="center" vertical="top"/>
    </xf>
    <xf numFmtId="0" fontId="40" fillId="6" borderId="51" xfId="3" quotePrefix="1" applyFont="1" applyFill="1" applyBorder="1" applyAlignment="1">
      <alignment horizontal="left" vertical="top" wrapText="1"/>
    </xf>
    <xf numFmtId="0" fontId="40" fillId="6" borderId="20" xfId="3" quotePrefix="1" applyFont="1" applyFill="1" applyBorder="1" applyAlignment="1">
      <alignment horizontal="left" vertical="top" wrapText="1"/>
    </xf>
    <xf numFmtId="0" fontId="40" fillId="6" borderId="34" xfId="3" quotePrefix="1" applyFont="1" applyFill="1" applyBorder="1" applyAlignment="1">
      <alignment horizontal="left" vertical="top" wrapText="1"/>
    </xf>
    <xf numFmtId="0" fontId="40" fillId="6" borderId="1" xfId="3" quotePrefix="1" applyFont="1" applyFill="1" applyBorder="1" applyAlignment="1">
      <alignment horizontal="left" vertical="top" wrapText="1"/>
    </xf>
    <xf numFmtId="0" fontId="40" fillId="6" borderId="0" xfId="3" quotePrefix="1" applyFont="1" applyFill="1" applyBorder="1" applyAlignment="1">
      <alignment horizontal="left" vertical="top" wrapText="1"/>
    </xf>
    <xf numFmtId="0" fontId="40" fillId="6" borderId="2" xfId="3" quotePrefix="1" applyFont="1" applyFill="1" applyBorder="1" applyAlignment="1">
      <alignment horizontal="left" vertical="top" wrapText="1"/>
    </xf>
    <xf numFmtId="0" fontId="41" fillId="0" borderId="226" xfId="3" applyFont="1" applyFill="1" applyBorder="1" applyAlignment="1">
      <alignment horizontal="center" vertical="center" wrapText="1"/>
    </xf>
    <xf numFmtId="0" fontId="41" fillId="0" borderId="227" xfId="3" applyFont="1" applyFill="1" applyBorder="1" applyAlignment="1">
      <alignment horizontal="center" vertical="center" wrapText="1"/>
    </xf>
    <xf numFmtId="0" fontId="41" fillId="0" borderId="1" xfId="3" applyFont="1" applyFill="1" applyBorder="1" applyAlignment="1">
      <alignment horizontal="center" vertical="center" wrapText="1"/>
    </xf>
    <xf numFmtId="0" fontId="41" fillId="0" borderId="2" xfId="3" applyFont="1" applyFill="1" applyBorder="1" applyAlignment="1">
      <alignment horizontal="center" vertical="center" wrapText="1"/>
    </xf>
    <xf numFmtId="0" fontId="41" fillId="0" borderId="1" xfId="3" applyFont="1" applyFill="1" applyBorder="1" applyAlignment="1">
      <alignment horizontal="left" vertical="center" wrapText="1"/>
    </xf>
    <xf numFmtId="0" fontId="41" fillId="0" borderId="0" xfId="3" applyFont="1" applyFill="1" applyBorder="1" applyAlignment="1">
      <alignment horizontal="left" vertical="center" wrapText="1"/>
    </xf>
    <xf numFmtId="0" fontId="41" fillId="0" borderId="294" xfId="3" applyFont="1" applyFill="1" applyBorder="1" applyAlignment="1">
      <alignment horizontal="left" vertical="center" wrapText="1"/>
    </xf>
    <xf numFmtId="0" fontId="41" fillId="0" borderId="340" xfId="3" applyFont="1" applyFill="1" applyBorder="1" applyAlignment="1">
      <alignment horizontal="left" vertical="center" wrapText="1"/>
    </xf>
    <xf numFmtId="0" fontId="41" fillId="0" borderId="308" xfId="3" applyFont="1" applyFill="1" applyBorder="1" applyAlignment="1">
      <alignment horizontal="center" vertical="center" wrapText="1"/>
    </xf>
    <xf numFmtId="0" fontId="41" fillId="0" borderId="292" xfId="3" applyFont="1" applyFill="1" applyBorder="1" applyAlignment="1">
      <alignment horizontal="center" vertical="center" wrapText="1"/>
    </xf>
    <xf numFmtId="0" fontId="41" fillId="0" borderId="1" xfId="3" applyFont="1" applyFill="1" applyBorder="1" applyAlignment="1">
      <alignment horizontal="left" vertical="top" wrapText="1"/>
    </xf>
    <xf numFmtId="0" fontId="41" fillId="0" borderId="237" xfId="3" applyFont="1" applyFill="1" applyBorder="1" applyAlignment="1">
      <alignment horizontal="left" vertical="top" wrapText="1"/>
    </xf>
    <xf numFmtId="165" fontId="41" fillId="0" borderId="235" xfId="3" applyNumberFormat="1" applyFont="1" applyFill="1" applyBorder="1" applyAlignment="1">
      <alignment horizontal="center" vertical="center" wrapText="1"/>
    </xf>
    <xf numFmtId="0" fontId="41" fillId="0" borderId="163" xfId="3" applyFont="1" applyFill="1" applyBorder="1" applyAlignment="1">
      <alignment horizontal="left" vertical="center" wrapText="1"/>
    </xf>
    <xf numFmtId="0" fontId="41" fillId="0" borderId="213" xfId="3" applyFont="1" applyFill="1" applyBorder="1" applyAlignment="1">
      <alignment horizontal="left" vertical="center" wrapText="1"/>
    </xf>
    <xf numFmtId="0" fontId="41" fillId="0" borderId="257" xfId="3" applyFont="1" applyFill="1" applyBorder="1" applyAlignment="1">
      <alignment horizontal="left" vertical="center" wrapText="1"/>
    </xf>
    <xf numFmtId="0" fontId="24" fillId="0" borderId="40" xfId="3" applyFont="1" applyFill="1" applyBorder="1" applyAlignment="1">
      <alignment horizontal="center" vertical="center"/>
    </xf>
    <xf numFmtId="0" fontId="24" fillId="0" borderId="39" xfId="3" applyFont="1" applyFill="1" applyBorder="1" applyAlignment="1">
      <alignment horizontal="center" vertical="center"/>
    </xf>
    <xf numFmtId="0" fontId="24" fillId="0" borderId="40" xfId="3" applyFont="1" applyFill="1" applyBorder="1" applyAlignment="1">
      <alignment horizontal="center"/>
    </xf>
    <xf numFmtId="0" fontId="24" fillId="0" borderId="38" xfId="3" applyFont="1" applyFill="1" applyBorder="1" applyAlignment="1">
      <alignment horizontal="center"/>
    </xf>
    <xf numFmtId="0" fontId="24" fillId="0" borderId="39" xfId="3" applyFont="1" applyFill="1" applyBorder="1" applyAlignment="1">
      <alignment horizontal="center"/>
    </xf>
    <xf numFmtId="0" fontId="41" fillId="0" borderId="239" xfId="180" applyFont="1" applyFill="1" applyBorder="1" applyAlignment="1">
      <alignment horizontal="center" vertical="center" wrapText="1"/>
    </xf>
    <xf numFmtId="0" fontId="41" fillId="0" borderId="1" xfId="180" applyFont="1" applyFill="1" applyBorder="1" applyAlignment="1">
      <alignment horizontal="center" vertical="center" wrapText="1"/>
    </xf>
    <xf numFmtId="0" fontId="41" fillId="0" borderId="5" xfId="180" applyFont="1" applyFill="1" applyBorder="1" applyAlignment="1">
      <alignment horizontal="center" vertical="center" wrapText="1"/>
    </xf>
    <xf numFmtId="0" fontId="40" fillId="0" borderId="146" xfId="180" applyFont="1" applyFill="1" applyBorder="1" applyAlignment="1">
      <alignment horizontal="center" vertical="center" wrapText="1"/>
    </xf>
    <xf numFmtId="0" fontId="67" fillId="0" borderId="69" xfId="180" applyFont="1" applyFill="1" applyBorder="1" applyAlignment="1">
      <alignment horizontal="center" vertical="center" wrapText="1"/>
    </xf>
    <xf numFmtId="0" fontId="67" fillId="0" borderId="83" xfId="180" applyFont="1" applyFill="1" applyBorder="1" applyAlignment="1">
      <alignment horizontal="center" vertical="center" wrapText="1"/>
    </xf>
    <xf numFmtId="0" fontId="41" fillId="0" borderId="15" xfId="180" applyFont="1" applyFill="1" applyBorder="1" applyAlignment="1">
      <alignment horizontal="center" vertical="top" wrapText="1"/>
    </xf>
    <xf numFmtId="0" fontId="41" fillId="0" borderId="112" xfId="180" applyFont="1" applyFill="1" applyBorder="1" applyAlignment="1">
      <alignment horizontal="center" vertical="center" wrapText="1"/>
    </xf>
    <xf numFmtId="0" fontId="31" fillId="0" borderId="2" xfId="180" applyFont="1" applyFill="1" applyBorder="1" applyAlignment="1">
      <alignment horizontal="center" vertical="center" wrapText="1"/>
    </xf>
    <xf numFmtId="0" fontId="41" fillId="0" borderId="12" xfId="180" applyFont="1" applyFill="1" applyBorder="1" applyAlignment="1">
      <alignment horizontal="center" vertical="center" wrapText="1"/>
    </xf>
    <xf numFmtId="0" fontId="41" fillId="0" borderId="15" xfId="180" applyFont="1" applyFill="1" applyBorder="1" applyAlignment="1">
      <alignment horizontal="center" vertical="center" wrapText="1"/>
    </xf>
    <xf numFmtId="0" fontId="41" fillId="0" borderId="13" xfId="180" applyFont="1" applyFill="1" applyBorder="1" applyAlignment="1">
      <alignment horizontal="center" vertical="center" wrapText="1"/>
    </xf>
    <xf numFmtId="165" fontId="41" fillId="0" borderId="1" xfId="180" applyNumberFormat="1" applyFont="1" applyFill="1" applyBorder="1" applyAlignment="1">
      <alignment horizontal="center" vertical="top" wrapText="1"/>
    </xf>
    <xf numFmtId="165" fontId="41" fillId="0" borderId="2" xfId="180" applyNumberFormat="1" applyFont="1" applyFill="1" applyBorder="1" applyAlignment="1">
      <alignment horizontal="center" vertical="top" wrapText="1"/>
    </xf>
    <xf numFmtId="165" fontId="41" fillId="0" borderId="5" xfId="180" applyNumberFormat="1" applyFont="1" applyFill="1" applyBorder="1" applyAlignment="1">
      <alignment horizontal="center" vertical="top" wrapText="1"/>
    </xf>
    <xf numFmtId="165" fontId="41" fillId="0" borderId="7" xfId="180" applyNumberFormat="1" applyFont="1" applyFill="1" applyBorder="1" applyAlignment="1">
      <alignment horizontal="center" vertical="top" wrapText="1"/>
    </xf>
    <xf numFmtId="0" fontId="40" fillId="0" borderId="51" xfId="180" applyFont="1" applyFill="1" applyBorder="1" applyAlignment="1">
      <alignment horizontal="center" vertical="top" wrapText="1"/>
    </xf>
    <xf numFmtId="0" fontId="40" fillId="0" borderId="34" xfId="180" applyFont="1" applyFill="1" applyBorder="1" applyAlignment="1">
      <alignment horizontal="center" vertical="top" wrapText="1"/>
    </xf>
    <xf numFmtId="0" fontId="40" fillId="0" borderId="5" xfId="180" applyFont="1" applyFill="1" applyBorder="1" applyAlignment="1">
      <alignment horizontal="center" vertical="top" wrapText="1"/>
    </xf>
    <xf numFmtId="0" fontId="40" fillId="0" borderId="7" xfId="180" applyFont="1" applyFill="1" applyBorder="1" applyAlignment="1">
      <alignment horizontal="center" vertical="top" wrapText="1"/>
    </xf>
    <xf numFmtId="165" fontId="27" fillId="5" borderId="42" xfId="3" applyNumberFormat="1" applyFont="1" applyFill="1" applyBorder="1" applyAlignment="1">
      <alignment horizontal="center" vertical="center"/>
    </xf>
    <xf numFmtId="165" fontId="27" fillId="5" borderId="9" xfId="3" applyNumberFormat="1" applyFont="1" applyFill="1" applyBorder="1" applyAlignment="1">
      <alignment horizontal="center" vertical="center"/>
    </xf>
    <xf numFmtId="0" fontId="24" fillId="0" borderId="242" xfId="180" applyFont="1" applyBorder="1" applyAlignment="1">
      <alignment horizontal="center"/>
    </xf>
    <xf numFmtId="165" fontId="18" fillId="0" borderId="42" xfId="3" applyNumberFormat="1" applyFont="1" applyFill="1" applyBorder="1" applyAlignment="1">
      <alignment horizontal="center" vertical="center"/>
    </xf>
    <xf numFmtId="165" fontId="18" fillId="0" borderId="9" xfId="3" applyNumberFormat="1" applyFont="1" applyFill="1" applyBorder="1" applyAlignment="1">
      <alignment horizontal="center" vertical="center"/>
    </xf>
    <xf numFmtId="0" fontId="24" fillId="0" borderId="120" xfId="180" applyFont="1" applyBorder="1" applyAlignment="1">
      <alignment horizontal="center"/>
    </xf>
    <xf numFmtId="0" fontId="24" fillId="0" borderId="122" xfId="180" applyFont="1" applyBorder="1" applyAlignment="1">
      <alignment horizontal="center"/>
    </xf>
    <xf numFmtId="0" fontId="24" fillId="0" borderId="121" xfId="180" applyFont="1" applyBorder="1" applyAlignment="1">
      <alignment horizontal="center"/>
    </xf>
    <xf numFmtId="0" fontId="24" fillId="0" borderId="109" xfId="180" applyFont="1" applyFill="1" applyBorder="1" applyAlignment="1">
      <alignment horizontal="center" vertical="center"/>
    </xf>
    <xf numFmtId="0" fontId="24" fillId="0" borderId="97" xfId="180" applyFont="1" applyFill="1" applyBorder="1" applyAlignment="1">
      <alignment horizontal="center" vertical="center"/>
    </xf>
    <xf numFmtId="0" fontId="24" fillId="0" borderId="108" xfId="180" applyFont="1" applyFill="1" applyBorder="1" applyAlignment="1">
      <alignment horizontal="center" vertical="center"/>
    </xf>
    <xf numFmtId="165" fontId="27" fillId="5" borderId="31" xfId="3" applyNumberFormat="1" applyFont="1" applyFill="1" applyBorder="1" applyAlignment="1">
      <alignment horizontal="center" vertical="center"/>
    </xf>
    <xf numFmtId="165" fontId="27" fillId="5" borderId="35" xfId="3" applyNumberFormat="1" applyFont="1" applyFill="1" applyBorder="1" applyAlignment="1">
      <alignment horizontal="center" vertical="center"/>
    </xf>
    <xf numFmtId="0" fontId="24" fillId="0" borderId="5" xfId="180" applyFont="1" applyBorder="1" applyAlignment="1">
      <alignment horizontal="center"/>
    </xf>
    <xf numFmtId="0" fontId="24" fillId="0" borderId="6" xfId="180" applyFont="1" applyBorder="1" applyAlignment="1">
      <alignment horizontal="center"/>
    </xf>
    <xf numFmtId="0" fontId="24" fillId="0" borderId="7" xfId="180" applyFont="1" applyBorder="1" applyAlignment="1">
      <alignment horizontal="center"/>
    </xf>
    <xf numFmtId="0" fontId="24" fillId="0" borderId="12" xfId="3" applyFont="1" applyFill="1" applyBorder="1" applyAlignment="1">
      <alignment horizontal="center" vertical="center" wrapText="1"/>
    </xf>
    <xf numFmtId="0" fontId="24" fillId="0" borderId="56" xfId="3" applyFont="1" applyFill="1" applyBorder="1" applyAlignment="1">
      <alignment horizontal="center" vertical="center" wrapText="1"/>
    </xf>
    <xf numFmtId="0" fontId="41" fillId="0" borderId="2" xfId="3" applyNumberFormat="1" applyFont="1" applyFill="1" applyBorder="1" applyAlignment="1">
      <alignment horizontal="center" vertical="center"/>
    </xf>
    <xf numFmtId="0" fontId="24" fillId="0" borderId="109" xfId="180" applyFont="1" applyFill="1" applyBorder="1" applyAlignment="1">
      <alignment horizontal="left"/>
    </xf>
    <xf numFmtId="0" fontId="24" fillId="0" borderId="108" xfId="180" applyFont="1" applyFill="1" applyBorder="1" applyAlignment="1">
      <alignment horizontal="left"/>
    </xf>
    <xf numFmtId="2" fontId="67" fillId="13" borderId="40" xfId="180" applyNumberFormat="1" applyFont="1" applyFill="1" applyBorder="1" applyAlignment="1">
      <alignment horizontal="center" vertical="top"/>
    </xf>
    <xf numFmtId="0" fontId="67" fillId="13" borderId="38" xfId="180" applyFont="1" applyFill="1" applyBorder="1" applyAlignment="1">
      <alignment horizontal="center" vertical="top"/>
    </xf>
    <xf numFmtId="165" fontId="27" fillId="5" borderId="43" xfId="3" applyNumberFormat="1" applyFont="1" applyFill="1" applyBorder="1" applyAlignment="1">
      <alignment horizontal="center" vertical="center"/>
    </xf>
    <xf numFmtId="165" fontId="27" fillId="5" borderId="39" xfId="3" applyNumberFormat="1" applyFont="1" applyFill="1" applyBorder="1" applyAlignment="1">
      <alignment horizontal="center" vertical="center"/>
    </xf>
    <xf numFmtId="0" fontId="24" fillId="0" borderId="39" xfId="180" applyFont="1" applyBorder="1" applyAlignment="1">
      <alignment horizontal="center"/>
    </xf>
    <xf numFmtId="0" fontId="24" fillId="0" borderId="16" xfId="180" applyFont="1" applyBorder="1" applyAlignment="1">
      <alignment horizontal="center"/>
    </xf>
    <xf numFmtId="0" fontId="24" fillId="0" borderId="17" xfId="180" applyFont="1" applyBorder="1" applyAlignment="1">
      <alignment horizontal="center"/>
    </xf>
    <xf numFmtId="0" fontId="24" fillId="0" borderId="18" xfId="180" applyFont="1" applyBorder="1" applyAlignment="1">
      <alignment horizontal="center"/>
    </xf>
    <xf numFmtId="0" fontId="24" fillId="0" borderId="16" xfId="180" applyFont="1" applyFill="1" applyBorder="1" applyAlignment="1">
      <alignment horizontal="center" wrapText="1"/>
    </xf>
    <xf numFmtId="0" fontId="24" fillId="0" borderId="18" xfId="180" applyFont="1" applyFill="1" applyBorder="1" applyAlignment="1">
      <alignment horizontal="center" wrapText="1"/>
    </xf>
    <xf numFmtId="0" fontId="24" fillId="0" borderId="5" xfId="180" applyFont="1" applyFill="1" applyBorder="1" applyAlignment="1">
      <alignment horizontal="center" wrapText="1"/>
    </xf>
    <xf numFmtId="0" fontId="24" fillId="0" borderId="7" xfId="180" applyFont="1" applyFill="1" applyBorder="1" applyAlignment="1">
      <alignment horizontal="center" wrapText="1"/>
    </xf>
    <xf numFmtId="0" fontId="24" fillId="0" borderId="10" xfId="180" applyFont="1" applyFill="1" applyBorder="1" applyAlignment="1">
      <alignment horizontal="center" wrapText="1"/>
    </xf>
    <xf numFmtId="0" fontId="24" fillId="0" borderId="9" xfId="180" applyFont="1" applyFill="1" applyBorder="1" applyAlignment="1">
      <alignment horizontal="center" wrapText="1"/>
    </xf>
    <xf numFmtId="0" fontId="24" fillId="0" borderId="120" xfId="180" applyFont="1" applyFill="1" applyBorder="1" applyAlignment="1">
      <alignment horizontal="center" wrapText="1"/>
    </xf>
    <xf numFmtId="0" fontId="24" fillId="0" borderId="121" xfId="180" applyFont="1" applyFill="1" applyBorder="1" applyAlignment="1">
      <alignment horizontal="center" wrapText="1"/>
    </xf>
    <xf numFmtId="166" fontId="41" fillId="0" borderId="1" xfId="180" applyNumberFormat="1" applyFont="1" applyFill="1" applyBorder="1" applyAlignment="1">
      <alignment horizontal="center" vertical="center" wrapText="1"/>
    </xf>
    <xf numFmtId="166" fontId="41" fillId="0" borderId="0" xfId="180" applyNumberFormat="1" applyFont="1" applyFill="1" applyBorder="1" applyAlignment="1">
      <alignment horizontal="center" vertical="center" wrapText="1"/>
    </xf>
    <xf numFmtId="166" fontId="41" fillId="0" borderId="2" xfId="180" applyNumberFormat="1" applyFont="1" applyFill="1" applyBorder="1" applyAlignment="1">
      <alignment horizontal="center" vertical="center" wrapText="1"/>
    </xf>
    <xf numFmtId="0" fontId="40" fillId="0" borderId="40" xfId="180" applyFont="1" applyFill="1" applyBorder="1" applyAlignment="1">
      <alignment horizontal="center" vertical="center" wrapText="1"/>
    </xf>
    <xf numFmtId="0" fontId="40" fillId="0" borderId="39" xfId="180" applyFont="1" applyFill="1" applyBorder="1" applyAlignment="1">
      <alignment horizontal="center" vertical="center" wrapText="1"/>
    </xf>
    <xf numFmtId="0" fontId="41" fillId="0" borderId="242" xfId="180" applyFont="1" applyFill="1" applyBorder="1" applyAlignment="1">
      <alignment horizontal="center" vertical="center"/>
    </xf>
    <xf numFmtId="0" fontId="41" fillId="0" borderId="112" xfId="180" applyFont="1" applyFill="1" applyBorder="1" applyAlignment="1">
      <alignment horizontal="center" vertical="center"/>
    </xf>
    <xf numFmtId="0" fontId="24" fillId="0" borderId="40" xfId="180" applyFont="1" applyFill="1" applyBorder="1" applyAlignment="1">
      <alignment horizontal="center" wrapText="1"/>
    </xf>
    <xf numFmtId="0" fontId="24" fillId="0" borderId="38" xfId="180" applyFont="1" applyFill="1" applyBorder="1" applyAlignment="1">
      <alignment horizontal="center" wrapText="1"/>
    </xf>
    <xf numFmtId="0" fontId="24" fillId="0" borderId="39" xfId="180" applyFont="1" applyFill="1" applyBorder="1" applyAlignment="1">
      <alignment horizontal="center" wrapText="1"/>
    </xf>
    <xf numFmtId="0" fontId="24" fillId="0" borderId="17" xfId="180" applyFont="1" applyFill="1" applyBorder="1" applyAlignment="1">
      <alignment horizontal="center" wrapText="1"/>
    </xf>
    <xf numFmtId="0" fontId="24" fillId="0" borderId="6" xfId="180" applyFont="1" applyFill="1" applyBorder="1" applyAlignment="1">
      <alignment horizontal="center" wrapText="1"/>
    </xf>
    <xf numFmtId="0" fontId="24" fillId="0" borderId="8" xfId="180" applyFont="1" applyFill="1" applyBorder="1" applyAlignment="1">
      <alignment horizontal="center" wrapText="1"/>
    </xf>
    <xf numFmtId="0" fontId="24" fillId="0" borderId="239" xfId="180" applyFont="1" applyFill="1" applyBorder="1" applyAlignment="1">
      <alignment horizontal="center" wrapText="1"/>
    </xf>
    <xf numFmtId="0" fontId="24" fillId="0" borderId="242" xfId="180" applyFont="1" applyFill="1" applyBorder="1" applyAlignment="1">
      <alignment horizontal="center" wrapText="1"/>
    </xf>
    <xf numFmtId="0" fontId="24" fillId="0" borderId="240" xfId="180" applyFont="1" applyFill="1" applyBorder="1" applyAlignment="1">
      <alignment horizontal="center" wrapText="1"/>
    </xf>
    <xf numFmtId="0" fontId="24" fillId="0" borderId="122" xfId="180" applyFont="1" applyFill="1" applyBorder="1" applyAlignment="1">
      <alignment horizontal="center" wrapText="1"/>
    </xf>
    <xf numFmtId="0" fontId="36" fillId="3" borderId="8" xfId="180" applyFont="1" applyFill="1" applyBorder="1" applyAlignment="1">
      <alignment horizontal="center" vertical="center"/>
    </xf>
    <xf numFmtId="0" fontId="36" fillId="3" borderId="9" xfId="180" applyFont="1" applyFill="1" applyBorder="1" applyAlignment="1">
      <alignment horizontal="center" vertical="center"/>
    </xf>
    <xf numFmtId="0" fontId="67" fillId="13" borderId="11" xfId="180" applyFont="1" applyFill="1" applyBorder="1" applyAlignment="1">
      <alignment horizontal="center"/>
    </xf>
    <xf numFmtId="0" fontId="67" fillId="13" borderId="111" xfId="180" applyFont="1" applyFill="1" applyBorder="1" applyAlignment="1">
      <alignment horizontal="center"/>
    </xf>
    <xf numFmtId="0" fontId="67" fillId="13" borderId="242" xfId="180" applyFont="1" applyFill="1" applyBorder="1" applyAlignment="1">
      <alignment horizontal="center"/>
    </xf>
    <xf numFmtId="0" fontId="67" fillId="13" borderId="74" xfId="180" applyFont="1" applyFill="1" applyBorder="1" applyAlignment="1">
      <alignment horizontal="center"/>
    </xf>
    <xf numFmtId="0" fontId="67" fillId="13" borderId="73" xfId="180" applyFont="1" applyFill="1" applyBorder="1" applyAlignment="1">
      <alignment horizontal="center"/>
    </xf>
    <xf numFmtId="0" fontId="67" fillId="13" borderId="74" xfId="180" applyFont="1" applyFill="1" applyBorder="1" applyAlignment="1">
      <alignment horizontal="center" vertical="center"/>
    </xf>
    <xf numFmtId="0" fontId="67" fillId="13" borderId="28" xfId="180" applyFont="1" applyFill="1" applyBorder="1" applyAlignment="1">
      <alignment horizontal="center" vertical="center"/>
    </xf>
    <xf numFmtId="0" fontId="67" fillId="13" borderId="73" xfId="180" applyFont="1" applyFill="1" applyBorder="1" applyAlignment="1">
      <alignment horizontal="center" vertical="center"/>
    </xf>
    <xf numFmtId="166" fontId="36" fillId="3" borderId="74" xfId="180" applyNumberFormat="1" applyFont="1" applyFill="1" applyBorder="1" applyAlignment="1">
      <alignment horizontal="left" vertical="center"/>
    </xf>
    <xf numFmtId="166" fontId="36" fillId="3" borderId="28" xfId="180" applyNumberFormat="1" applyFont="1" applyFill="1" applyBorder="1" applyAlignment="1">
      <alignment horizontal="left" vertical="center"/>
    </xf>
    <xf numFmtId="0" fontId="36" fillId="3" borderId="51" xfId="180" applyFont="1" applyFill="1" applyBorder="1" applyAlignment="1">
      <alignment horizontal="left" vertical="center"/>
    </xf>
    <xf numFmtId="0" fontId="36" fillId="3" borderId="20" xfId="180" applyFont="1" applyFill="1" applyBorder="1" applyAlignment="1">
      <alignment horizontal="left" vertical="center"/>
    </xf>
    <xf numFmtId="0" fontId="36" fillId="3" borderId="34" xfId="180" applyFont="1" applyFill="1" applyBorder="1" applyAlignment="1">
      <alignment horizontal="left" vertical="center"/>
    </xf>
    <xf numFmtId="0" fontId="45" fillId="7" borderId="19" xfId="180" applyFont="1" applyFill="1" applyBorder="1" applyAlignment="1">
      <alignment horizontal="left" vertical="center"/>
    </xf>
    <xf numFmtId="0" fontId="45" fillId="7" borderId="20" xfId="180" applyFont="1" applyFill="1" applyBorder="1" applyAlignment="1">
      <alignment horizontal="left" vertical="center"/>
    </xf>
    <xf numFmtId="0" fontId="45" fillId="7" borderId="24" xfId="180" applyFont="1" applyFill="1" applyBorder="1" applyAlignment="1">
      <alignment horizontal="left" vertical="center"/>
    </xf>
    <xf numFmtId="2" fontId="67" fillId="13" borderId="28" xfId="180" applyNumberFormat="1" applyFont="1" applyFill="1" applyBorder="1" applyAlignment="1">
      <alignment horizontal="center" vertical="center" wrapText="1"/>
    </xf>
    <xf numFmtId="2" fontId="67" fillId="13" borderId="73" xfId="180" applyNumberFormat="1" applyFont="1" applyFill="1" applyBorder="1" applyAlignment="1">
      <alignment horizontal="center" vertical="center" wrapText="1"/>
    </xf>
    <xf numFmtId="0" fontId="67" fillId="13" borderId="29" xfId="180" applyFont="1" applyFill="1" applyBorder="1" applyAlignment="1">
      <alignment horizontal="center" vertical="center"/>
    </xf>
    <xf numFmtId="2" fontId="67" fillId="13" borderId="27" xfId="180" applyNumberFormat="1" applyFont="1" applyFill="1" applyBorder="1" applyAlignment="1">
      <alignment horizontal="center" vertical="center"/>
    </xf>
    <xf numFmtId="2" fontId="67" fillId="13" borderId="73" xfId="180" applyNumberFormat="1" applyFont="1" applyFill="1" applyBorder="1" applyAlignment="1">
      <alignment horizontal="center" vertical="center"/>
    </xf>
    <xf numFmtId="0" fontId="67" fillId="13" borderId="74" xfId="180" applyFont="1" applyFill="1" applyBorder="1" applyAlignment="1">
      <alignment horizontal="center" wrapText="1"/>
    </xf>
    <xf numFmtId="0" fontId="67" fillId="13" borderId="28" xfId="180" applyFont="1" applyFill="1" applyBorder="1" applyAlignment="1">
      <alignment horizontal="center" wrapText="1"/>
    </xf>
    <xf numFmtId="0" fontId="67" fillId="13" borderId="73" xfId="180" applyFont="1" applyFill="1" applyBorder="1" applyAlignment="1">
      <alignment horizontal="center" wrapText="1"/>
    </xf>
    <xf numFmtId="0" fontId="24" fillId="0" borderId="135" xfId="180" applyFont="1" applyFill="1" applyBorder="1" applyAlignment="1">
      <alignment horizontal="left" vertical="top" wrapText="1"/>
    </xf>
    <xf numFmtId="0" fontId="24" fillId="0" borderId="233" xfId="2" quotePrefix="1" applyFont="1" applyFill="1" applyBorder="1" applyAlignment="1">
      <alignment horizontal="center" vertical="top"/>
    </xf>
    <xf numFmtId="0" fontId="41" fillId="0" borderId="306" xfId="180" applyFont="1" applyFill="1" applyBorder="1" applyAlignment="1">
      <alignment horizontal="left" vertical="top" wrapText="1"/>
    </xf>
    <xf numFmtId="0" fontId="31" fillId="0" borderId="306" xfId="180" applyFont="1" applyFill="1" applyBorder="1"/>
    <xf numFmtId="165" fontId="41" fillId="0" borderId="307" xfId="180" applyNumberFormat="1" applyFont="1" applyFill="1" applyBorder="1" applyAlignment="1">
      <alignment horizontal="center" vertical="center"/>
    </xf>
    <xf numFmtId="0" fontId="31" fillId="0" borderId="307" xfId="180" applyFont="1" applyFill="1" applyBorder="1"/>
    <xf numFmtId="0" fontId="40" fillId="0" borderId="19" xfId="180" applyFont="1" applyFill="1" applyBorder="1" applyAlignment="1">
      <alignment horizontal="left" vertical="top" wrapText="1"/>
    </xf>
    <xf numFmtId="0" fontId="40" fillId="0" borderId="21" xfId="180" applyFont="1" applyFill="1" applyBorder="1" applyAlignment="1">
      <alignment horizontal="left" vertical="top" wrapText="1"/>
    </xf>
    <xf numFmtId="166" fontId="40" fillId="6" borderId="51" xfId="180" applyNumberFormat="1" applyFont="1" applyFill="1" applyBorder="1" applyAlignment="1">
      <alignment horizontal="left" vertical="top" wrapText="1"/>
    </xf>
    <xf numFmtId="166" fontId="40" fillId="6" borderId="20" xfId="180" applyNumberFormat="1" applyFont="1" applyFill="1" applyBorder="1" applyAlignment="1">
      <alignment horizontal="left" vertical="top" wrapText="1"/>
    </xf>
    <xf numFmtId="166" fontId="40" fillId="6" borderId="34" xfId="180" applyNumberFormat="1" applyFont="1" applyFill="1" applyBorder="1" applyAlignment="1">
      <alignment horizontal="left" vertical="top" wrapText="1"/>
    </xf>
    <xf numFmtId="166" fontId="40" fillId="6" borderId="1" xfId="180" applyNumberFormat="1" applyFont="1" applyFill="1" applyBorder="1" applyAlignment="1">
      <alignment horizontal="left" vertical="top" wrapText="1"/>
    </xf>
    <xf numFmtId="166" fontId="40" fillId="6" borderId="0" xfId="180" applyNumberFormat="1" applyFont="1" applyFill="1" applyBorder="1" applyAlignment="1">
      <alignment horizontal="left" vertical="top" wrapText="1"/>
    </xf>
    <xf numFmtId="166" fontId="40" fillId="6" borderId="2" xfId="180" applyNumberFormat="1" applyFont="1" applyFill="1" applyBorder="1" applyAlignment="1">
      <alignment horizontal="left" vertical="top" wrapText="1"/>
    </xf>
    <xf numFmtId="0" fontId="31" fillId="0" borderId="15" xfId="180" applyFont="1" applyFill="1" applyBorder="1" applyAlignment="1">
      <alignment horizontal="center" vertical="center" wrapText="1"/>
    </xf>
    <xf numFmtId="0" fontId="31" fillId="0" borderId="56" xfId="180" applyFont="1" applyFill="1" applyBorder="1" applyAlignment="1">
      <alignment horizontal="center" vertical="center" wrapText="1"/>
    </xf>
    <xf numFmtId="0" fontId="31" fillId="6" borderId="12" xfId="180" applyFont="1" applyFill="1" applyBorder="1" applyAlignment="1">
      <alignment horizontal="center" vertical="center" wrapText="1"/>
    </xf>
    <xf numFmtId="0" fontId="31" fillId="6" borderId="15" xfId="180" applyFont="1" applyFill="1" applyBorder="1" applyAlignment="1">
      <alignment horizontal="center" vertical="center" wrapText="1"/>
    </xf>
    <xf numFmtId="0" fontId="31" fillId="6" borderId="56" xfId="180" applyFont="1" applyFill="1" applyBorder="1" applyAlignment="1">
      <alignment horizontal="center" vertical="center" wrapText="1"/>
    </xf>
    <xf numFmtId="0" fontId="49" fillId="0" borderId="1" xfId="180" applyFont="1" applyFill="1" applyBorder="1" applyAlignment="1">
      <alignment horizontal="center" vertical="center"/>
    </xf>
    <xf numFmtId="0" fontId="49" fillId="0" borderId="0" xfId="180" applyFont="1" applyFill="1" applyBorder="1" applyAlignment="1">
      <alignment horizontal="center" vertical="center"/>
    </xf>
    <xf numFmtId="0" fontId="24" fillId="0" borderId="139" xfId="2" applyFont="1" applyFill="1" applyBorder="1" applyAlignment="1">
      <alignment horizontal="center" vertical="top"/>
    </xf>
    <xf numFmtId="0" fontId="24" fillId="0" borderId="233" xfId="2" applyFont="1" applyFill="1" applyBorder="1" applyAlignment="1">
      <alignment horizontal="center" vertical="top"/>
    </xf>
    <xf numFmtId="0" fontId="41" fillId="0" borderId="350" xfId="180" applyFont="1" applyFill="1" applyBorder="1" applyAlignment="1">
      <alignment horizontal="center" vertical="center"/>
    </xf>
    <xf numFmtId="0" fontId="41" fillId="0" borderId="108" xfId="180" applyFont="1" applyFill="1" applyBorder="1" applyAlignment="1">
      <alignment horizontal="center" vertical="center"/>
    </xf>
    <xf numFmtId="0" fontId="41" fillId="0" borderId="40" xfId="180" applyFont="1" applyFill="1" applyBorder="1" applyAlignment="1">
      <alignment horizontal="center" vertical="center" wrapText="1"/>
    </xf>
    <xf numFmtId="0" fontId="41" fillId="0" borderId="41" xfId="180" applyFont="1" applyFill="1" applyBorder="1" applyAlignment="1">
      <alignment horizontal="center" vertical="center" wrapText="1"/>
    </xf>
    <xf numFmtId="0" fontId="41" fillId="0" borderId="34" xfId="180" applyFont="1" applyFill="1" applyBorder="1" applyAlignment="1">
      <alignment horizontal="left" vertical="top" wrapText="1"/>
    </xf>
    <xf numFmtId="165" fontId="40" fillId="6" borderId="294" xfId="180" applyNumberFormat="1" applyFont="1" applyFill="1" applyBorder="1" applyAlignment="1">
      <alignment horizontal="center" vertical="center"/>
    </xf>
    <xf numFmtId="165" fontId="40" fillId="6" borderId="363" xfId="180" applyNumberFormat="1" applyFont="1" applyFill="1" applyBorder="1" applyAlignment="1">
      <alignment horizontal="center" vertical="center"/>
    </xf>
    <xf numFmtId="0" fontId="41" fillId="0" borderId="329" xfId="180" applyFont="1" applyFill="1" applyBorder="1" applyAlignment="1">
      <alignment horizontal="left" vertical="top" wrapText="1"/>
    </xf>
    <xf numFmtId="0" fontId="41" fillId="0" borderId="21" xfId="180" applyFont="1" applyFill="1" applyBorder="1" applyAlignment="1">
      <alignment horizontal="left" vertical="top" wrapText="1"/>
    </xf>
    <xf numFmtId="0" fontId="41" fillId="0" borderId="330" xfId="180" applyFont="1" applyFill="1" applyBorder="1" applyAlignment="1">
      <alignment horizontal="left" vertical="top" wrapText="1"/>
    </xf>
    <xf numFmtId="0" fontId="40" fillId="0" borderId="308" xfId="180" applyFont="1" applyFill="1" applyBorder="1" applyAlignment="1">
      <alignment horizontal="left" vertical="center" wrapText="1"/>
    </xf>
    <xf numFmtId="0" fontId="40" fillId="0" borderId="2" xfId="180" applyFont="1" applyFill="1" applyBorder="1" applyAlignment="1">
      <alignment horizontal="left" vertical="center" wrapText="1"/>
    </xf>
    <xf numFmtId="0" fontId="40" fillId="0" borderId="292" xfId="180" applyFont="1" applyFill="1" applyBorder="1" applyAlignment="1">
      <alignment horizontal="left" vertical="center" wrapText="1"/>
    </xf>
    <xf numFmtId="0" fontId="41" fillId="0" borderId="1" xfId="2" applyFont="1" applyFill="1" applyBorder="1" applyAlignment="1">
      <alignment horizontal="left" vertical="top" wrapText="1"/>
    </xf>
    <xf numFmtId="0" fontId="41" fillId="0" borderId="0" xfId="2" applyFont="1" applyFill="1" applyBorder="1" applyAlignment="1">
      <alignment horizontal="left" vertical="top" wrapText="1"/>
    </xf>
    <xf numFmtId="0" fontId="41" fillId="0" borderId="294" xfId="2" applyFont="1" applyFill="1" applyBorder="1" applyAlignment="1">
      <alignment horizontal="left" vertical="top" wrapText="1"/>
    </xf>
    <xf numFmtId="0" fontId="41" fillId="0" borderId="362" xfId="2" applyFont="1" applyFill="1" applyBorder="1" applyAlignment="1">
      <alignment horizontal="left" vertical="top" wrapText="1"/>
    </xf>
    <xf numFmtId="0" fontId="133" fillId="6" borderId="51" xfId="180" applyFont="1" applyFill="1" applyBorder="1" applyAlignment="1">
      <alignment horizontal="left" vertical="top" wrapText="1"/>
    </xf>
    <xf numFmtId="0" fontId="133" fillId="6" borderId="20" xfId="180" applyFont="1" applyFill="1" applyBorder="1" applyAlignment="1">
      <alignment horizontal="left" vertical="top" wrapText="1"/>
    </xf>
    <xf numFmtId="0" fontId="133" fillId="6" borderId="24" xfId="180" applyFont="1" applyFill="1" applyBorder="1" applyAlignment="1">
      <alignment horizontal="left" vertical="top" wrapText="1"/>
    </xf>
    <xf numFmtId="0" fontId="133" fillId="6" borderId="1" xfId="180" applyFont="1" applyFill="1" applyBorder="1" applyAlignment="1">
      <alignment horizontal="left" vertical="top" wrapText="1"/>
    </xf>
    <xf numFmtId="0" fontId="133" fillId="6" borderId="0" xfId="180" applyFont="1" applyFill="1" applyBorder="1" applyAlignment="1">
      <alignment horizontal="left" vertical="top" wrapText="1"/>
    </xf>
    <xf numFmtId="0" fontId="133" fillId="6" borderId="23" xfId="180" applyFont="1" applyFill="1" applyBorder="1" applyAlignment="1">
      <alignment horizontal="left" vertical="top" wrapText="1"/>
    </xf>
    <xf numFmtId="0" fontId="41" fillId="0" borderId="1" xfId="180" applyFont="1" applyFill="1" applyBorder="1" applyAlignment="1">
      <alignment horizontal="center"/>
    </xf>
    <xf numFmtId="0" fontId="41" fillId="0" borderId="0" xfId="180" applyFont="1" applyFill="1" applyBorder="1" applyAlignment="1">
      <alignment horizontal="center"/>
    </xf>
    <xf numFmtId="0" fontId="41" fillId="0" borderId="23" xfId="180" applyFont="1" applyFill="1" applyBorder="1" applyAlignment="1">
      <alignment horizontal="center"/>
    </xf>
    <xf numFmtId="0" fontId="41" fillId="0" borderId="23" xfId="180" applyFont="1" applyFill="1" applyBorder="1" applyAlignment="1">
      <alignment horizontal="left" vertical="top" wrapText="1"/>
    </xf>
    <xf numFmtId="0" fontId="40" fillId="0" borderId="24" xfId="180" applyFont="1" applyFill="1" applyBorder="1" applyAlignment="1">
      <alignment horizontal="left" vertical="top" wrapText="1"/>
    </xf>
    <xf numFmtId="0" fontId="41" fillId="0" borderId="305" xfId="180" applyFont="1" applyFill="1" applyBorder="1" applyAlignment="1">
      <alignment horizontal="left" vertical="top" wrapText="1"/>
    </xf>
    <xf numFmtId="0" fontId="41" fillId="0" borderId="294" xfId="180" applyFont="1" applyFill="1" applyBorder="1" applyAlignment="1">
      <alignment horizontal="left" vertical="top" wrapText="1"/>
    </xf>
    <xf numFmtId="0" fontId="41" fillId="0" borderId="259" xfId="180" applyFont="1" applyFill="1" applyBorder="1" applyAlignment="1">
      <alignment horizontal="center" vertical="center"/>
    </xf>
    <xf numFmtId="0" fontId="41" fillId="0" borderId="177" xfId="180" applyFont="1" applyFill="1" applyBorder="1" applyAlignment="1">
      <alignment horizontal="center" vertical="center"/>
    </xf>
    <xf numFmtId="166" fontId="40" fillId="0" borderId="51" xfId="180" applyNumberFormat="1" applyFont="1" applyFill="1" applyBorder="1" applyAlignment="1">
      <alignment horizontal="left" vertical="top" wrapText="1"/>
    </xf>
    <xf numFmtId="166" fontId="40" fillId="0" borderId="34" xfId="180" applyNumberFormat="1" applyFont="1" applyFill="1" applyBorder="1" applyAlignment="1">
      <alignment horizontal="left" vertical="top" wrapText="1"/>
    </xf>
    <xf numFmtId="166" fontId="40" fillId="0" borderId="1" xfId="180" applyNumberFormat="1" applyFont="1" applyFill="1" applyBorder="1" applyAlignment="1">
      <alignment horizontal="left" vertical="top" wrapText="1"/>
    </xf>
    <xf numFmtId="166" fontId="40" fillId="0" borderId="2" xfId="180" applyNumberFormat="1" applyFont="1" applyFill="1" applyBorder="1" applyAlignment="1">
      <alignment horizontal="left" vertical="top" wrapText="1"/>
    </xf>
    <xf numFmtId="166" fontId="40" fillId="0" borderId="294" xfId="180" applyNumberFormat="1" applyFont="1" applyFill="1" applyBorder="1" applyAlignment="1">
      <alignment horizontal="left" vertical="top" wrapText="1"/>
    </xf>
    <xf numFmtId="166" fontId="40" fillId="0" borderId="363" xfId="180" applyNumberFormat="1" applyFont="1" applyFill="1" applyBorder="1" applyAlignment="1">
      <alignment horizontal="left" vertical="top" wrapText="1"/>
    </xf>
    <xf numFmtId="0" fontId="41" fillId="0" borderId="295" xfId="180" applyFont="1" applyFill="1" applyBorder="1" applyAlignment="1">
      <alignment horizontal="left" wrapText="1"/>
    </xf>
    <xf numFmtId="165" fontId="40" fillId="6" borderId="1" xfId="180" applyNumberFormat="1" applyFont="1" applyFill="1" applyBorder="1" applyAlignment="1">
      <alignment horizontal="center" vertical="center"/>
    </xf>
    <xf numFmtId="165" fontId="40" fillId="6" borderId="2" xfId="180" applyNumberFormat="1" applyFont="1" applyFill="1" applyBorder="1" applyAlignment="1">
      <alignment horizontal="center" vertical="center"/>
    </xf>
    <xf numFmtId="0" fontId="40" fillId="0" borderId="0" xfId="180" applyFont="1" applyFill="1" applyBorder="1" applyAlignment="1">
      <alignment horizontal="center"/>
    </xf>
    <xf numFmtId="0" fontId="40" fillId="0" borderId="2" xfId="180" applyFont="1" applyFill="1" applyBorder="1" applyAlignment="1">
      <alignment horizontal="center"/>
    </xf>
    <xf numFmtId="0" fontId="41" fillId="0" borderId="50" xfId="180" applyFont="1" applyFill="1" applyBorder="1" applyAlignment="1">
      <alignment horizontal="left" vertical="top" wrapText="1"/>
    </xf>
    <xf numFmtId="0" fontId="41" fillId="0" borderId="15" xfId="180" applyFont="1" applyFill="1" applyBorder="1" applyAlignment="1">
      <alignment horizontal="left" vertical="top" wrapText="1"/>
    </xf>
    <xf numFmtId="0" fontId="41" fillId="0" borderId="135" xfId="162" applyNumberFormat="1" applyFont="1" applyFill="1" applyBorder="1" applyAlignment="1">
      <alignment horizontal="left" vertical="center" wrapText="1"/>
    </xf>
    <xf numFmtId="0" fontId="41" fillId="0" borderId="271" xfId="0" applyFont="1" applyBorder="1" applyAlignment="1">
      <alignment vertical="top" wrapText="1"/>
    </xf>
    <xf numFmtId="0" fontId="41" fillId="0" borderId="293" xfId="0" applyFont="1" applyBorder="1" applyAlignment="1">
      <alignment vertical="top" wrapText="1"/>
    </xf>
    <xf numFmtId="165" fontId="41" fillId="0" borderId="254" xfId="180" applyNumberFormat="1" applyFont="1" applyFill="1" applyBorder="1" applyAlignment="1">
      <alignment horizontal="center" vertical="center"/>
    </xf>
    <xf numFmtId="165" fontId="41" fillId="0" borderId="291" xfId="180" applyNumberFormat="1" applyFont="1" applyFill="1" applyBorder="1" applyAlignment="1">
      <alignment horizontal="center" vertical="center"/>
    </xf>
    <xf numFmtId="165" fontId="41" fillId="0" borderId="45" xfId="180" applyNumberFormat="1" applyFont="1" applyFill="1" applyBorder="1" applyAlignment="1">
      <alignment horizontal="center" vertical="center"/>
    </xf>
    <xf numFmtId="165" fontId="41" fillId="0" borderId="215" xfId="180" applyNumberFormat="1" applyFont="1" applyFill="1" applyBorder="1" applyAlignment="1">
      <alignment horizontal="center" vertical="center"/>
    </xf>
    <xf numFmtId="0" fontId="41" fillId="0" borderId="308" xfId="180" applyFont="1" applyFill="1" applyBorder="1" applyAlignment="1">
      <alignment horizontal="center" vertical="center" wrapText="1"/>
    </xf>
    <xf numFmtId="0" fontId="41" fillId="0" borderId="2" xfId="180" applyFont="1" applyFill="1" applyBorder="1" applyAlignment="1">
      <alignment horizontal="center" vertical="center" wrapText="1"/>
    </xf>
    <xf numFmtId="0" fontId="41" fillId="0" borderId="308" xfId="180" applyFont="1" applyFill="1" applyBorder="1" applyAlignment="1">
      <alignment horizontal="center" vertical="center"/>
    </xf>
    <xf numFmtId="0" fontId="41" fillId="0" borderId="157" xfId="180" applyFont="1" applyFill="1" applyBorder="1" applyAlignment="1">
      <alignment horizontal="center" vertical="center"/>
    </xf>
    <xf numFmtId="0" fontId="41" fillId="0" borderId="51" xfId="180" applyFont="1" applyFill="1" applyBorder="1" applyAlignment="1">
      <alignment horizontal="left" vertical="top" wrapText="1"/>
    </xf>
    <xf numFmtId="0" fontId="41" fillId="0" borderId="157" xfId="180" applyFont="1" applyFill="1" applyBorder="1" applyAlignment="1">
      <alignment horizontal="left" vertical="top" wrapText="1"/>
    </xf>
    <xf numFmtId="0" fontId="40" fillId="0" borderId="2" xfId="180" applyFont="1" applyFill="1" applyBorder="1" applyAlignment="1">
      <alignment horizontal="center" vertical="center" wrapText="1"/>
    </xf>
    <xf numFmtId="0" fontId="24" fillId="0" borderId="306" xfId="180" applyFont="1" applyFill="1" applyBorder="1" applyAlignment="1">
      <alignment horizontal="left" vertical="top"/>
    </xf>
    <xf numFmtId="0" fontId="24" fillId="0" borderId="302" xfId="180" applyFont="1" applyFill="1" applyBorder="1" applyAlignment="1">
      <alignment horizontal="left" vertical="top"/>
    </xf>
    <xf numFmtId="0" fontId="24" fillId="0" borderId="294" xfId="180" applyFont="1" applyFill="1" applyBorder="1" applyAlignment="1">
      <alignment horizontal="left" vertical="top"/>
    </xf>
    <xf numFmtId="0" fontId="24" fillId="0" borderId="156" xfId="180" applyFont="1" applyFill="1" applyBorder="1" applyAlignment="1">
      <alignment horizontal="left" vertical="top"/>
    </xf>
    <xf numFmtId="165" fontId="41" fillId="0" borderId="233" xfId="180" applyNumberFormat="1" applyFont="1" applyFill="1" applyBorder="1" applyAlignment="1">
      <alignment horizontal="center" vertical="center"/>
    </xf>
    <xf numFmtId="165" fontId="41" fillId="0" borderId="139" xfId="180" applyNumberFormat="1" applyFont="1" applyFill="1" applyBorder="1" applyAlignment="1">
      <alignment horizontal="center" vertical="center"/>
    </xf>
    <xf numFmtId="0" fontId="41" fillId="0" borderId="231" xfId="180" applyFont="1" applyFill="1" applyBorder="1" applyAlignment="1">
      <alignment horizontal="left" vertical="center" wrapText="1"/>
    </xf>
    <xf numFmtId="0" fontId="41" fillId="0" borderId="230" xfId="180" applyFont="1" applyFill="1" applyBorder="1" applyAlignment="1">
      <alignment horizontal="left" vertical="center" wrapText="1"/>
    </xf>
    <xf numFmtId="0" fontId="41" fillId="0" borderId="255" xfId="2" applyFont="1" applyFill="1" applyBorder="1" applyAlignment="1">
      <alignment horizontal="left" vertical="top" wrapText="1"/>
    </xf>
    <xf numFmtId="0" fontId="41" fillId="0" borderId="260" xfId="2" applyFont="1" applyFill="1" applyBorder="1" applyAlignment="1">
      <alignment horizontal="left" vertical="top" wrapText="1"/>
    </xf>
    <xf numFmtId="0" fontId="40" fillId="0" borderId="249" xfId="180" applyFont="1" applyFill="1" applyBorder="1" applyAlignment="1">
      <alignment horizontal="left" vertical="top" wrapText="1"/>
    </xf>
    <xf numFmtId="0" fontId="40" fillId="0" borderId="250" xfId="180" applyFont="1" applyFill="1" applyBorder="1" applyAlignment="1">
      <alignment horizontal="left" vertical="top" wrapText="1"/>
    </xf>
    <xf numFmtId="0" fontId="40" fillId="0" borderId="251" xfId="180" applyFont="1" applyFill="1" applyBorder="1" applyAlignment="1">
      <alignment horizontal="left" vertical="top" wrapText="1"/>
    </xf>
    <xf numFmtId="0" fontId="41" fillId="0" borderId="2" xfId="180" applyFont="1" applyFill="1" applyBorder="1" applyAlignment="1">
      <alignment horizontal="center" vertical="top"/>
    </xf>
    <xf numFmtId="0" fontId="41" fillId="0" borderId="7" xfId="180" applyFont="1" applyFill="1" applyBorder="1" applyAlignment="1">
      <alignment horizontal="center" vertical="top"/>
    </xf>
    <xf numFmtId="0" fontId="40" fillId="6" borderId="50" xfId="180" applyFont="1" applyFill="1" applyBorder="1" applyAlignment="1">
      <alignment vertical="top" wrapText="1"/>
    </xf>
    <xf numFmtId="0" fontId="40" fillId="6" borderId="15" xfId="180" applyFont="1" applyFill="1" applyBorder="1" applyAlignment="1">
      <alignment vertical="top" wrapText="1"/>
    </xf>
    <xf numFmtId="0" fontId="67" fillId="6" borderId="15" xfId="180" applyFont="1" applyFill="1" applyBorder="1" applyAlignment="1">
      <alignment wrapText="1"/>
    </xf>
    <xf numFmtId="0" fontId="67" fillId="6" borderId="15" xfId="180" applyFont="1" applyFill="1" applyBorder="1" applyAlignment="1"/>
    <xf numFmtId="0" fontId="41" fillId="0" borderId="305" xfId="2" applyFont="1" applyFill="1" applyBorder="1" applyAlignment="1">
      <alignment horizontal="center" vertical="top" wrapText="1"/>
    </xf>
    <xf numFmtId="0" fontId="41" fillId="0" borderId="304" xfId="2" applyFont="1" applyFill="1" applyBorder="1" applyAlignment="1">
      <alignment horizontal="center" vertical="top" wrapText="1"/>
    </xf>
    <xf numFmtId="166" fontId="41" fillId="0" borderId="51" xfId="180" applyNumberFormat="1" applyFont="1" applyFill="1" applyBorder="1" applyAlignment="1">
      <alignment horizontal="left" vertical="top" wrapText="1"/>
    </xf>
    <xf numFmtId="166" fontId="41" fillId="0" borderId="20" xfId="180" applyNumberFormat="1" applyFont="1" applyFill="1" applyBorder="1" applyAlignment="1">
      <alignment horizontal="left" vertical="top" wrapText="1"/>
    </xf>
    <xf numFmtId="166" fontId="41" fillId="0" borderId="34" xfId="180" applyNumberFormat="1" applyFont="1" applyFill="1" applyBorder="1" applyAlignment="1">
      <alignment horizontal="left" vertical="top" wrapText="1"/>
    </xf>
    <xf numFmtId="166" fontId="41" fillId="0" borderId="1" xfId="180" applyNumberFormat="1" applyFont="1" applyFill="1" applyBorder="1" applyAlignment="1">
      <alignment horizontal="left" vertical="top" wrapText="1"/>
    </xf>
    <xf numFmtId="166" fontId="41" fillId="0" borderId="0" xfId="180" applyNumberFormat="1" applyFont="1" applyFill="1" applyBorder="1" applyAlignment="1">
      <alignment horizontal="left" vertical="top" wrapText="1"/>
    </xf>
    <xf numFmtId="166" fontId="41" fillId="0" borderId="2" xfId="180" applyNumberFormat="1" applyFont="1" applyFill="1" applyBorder="1" applyAlignment="1">
      <alignment horizontal="left" vertical="top" wrapText="1"/>
    </xf>
    <xf numFmtId="166" fontId="41" fillId="0" borderId="213" xfId="180" applyNumberFormat="1" applyFont="1" applyFill="1" applyBorder="1" applyAlignment="1">
      <alignment horizontal="left" vertical="top" wrapText="1"/>
    </xf>
    <xf numFmtId="166" fontId="41" fillId="0" borderId="214" xfId="180" applyNumberFormat="1" applyFont="1" applyFill="1" applyBorder="1" applyAlignment="1">
      <alignment horizontal="left" vertical="top" wrapText="1"/>
    </xf>
    <xf numFmtId="166" fontId="41" fillId="0" borderId="215" xfId="180" applyNumberFormat="1" applyFont="1" applyFill="1" applyBorder="1" applyAlignment="1">
      <alignment horizontal="left" vertical="top" wrapText="1"/>
    </xf>
    <xf numFmtId="0" fontId="40" fillId="0" borderId="50" xfId="180" applyFont="1" applyFill="1" applyBorder="1" applyAlignment="1">
      <alignment horizontal="left" vertical="top" wrapText="1"/>
    </xf>
    <xf numFmtId="0" fontId="40" fillId="0" borderId="15" xfId="180" applyFont="1" applyFill="1" applyBorder="1" applyAlignment="1">
      <alignment horizontal="left" vertical="top" wrapText="1"/>
    </xf>
    <xf numFmtId="0" fontId="41" fillId="0" borderId="40" xfId="180" applyFont="1" applyFill="1" applyBorder="1" applyAlignment="1">
      <alignment horizontal="center" vertical="center"/>
    </xf>
    <xf numFmtId="0" fontId="41" fillId="0" borderId="39" xfId="180" applyFont="1" applyFill="1" applyBorder="1" applyAlignment="1">
      <alignment horizontal="center" vertical="center"/>
    </xf>
    <xf numFmtId="0" fontId="41" fillId="0" borderId="71" xfId="2" applyFont="1" applyFill="1" applyBorder="1" applyAlignment="1">
      <alignment horizontal="left" vertical="top" wrapText="1"/>
    </xf>
    <xf numFmtId="0" fontId="41" fillId="0" borderId="48" xfId="2" applyFont="1" applyFill="1" applyBorder="1" applyAlignment="1">
      <alignment horizontal="left" vertical="top" wrapText="1"/>
    </xf>
    <xf numFmtId="0" fontId="41" fillId="0" borderId="45" xfId="2" applyFont="1" applyFill="1" applyBorder="1" applyAlignment="1">
      <alignment horizontal="left" vertical="top" wrapText="1"/>
    </xf>
    <xf numFmtId="0" fontId="24" fillId="0" borderId="36" xfId="180" applyFont="1" applyFill="1" applyBorder="1" applyAlignment="1">
      <alignment horizontal="center" wrapText="1"/>
    </xf>
    <xf numFmtId="0" fontId="24" fillId="0" borderId="30" xfId="180" applyFont="1" applyFill="1" applyBorder="1" applyAlignment="1">
      <alignment horizontal="center" wrapText="1"/>
    </xf>
    <xf numFmtId="0" fontId="24" fillId="0" borderId="35" xfId="180" applyFont="1" applyFill="1" applyBorder="1" applyAlignment="1">
      <alignment horizontal="center" wrapText="1"/>
    </xf>
    <xf numFmtId="0" fontId="24" fillId="0" borderId="15" xfId="180" applyFont="1" applyFill="1" applyBorder="1" applyAlignment="1">
      <alignment horizontal="center" vertical="center" wrapText="1"/>
    </xf>
    <xf numFmtId="0" fontId="37" fillId="0" borderId="19" xfId="3" applyFont="1" applyFill="1" applyBorder="1" applyAlignment="1">
      <alignment horizontal="center" vertical="center" textRotation="90" wrapText="1"/>
    </xf>
    <xf numFmtId="0" fontId="37" fillId="0" borderId="21" xfId="3" applyFont="1" applyFill="1" applyBorder="1" applyAlignment="1">
      <alignment horizontal="center" vertical="center" textRotation="90" wrapText="1"/>
    </xf>
    <xf numFmtId="0" fontId="41" fillId="9" borderId="70" xfId="180" applyFont="1" applyFill="1" applyBorder="1" applyAlignment="1">
      <alignment horizontal="center" vertical="top" wrapText="1"/>
    </xf>
    <xf numFmtId="0" fontId="41" fillId="9" borderId="53" xfId="180" applyFont="1" applyFill="1" applyBorder="1" applyAlignment="1">
      <alignment horizontal="center" vertical="top" wrapText="1"/>
    </xf>
    <xf numFmtId="0" fontId="41" fillId="0" borderId="306" xfId="0" applyFont="1" applyBorder="1" applyAlignment="1">
      <alignment horizontal="left" vertical="top" wrapText="1"/>
    </xf>
    <xf numFmtId="0" fontId="41" fillId="0" borderId="302" xfId="0" applyFont="1" applyBorder="1" applyAlignment="1">
      <alignment horizontal="left" vertical="top" wrapText="1"/>
    </xf>
    <xf numFmtId="0" fontId="24" fillId="0" borderId="306" xfId="180" applyFont="1" applyFill="1" applyBorder="1" applyAlignment="1">
      <alignment horizontal="left" vertical="center"/>
    </xf>
    <xf numFmtId="0" fontId="24" fillId="0" borderId="302" xfId="180" applyFont="1" applyFill="1" applyBorder="1" applyAlignment="1">
      <alignment horizontal="left" vertical="center"/>
    </xf>
    <xf numFmtId="0" fontId="40" fillId="0" borderId="1" xfId="180" applyFont="1" applyFill="1" applyBorder="1" applyAlignment="1">
      <alignment horizontal="center" vertical="center" wrapText="1"/>
    </xf>
    <xf numFmtId="0" fontId="40" fillId="6" borderId="34" xfId="180" applyFont="1" applyFill="1" applyBorder="1" applyAlignment="1">
      <alignment horizontal="left" vertical="top" wrapText="1"/>
    </xf>
    <xf numFmtId="0" fontId="40" fillId="6" borderId="50" xfId="180" applyFont="1" applyFill="1" applyBorder="1" applyAlignment="1">
      <alignment horizontal="left" vertical="top" wrapText="1"/>
    </xf>
    <xf numFmtId="0" fontId="40" fillId="6" borderId="2" xfId="180" applyFont="1" applyFill="1" applyBorder="1" applyAlignment="1">
      <alignment horizontal="left" vertical="top" wrapText="1"/>
    </xf>
    <xf numFmtId="0" fontId="40" fillId="6" borderId="15" xfId="180" applyFont="1" applyFill="1" applyBorder="1" applyAlignment="1">
      <alignment horizontal="left" vertical="top" wrapText="1"/>
    </xf>
    <xf numFmtId="9" fontId="40" fillId="0" borderId="50" xfId="162" applyFont="1" applyFill="1" applyBorder="1" applyAlignment="1">
      <alignment horizontal="left" vertical="top" wrapText="1"/>
    </xf>
    <xf numFmtId="9" fontId="40" fillId="0" borderId="15" xfId="162" applyFont="1" applyFill="1" applyBorder="1" applyAlignment="1">
      <alignment horizontal="left" vertical="top" wrapText="1"/>
    </xf>
    <xf numFmtId="9" fontId="40" fillId="6" borderId="50" xfId="162" applyFont="1" applyFill="1" applyBorder="1" applyAlignment="1">
      <alignment horizontal="left" vertical="top" wrapText="1"/>
    </xf>
    <xf numFmtId="9" fontId="40" fillId="6" borderId="15" xfId="162" applyFont="1" applyFill="1" applyBorder="1" applyAlignment="1">
      <alignment horizontal="left" vertical="top" wrapText="1"/>
    </xf>
    <xf numFmtId="9" fontId="40" fillId="0" borderId="51" xfId="162" applyFont="1" applyFill="1" applyBorder="1" applyAlignment="1">
      <alignment horizontal="left" vertical="top" wrapText="1"/>
    </xf>
    <xf numFmtId="9" fontId="40" fillId="0" borderId="34" xfId="162" applyFont="1" applyFill="1" applyBorder="1" applyAlignment="1">
      <alignment horizontal="left" vertical="top" wrapText="1"/>
    </xf>
    <xf numFmtId="9" fontId="40" fillId="0" borderId="1" xfId="162" applyFont="1" applyFill="1" applyBorder="1" applyAlignment="1">
      <alignment horizontal="left" vertical="top" wrapText="1"/>
    </xf>
    <xf numFmtId="9" fontId="40" fillId="0" borderId="2" xfId="162" applyFont="1" applyFill="1" applyBorder="1" applyAlignment="1">
      <alignment horizontal="left" vertical="top" wrapText="1"/>
    </xf>
    <xf numFmtId="166" fontId="41" fillId="0" borderId="51" xfId="180" applyNumberFormat="1" applyFont="1" applyFill="1" applyBorder="1" applyAlignment="1">
      <alignment horizontal="left" vertical="center" wrapText="1"/>
    </xf>
    <xf numFmtId="166" fontId="41" fillId="0" borderId="20" xfId="180" applyNumberFormat="1" applyFont="1" applyFill="1" applyBorder="1" applyAlignment="1">
      <alignment horizontal="left" vertical="center" wrapText="1"/>
    </xf>
    <xf numFmtId="166" fontId="41" fillId="0" borderId="34" xfId="180" applyNumberFormat="1" applyFont="1" applyFill="1" applyBorder="1" applyAlignment="1">
      <alignment horizontal="left" vertical="center" wrapText="1"/>
    </xf>
    <xf numFmtId="166" fontId="41" fillId="0" borderId="1" xfId="180" applyNumberFormat="1" applyFont="1" applyFill="1" applyBorder="1" applyAlignment="1">
      <alignment horizontal="left" vertical="center" wrapText="1"/>
    </xf>
    <xf numFmtId="166" fontId="41" fillId="0" borderId="0" xfId="180" applyNumberFormat="1" applyFont="1" applyFill="1" applyBorder="1" applyAlignment="1">
      <alignment horizontal="left" vertical="center" wrapText="1"/>
    </xf>
    <xf numFmtId="166" fontId="41" fillId="0" borderId="2" xfId="180" applyNumberFormat="1" applyFont="1" applyFill="1" applyBorder="1" applyAlignment="1">
      <alignment horizontal="left" vertical="center" wrapText="1"/>
    </xf>
    <xf numFmtId="0" fontId="24" fillId="6" borderId="306" xfId="180" applyFont="1" applyFill="1" applyBorder="1" applyAlignment="1">
      <alignment horizontal="left" vertical="top" wrapText="1"/>
    </xf>
    <xf numFmtId="0" fontId="41" fillId="0" borderId="231" xfId="180" applyFont="1" applyFill="1" applyBorder="1" applyAlignment="1">
      <alignment horizontal="left" wrapText="1"/>
    </xf>
    <xf numFmtId="0" fontId="24" fillId="0" borderId="68" xfId="180" applyFont="1" applyBorder="1" applyAlignment="1"/>
    <xf numFmtId="0" fontId="24" fillId="0" borderId="72" xfId="180" applyFont="1" applyBorder="1" applyAlignment="1"/>
    <xf numFmtId="0" fontId="24" fillId="0" borderId="27" xfId="2" applyFont="1" applyBorder="1" applyAlignment="1"/>
    <xf numFmtId="0" fontId="24" fillId="0" borderId="28" xfId="2" applyFont="1" applyBorder="1" applyAlignment="1"/>
    <xf numFmtId="0" fontId="24" fillId="0" borderId="29" xfId="2" applyFont="1" applyBorder="1" applyAlignment="1"/>
    <xf numFmtId="0" fontId="40" fillId="0" borderId="14" xfId="2" applyFont="1" applyFill="1" applyBorder="1" applyAlignment="1">
      <alignment horizontal="center" vertical="center" wrapText="1"/>
    </xf>
    <xf numFmtId="0" fontId="24" fillId="0" borderId="14" xfId="2" applyFont="1" applyFill="1" applyBorder="1" applyAlignment="1">
      <alignment horizontal="center" vertical="center" textRotation="90" wrapText="1"/>
    </xf>
    <xf numFmtId="0" fontId="67" fillId="13" borderId="242" xfId="2" applyFont="1" applyFill="1" applyBorder="1" applyAlignment="1">
      <alignment horizontal="center" vertical="center"/>
    </xf>
    <xf numFmtId="0" fontId="67" fillId="13" borderId="240" xfId="2" applyFont="1" applyFill="1" applyBorder="1" applyAlignment="1">
      <alignment horizontal="center" vertical="center"/>
    </xf>
    <xf numFmtId="0" fontId="67" fillId="13" borderId="10" xfId="2" applyFont="1" applyFill="1" applyBorder="1" applyAlignment="1">
      <alignment horizontal="center" vertical="center"/>
    </xf>
    <xf numFmtId="0" fontId="67" fillId="13" borderId="8" xfId="2" applyFont="1" applyFill="1" applyBorder="1" applyAlignment="1">
      <alignment horizontal="center" vertical="center"/>
    </xf>
    <xf numFmtId="0" fontId="67" fillId="13" borderId="9" xfId="2" applyFont="1" applyFill="1" applyBorder="1" applyAlignment="1">
      <alignment horizontal="center" vertical="center"/>
    </xf>
    <xf numFmtId="0" fontId="40" fillId="0" borderId="242" xfId="2" applyFont="1" applyFill="1" applyBorder="1" applyAlignment="1">
      <alignment horizontal="left" vertical="top" wrapText="1"/>
    </xf>
    <xf numFmtId="0" fontId="40" fillId="0" borderId="0" xfId="2" applyFont="1" applyFill="1" applyBorder="1" applyAlignment="1">
      <alignment horizontal="left" vertical="top" wrapText="1"/>
    </xf>
    <xf numFmtId="0" fontId="40" fillId="0" borderId="239" xfId="2" applyFont="1" applyFill="1" applyBorder="1" applyAlignment="1">
      <alignment horizontal="left" vertical="top" wrapText="1"/>
    </xf>
    <xf numFmtId="0" fontId="40" fillId="0" borderId="240" xfId="2" applyFont="1" applyFill="1" applyBorder="1" applyAlignment="1">
      <alignment horizontal="left" vertical="top" wrapText="1"/>
    </xf>
    <xf numFmtId="0" fontId="40" fillId="0" borderId="1" xfId="2" applyFont="1" applyFill="1" applyBorder="1" applyAlignment="1">
      <alignment horizontal="left" vertical="top" wrapText="1"/>
    </xf>
    <xf numFmtId="0" fontId="40" fillId="0" borderId="2" xfId="2" applyFont="1" applyFill="1" applyBorder="1" applyAlignment="1">
      <alignment horizontal="left" vertical="top" wrapText="1"/>
    </xf>
    <xf numFmtId="0" fontId="133" fillId="6" borderId="242" xfId="2" applyFont="1" applyFill="1" applyBorder="1" applyAlignment="1">
      <alignment horizontal="left" vertical="top" wrapText="1"/>
    </xf>
    <xf numFmtId="0" fontId="133" fillId="6" borderId="111" xfId="2" applyFont="1" applyFill="1" applyBorder="1" applyAlignment="1">
      <alignment horizontal="left" vertical="top" wrapText="1"/>
    </xf>
    <xf numFmtId="0" fontId="133" fillId="6" borderId="112" xfId="2" applyFont="1" applyFill="1" applyBorder="1" applyAlignment="1">
      <alignment horizontal="left" vertical="top" wrapText="1"/>
    </xf>
    <xf numFmtId="0" fontId="133" fillId="6" borderId="0" xfId="2" applyFont="1" applyFill="1" applyBorder="1" applyAlignment="1">
      <alignment horizontal="left" vertical="top" wrapText="1"/>
    </xf>
    <xf numFmtId="0" fontId="133" fillId="6" borderId="2" xfId="2" applyFont="1" applyFill="1" applyBorder="1" applyAlignment="1">
      <alignment horizontal="left" vertical="top" wrapText="1"/>
    </xf>
    <xf numFmtId="0" fontId="25" fillId="0" borderId="239" xfId="2" applyFont="1" applyFill="1" applyBorder="1" applyAlignment="1">
      <alignment horizontal="left" vertical="top" wrapText="1"/>
    </xf>
    <xf numFmtId="0" fontId="25" fillId="0" borderId="240" xfId="2" applyFont="1" applyFill="1" applyBorder="1" applyAlignment="1">
      <alignment horizontal="left" vertical="top" wrapText="1"/>
    </xf>
    <xf numFmtId="0" fontId="25" fillId="0" borderId="1" xfId="2" applyFont="1" applyFill="1" applyBorder="1" applyAlignment="1">
      <alignment horizontal="left" vertical="top" wrapText="1"/>
    </xf>
    <xf numFmtId="0" fontId="25" fillId="0" borderId="2" xfId="2" applyFont="1" applyFill="1" applyBorder="1" applyAlignment="1">
      <alignment horizontal="left" vertical="top" wrapText="1"/>
    </xf>
    <xf numFmtId="0" fontId="24" fillId="0" borderId="0" xfId="2" applyFont="1" applyFill="1" applyBorder="1" applyAlignment="1">
      <alignment horizontal="left" vertical="top" wrapText="1"/>
    </xf>
    <xf numFmtId="0" fontId="19" fillId="0" borderId="1" xfId="3" applyFont="1" applyFill="1" applyBorder="1" applyAlignment="1">
      <alignment horizontal="center"/>
    </xf>
    <xf numFmtId="0" fontId="19" fillId="0" borderId="2" xfId="3" applyFont="1" applyFill="1" applyBorder="1" applyAlignment="1">
      <alignment horizontal="center"/>
    </xf>
    <xf numFmtId="0" fontId="24" fillId="0" borderId="5" xfId="2" applyFont="1" applyFill="1" applyBorder="1" applyAlignment="1">
      <alignment horizontal="center" vertical="top" wrapText="1"/>
    </xf>
    <xf numFmtId="0" fontId="24" fillId="0" borderId="7" xfId="2" applyFont="1" applyFill="1" applyBorder="1" applyAlignment="1">
      <alignment horizontal="center" vertical="top" wrapText="1"/>
    </xf>
    <xf numFmtId="0" fontId="24" fillId="0" borderId="14" xfId="2" applyFont="1" applyFill="1" applyBorder="1" applyAlignment="1">
      <alignment horizontal="center" vertical="center"/>
    </xf>
    <xf numFmtId="0" fontId="24" fillId="0" borderId="10" xfId="2" applyFont="1" applyFill="1" applyBorder="1" applyAlignment="1">
      <alignment horizontal="center" vertical="center"/>
    </xf>
    <xf numFmtId="0" fontId="24" fillId="0" borderId="8" xfId="2" applyFont="1" applyFill="1" applyBorder="1" applyAlignment="1">
      <alignment horizontal="center" vertical="center"/>
    </xf>
    <xf numFmtId="0" fontId="24" fillId="0" borderId="9" xfId="2" applyFont="1" applyFill="1" applyBorder="1" applyAlignment="1">
      <alignment horizontal="center" vertical="center"/>
    </xf>
    <xf numFmtId="0" fontId="32" fillId="22" borderId="19" xfId="15" applyFont="1" applyFill="1" applyBorder="1" applyAlignment="1">
      <alignment horizontal="left" vertical="center"/>
    </xf>
    <xf numFmtId="0" fontId="32" fillId="22" borderId="20" xfId="15" applyFont="1" applyFill="1" applyBorder="1" applyAlignment="1">
      <alignment horizontal="left" vertical="center"/>
    </xf>
    <xf numFmtId="0" fontId="32" fillId="22" borderId="22" xfId="15" applyFont="1" applyFill="1" applyBorder="1" applyAlignment="1">
      <alignment horizontal="left" vertical="center"/>
    </xf>
    <xf numFmtId="0" fontId="32" fillId="22" borderId="97" xfId="15" applyFont="1" applyFill="1" applyBorder="1" applyAlignment="1">
      <alignment horizontal="left" vertical="center"/>
    </xf>
    <xf numFmtId="0" fontId="32" fillId="22" borderId="51" xfId="15" applyFont="1" applyFill="1" applyBorder="1" applyAlignment="1">
      <alignment horizontal="left" vertical="center"/>
    </xf>
    <xf numFmtId="0" fontId="32" fillId="22" borderId="24" xfId="15" applyFont="1" applyFill="1" applyBorder="1" applyAlignment="1">
      <alignment horizontal="left" vertical="center"/>
    </xf>
    <xf numFmtId="0" fontId="32" fillId="22" borderId="1" xfId="15" applyFont="1" applyFill="1" applyBorder="1" applyAlignment="1">
      <alignment horizontal="left" vertical="center"/>
    </xf>
    <xf numFmtId="0" fontId="32" fillId="22" borderId="0" xfId="15" applyFont="1" applyFill="1" applyBorder="1" applyAlignment="1">
      <alignment horizontal="left" vertical="center"/>
    </xf>
    <xf numFmtId="0" fontId="32" fillId="22" borderId="23" xfId="15" applyFont="1" applyFill="1" applyBorder="1" applyAlignment="1">
      <alignment horizontal="left" vertical="center"/>
    </xf>
    <xf numFmtId="166" fontId="67" fillId="39" borderId="74" xfId="15" applyNumberFormat="1" applyFont="1" applyFill="1" applyBorder="1" applyAlignment="1">
      <alignment horizontal="center" vertical="center"/>
    </xf>
    <xf numFmtId="166" fontId="67" fillId="39" borderId="73" xfId="15" applyNumberFormat="1" applyFont="1" applyFill="1" applyBorder="1" applyAlignment="1">
      <alignment horizontal="center" vertical="center"/>
    </xf>
    <xf numFmtId="166" fontId="67" fillId="39" borderId="28" xfId="15" quotePrefix="1" applyNumberFormat="1" applyFont="1" applyFill="1" applyBorder="1" applyAlignment="1">
      <alignment horizontal="center" vertical="center"/>
    </xf>
    <xf numFmtId="166" fontId="67" fillId="39" borderId="28" xfId="15" applyNumberFormat="1" applyFont="1" applyFill="1" applyBorder="1" applyAlignment="1">
      <alignment horizontal="center" vertical="center"/>
    </xf>
    <xf numFmtId="166" fontId="67" fillId="39" borderId="74" xfId="15" quotePrefix="1" applyNumberFormat="1" applyFont="1" applyFill="1" applyBorder="1" applyAlignment="1">
      <alignment horizontal="center" vertical="center"/>
    </xf>
    <xf numFmtId="0" fontId="67" fillId="0" borderId="73" xfId="180" applyFont="1" applyBorder="1" applyAlignment="1">
      <alignment horizontal="center" vertical="center"/>
    </xf>
    <xf numFmtId="0" fontId="17" fillId="0" borderId="28" xfId="180" applyBorder="1" applyAlignment="1">
      <alignment horizontal="center" vertical="center"/>
    </xf>
    <xf numFmtId="0" fontId="17" fillId="0" borderId="73" xfId="180" applyBorder="1" applyAlignment="1">
      <alignment horizontal="center" vertical="center"/>
    </xf>
    <xf numFmtId="0" fontId="67" fillId="39" borderId="29" xfId="15" applyFont="1" applyFill="1" applyBorder="1" applyAlignment="1">
      <alignment horizontal="center" vertical="center"/>
    </xf>
    <xf numFmtId="166" fontId="67" fillId="39" borderId="27" xfId="15" applyNumberFormat="1" applyFont="1" applyFill="1" applyBorder="1" applyAlignment="1">
      <alignment horizontal="center" vertical="center"/>
    </xf>
    <xf numFmtId="166" fontId="67" fillId="39" borderId="27" xfId="15" applyNumberFormat="1" applyFont="1" applyFill="1" applyBorder="1" applyAlignment="1">
      <alignment horizontal="center" vertical="center" wrapText="1"/>
    </xf>
    <xf numFmtId="0" fontId="17" fillId="0" borderId="28" xfId="180" applyBorder="1" applyAlignment="1">
      <alignment horizontal="center" vertical="center" wrapText="1"/>
    </xf>
    <xf numFmtId="0" fontId="17" fillId="0" borderId="29" xfId="180" applyBorder="1" applyAlignment="1">
      <alignment horizontal="center" vertical="center" wrapText="1"/>
    </xf>
    <xf numFmtId="0" fontId="39" fillId="0" borderId="53" xfId="15" applyFont="1" applyFill="1" applyBorder="1" applyAlignment="1">
      <alignment horizontal="center" vertical="top" wrapText="1"/>
    </xf>
    <xf numFmtId="0" fontId="39" fillId="0" borderId="64" xfId="15" applyFont="1" applyFill="1" applyBorder="1" applyAlignment="1">
      <alignment horizontal="center" vertical="top" wrapText="1"/>
    </xf>
    <xf numFmtId="0" fontId="39" fillId="0" borderId="34" xfId="15" applyFont="1" applyFill="1" applyBorder="1" applyAlignment="1">
      <alignment horizontal="center" vertical="top" wrapText="1"/>
    </xf>
    <xf numFmtId="0" fontId="39" fillId="0" borderId="2" xfId="15" applyFont="1" applyFill="1" applyBorder="1" applyAlignment="1">
      <alignment horizontal="center" vertical="top" wrapText="1"/>
    </xf>
    <xf numFmtId="0" fontId="25" fillId="0" borderId="1" xfId="15" applyFont="1" applyFill="1" applyBorder="1" applyAlignment="1">
      <alignment horizontal="left" vertical="top" wrapText="1"/>
    </xf>
    <xf numFmtId="0" fontId="25" fillId="0" borderId="2" xfId="15" applyFont="1" applyFill="1" applyBorder="1" applyAlignment="1">
      <alignment horizontal="left" vertical="top" wrapText="1"/>
    </xf>
    <xf numFmtId="0" fontId="25" fillId="0" borderId="249" xfId="15" applyFont="1" applyFill="1" applyBorder="1" applyAlignment="1">
      <alignment horizontal="left" vertical="top" wrapText="1"/>
    </xf>
    <xf numFmtId="0" fontId="25" fillId="0" borderId="251" xfId="15" applyFont="1" applyFill="1" applyBorder="1" applyAlignment="1">
      <alignment horizontal="left" vertical="top" wrapText="1"/>
    </xf>
    <xf numFmtId="0" fontId="25" fillId="6" borderId="0" xfId="15" applyFont="1" applyFill="1" applyBorder="1" applyAlignment="1">
      <alignment horizontal="left" vertical="top" wrapText="1"/>
    </xf>
    <xf numFmtId="0" fontId="25" fillId="6" borderId="250" xfId="15" applyFont="1" applyFill="1" applyBorder="1" applyAlignment="1">
      <alignment horizontal="left" vertical="top" wrapText="1"/>
    </xf>
    <xf numFmtId="0" fontId="25" fillId="6" borderId="1" xfId="15" applyFont="1" applyFill="1" applyBorder="1" applyAlignment="1">
      <alignment horizontal="left" vertical="top" wrapText="1"/>
    </xf>
    <xf numFmtId="0" fontId="25" fillId="6" borderId="2" xfId="15" applyFont="1" applyFill="1" applyBorder="1" applyAlignment="1">
      <alignment horizontal="left" vertical="top" wrapText="1"/>
    </xf>
    <xf numFmtId="0" fontId="25" fillId="6" borderId="249" xfId="15" applyFont="1" applyFill="1" applyBorder="1" applyAlignment="1">
      <alignment horizontal="left" vertical="top" wrapText="1"/>
    </xf>
    <xf numFmtId="0" fontId="25" fillId="6" borderId="251" xfId="15" applyFont="1" applyFill="1" applyBorder="1" applyAlignment="1">
      <alignment horizontal="left" vertical="top" wrapText="1"/>
    </xf>
    <xf numFmtId="0" fontId="25" fillId="0" borderId="0" xfId="15" applyFont="1" applyFill="1" applyBorder="1" applyAlignment="1">
      <alignment horizontal="left" vertical="top" wrapText="1"/>
    </xf>
    <xf numFmtId="0" fontId="25" fillId="0" borderId="250" xfId="15" applyFont="1" applyFill="1" applyBorder="1" applyAlignment="1">
      <alignment horizontal="left" vertical="top" wrapText="1"/>
    </xf>
    <xf numFmtId="165" fontId="41" fillId="0" borderId="255" xfId="180" applyNumberFormat="1" applyFont="1" applyFill="1" applyBorder="1" applyAlignment="1">
      <alignment horizontal="left" wrapText="1"/>
    </xf>
    <xf numFmtId="165" fontId="41" fillId="0" borderId="260" xfId="180" applyNumberFormat="1" applyFont="1" applyFill="1" applyBorder="1" applyAlignment="1">
      <alignment horizontal="left" wrapText="1"/>
    </xf>
    <xf numFmtId="0" fontId="41" fillId="0" borderId="305" xfId="0" applyFont="1" applyBorder="1" applyAlignment="1">
      <alignment vertical="top" wrapText="1"/>
    </xf>
    <xf numFmtId="0" fontId="41" fillId="0" borderId="1" xfId="0" applyFont="1" applyBorder="1" applyAlignment="1">
      <alignment vertical="top" wrapText="1"/>
    </xf>
    <xf numFmtId="165" fontId="41" fillId="0" borderId="257" xfId="180" applyNumberFormat="1" applyFont="1" applyFill="1" applyBorder="1" applyAlignment="1">
      <alignment horizontal="left" wrapText="1"/>
    </xf>
    <xf numFmtId="165" fontId="41" fillId="0" borderId="254" xfId="180" applyNumberFormat="1" applyFont="1" applyFill="1" applyBorder="1" applyAlignment="1">
      <alignment horizontal="left" wrapText="1"/>
    </xf>
    <xf numFmtId="0" fontId="24" fillId="0" borderId="258" xfId="180" quotePrefix="1" applyFont="1" applyFill="1" applyBorder="1" applyAlignment="1">
      <alignment horizontal="center" vertical="center" wrapText="1"/>
    </xf>
    <xf numFmtId="0" fontId="24" fillId="0" borderId="251" xfId="180" applyFont="1" applyFill="1" applyBorder="1" applyAlignment="1">
      <alignment horizontal="center" vertical="center" wrapText="1"/>
    </xf>
    <xf numFmtId="0" fontId="51" fillId="0" borderId="289" xfId="15" applyFont="1" applyBorder="1" applyAlignment="1">
      <alignment horizontal="left" vertical="top" wrapText="1"/>
    </xf>
    <xf numFmtId="0" fontId="51" fillId="0" borderId="294" xfId="15" applyFont="1" applyBorder="1" applyAlignment="1">
      <alignment horizontal="left" vertical="top" wrapText="1"/>
    </xf>
    <xf numFmtId="0" fontId="41" fillId="0" borderId="255" xfId="180" applyFont="1" applyFill="1" applyBorder="1" applyAlignment="1">
      <alignment horizontal="left" vertical="top" wrapText="1"/>
    </xf>
    <xf numFmtId="0" fontId="41" fillId="0" borderId="260" xfId="180" applyFont="1" applyFill="1" applyBorder="1" applyAlignment="1">
      <alignment horizontal="left" vertical="top" wrapText="1"/>
    </xf>
    <xf numFmtId="0" fontId="41" fillId="0" borderId="185" xfId="0" applyFont="1" applyBorder="1" applyAlignment="1">
      <alignment horizontal="center" textRotation="90" wrapText="1"/>
    </xf>
    <xf numFmtId="0" fontId="41" fillId="0" borderId="324" xfId="0" applyFont="1" applyBorder="1" applyAlignment="1">
      <alignment horizontal="center" textRotation="90" wrapText="1"/>
    </xf>
    <xf numFmtId="0" fontId="41" fillId="0" borderId="186" xfId="0" applyFont="1" applyBorder="1" applyAlignment="1">
      <alignment horizontal="center" textRotation="90" wrapText="1"/>
    </xf>
    <xf numFmtId="0" fontId="41" fillId="0" borderId="325" xfId="0" applyFont="1" applyBorder="1" applyAlignment="1">
      <alignment horizontal="center" textRotation="90" wrapText="1"/>
    </xf>
    <xf numFmtId="165" fontId="41" fillId="6" borderId="255" xfId="180" applyNumberFormat="1" applyFont="1" applyFill="1" applyBorder="1" applyAlignment="1">
      <alignment horizontal="left" wrapText="1"/>
    </xf>
    <xf numFmtId="165" fontId="41" fillId="6" borderId="260" xfId="180" applyNumberFormat="1" applyFont="1" applyFill="1" applyBorder="1" applyAlignment="1">
      <alignment horizontal="left" wrapText="1"/>
    </xf>
    <xf numFmtId="0" fontId="24" fillId="0" borderId="1" xfId="15" applyFont="1" applyFill="1" applyBorder="1" applyAlignment="1">
      <alignment horizontal="left" vertical="top" wrapText="1"/>
    </xf>
    <xf numFmtId="0" fontId="24" fillId="0" borderId="0" xfId="15" applyFont="1" applyFill="1" applyBorder="1" applyAlignment="1">
      <alignment horizontal="left" vertical="top" wrapText="1"/>
    </xf>
    <xf numFmtId="0" fontId="24" fillId="0" borderId="2" xfId="15" applyFont="1" applyFill="1" applyBorder="1" applyAlignment="1">
      <alignment horizontal="left" vertical="top" wrapText="1"/>
    </xf>
    <xf numFmtId="0" fontId="24" fillId="0" borderId="51" xfId="15" applyFont="1" applyFill="1" applyBorder="1" applyAlignment="1">
      <alignment horizontal="left" vertical="top" wrapText="1"/>
    </xf>
    <xf numFmtId="0" fontId="24" fillId="0" borderId="20" xfId="15" applyFont="1" applyFill="1" applyBorder="1" applyAlignment="1">
      <alignment horizontal="left" vertical="top" wrapText="1"/>
    </xf>
    <xf numFmtId="0" fontId="24" fillId="0" borderId="34" xfId="15" applyFont="1" applyFill="1" applyBorder="1" applyAlignment="1">
      <alignment horizontal="left" vertical="top" wrapText="1"/>
    </xf>
    <xf numFmtId="0" fontId="40" fillId="0" borderId="249" xfId="15" applyFont="1" applyFill="1" applyBorder="1" applyAlignment="1">
      <alignment horizontal="left" vertical="top" wrapText="1"/>
    </xf>
    <xf numFmtId="0" fontId="40" fillId="0" borderId="251" xfId="15" applyFont="1" applyFill="1" applyBorder="1" applyAlignment="1">
      <alignment horizontal="left" vertical="top" wrapText="1"/>
    </xf>
    <xf numFmtId="0" fontId="51" fillId="0" borderId="305" xfId="15" applyFont="1" applyBorder="1" applyAlignment="1">
      <alignment horizontal="left" vertical="top" wrapText="1"/>
    </xf>
    <xf numFmtId="165" fontId="41" fillId="0" borderId="256" xfId="15" applyNumberFormat="1" applyFont="1" applyFill="1" applyBorder="1" applyAlignment="1">
      <alignment horizontal="center" vertical="top" wrapText="1"/>
    </xf>
    <xf numFmtId="0" fontId="25" fillId="0" borderId="51" xfId="15" applyFont="1" applyFill="1" applyBorder="1" applyAlignment="1">
      <alignment horizontal="left" vertical="top" wrapText="1"/>
    </xf>
    <xf numFmtId="0" fontId="25" fillId="0" borderId="20" xfId="15" applyFont="1" applyFill="1" applyBorder="1" applyAlignment="1">
      <alignment horizontal="left" vertical="top" wrapText="1"/>
    </xf>
    <xf numFmtId="0" fontId="25" fillId="0" borderId="34" xfId="15" applyFont="1" applyFill="1" applyBorder="1" applyAlignment="1">
      <alignment horizontal="left" vertical="top" wrapText="1"/>
    </xf>
    <xf numFmtId="0" fontId="25" fillId="0" borderId="272" xfId="15" applyFont="1" applyFill="1" applyBorder="1" applyAlignment="1">
      <alignment horizontal="left" vertical="top" wrapText="1"/>
    </xf>
    <xf numFmtId="0" fontId="25" fillId="0" borderId="291" xfId="15" applyFont="1" applyFill="1" applyBorder="1" applyAlignment="1">
      <alignment horizontal="left" vertical="top" wrapText="1"/>
    </xf>
    <xf numFmtId="0" fontId="40" fillId="0" borderId="19" xfId="2" applyFont="1" applyFill="1" applyBorder="1" applyAlignment="1">
      <alignment horizontal="left" vertical="top" wrapText="1"/>
    </xf>
    <xf numFmtId="0" fontId="40" fillId="0" borderId="20" xfId="2" applyFont="1" applyFill="1" applyBorder="1" applyAlignment="1">
      <alignment horizontal="left" vertical="top" wrapText="1"/>
    </xf>
    <xf numFmtId="0" fontId="40" fillId="0" borderId="24" xfId="2" applyFont="1" applyFill="1" applyBorder="1" applyAlignment="1">
      <alignment horizontal="left" vertical="top" wrapText="1"/>
    </xf>
    <xf numFmtId="165" fontId="24" fillId="0" borderId="259" xfId="15" applyNumberFormat="1" applyFont="1" applyFill="1" applyBorder="1" applyAlignment="1">
      <alignment horizontal="center" vertical="top" wrapText="1"/>
    </xf>
    <xf numFmtId="165" fontId="24" fillId="0" borderId="298" xfId="15" applyNumberFormat="1" applyFont="1" applyFill="1" applyBorder="1" applyAlignment="1">
      <alignment horizontal="center" vertical="top" wrapText="1"/>
    </xf>
    <xf numFmtId="165" fontId="41" fillId="0" borderId="255" xfId="15" applyNumberFormat="1" applyFont="1" applyFill="1" applyBorder="1" applyAlignment="1">
      <alignment horizontal="left" vertical="center" wrapText="1"/>
    </xf>
    <xf numFmtId="165" fontId="41" fillId="0" borderId="289" xfId="15" applyNumberFormat="1" applyFont="1" applyFill="1" applyBorder="1" applyAlignment="1">
      <alignment horizontal="left" vertical="center" wrapText="1"/>
    </xf>
    <xf numFmtId="165" fontId="41" fillId="0" borderId="260" xfId="15" quotePrefix="1" applyNumberFormat="1" applyFont="1" applyFill="1" applyBorder="1" applyAlignment="1">
      <alignment horizontal="center" vertical="center" wrapText="1"/>
    </xf>
    <xf numFmtId="165" fontId="41" fillId="0" borderId="260" xfId="15" applyNumberFormat="1" applyFont="1" applyFill="1" applyBorder="1" applyAlignment="1">
      <alignment horizontal="center" vertical="center" wrapText="1"/>
    </xf>
    <xf numFmtId="0" fontId="40" fillId="0" borderId="0" xfId="15" applyFont="1" applyFill="1" applyBorder="1" applyAlignment="1">
      <alignment horizontal="left" vertical="top" wrapText="1"/>
    </xf>
    <xf numFmtId="0" fontId="41" fillId="0" borderId="0" xfId="15" applyFont="1" applyFill="1" applyBorder="1" applyAlignment="1">
      <alignment horizontal="left" vertical="top" wrapText="1"/>
    </xf>
    <xf numFmtId="0" fontId="41" fillId="0" borderId="23" xfId="15" applyFont="1" applyFill="1" applyBorder="1" applyAlignment="1">
      <alignment horizontal="left" vertical="top" wrapText="1"/>
    </xf>
    <xf numFmtId="0" fontId="41" fillId="0" borderId="250" xfId="15" applyFont="1" applyFill="1" applyBorder="1" applyAlignment="1">
      <alignment horizontal="left" vertical="top" wrapText="1"/>
    </xf>
    <xf numFmtId="0" fontId="41" fillId="0" borderId="177" xfId="15" applyFont="1" applyFill="1" applyBorder="1" applyAlignment="1">
      <alignment horizontal="left" vertical="top" wrapText="1"/>
    </xf>
    <xf numFmtId="165" fontId="41" fillId="0" borderId="306" xfId="180" applyNumberFormat="1" applyFont="1" applyFill="1" applyBorder="1" applyAlignment="1">
      <alignment horizontal="left" wrapText="1"/>
    </xf>
    <xf numFmtId="0" fontId="31" fillId="0" borderId="302" xfId="0" applyFont="1" applyBorder="1" applyAlignment="1"/>
    <xf numFmtId="0" fontId="41" fillId="0" borderId="184" xfId="0" applyFont="1" applyBorder="1" applyAlignment="1">
      <alignment horizontal="center" textRotation="90" wrapText="1"/>
    </xf>
    <xf numFmtId="0" fontId="41" fillId="0" borderId="323" xfId="0" applyFont="1" applyBorder="1" applyAlignment="1">
      <alignment horizontal="center" textRotation="90" wrapText="1"/>
    </xf>
    <xf numFmtId="165" fontId="41" fillId="0" borderId="249" xfId="180" applyNumberFormat="1" applyFont="1" applyFill="1" applyBorder="1" applyAlignment="1">
      <alignment horizontal="left" wrapText="1"/>
    </xf>
    <xf numFmtId="165" fontId="41" fillId="0" borderId="250" xfId="180" applyNumberFormat="1" applyFont="1" applyFill="1" applyBorder="1" applyAlignment="1">
      <alignment horizontal="left" wrapText="1"/>
    </xf>
    <xf numFmtId="0" fontId="41" fillId="0" borderId="306" xfId="0" applyFont="1" applyBorder="1" applyAlignment="1">
      <alignment vertical="top" wrapText="1"/>
    </xf>
    <xf numFmtId="0" fontId="40" fillId="0" borderId="249" xfId="15" applyFont="1" applyFill="1" applyBorder="1" applyAlignment="1">
      <alignment horizontal="center" vertical="top" wrapText="1"/>
    </xf>
    <xf numFmtId="0" fontId="40" fillId="0" borderId="250" xfId="15" applyFont="1" applyFill="1" applyBorder="1" applyAlignment="1">
      <alignment horizontal="center" vertical="top" wrapText="1"/>
    </xf>
    <xf numFmtId="0" fontId="40" fillId="0" borderId="251" xfId="15" applyFont="1" applyFill="1" applyBorder="1" applyAlignment="1">
      <alignment horizontal="center" vertical="top" wrapText="1"/>
    </xf>
    <xf numFmtId="0" fontId="41" fillId="0" borderId="331" xfId="15" applyNumberFormat="1" applyFont="1" applyFill="1" applyBorder="1" applyAlignment="1">
      <alignment horizontal="left" vertical="top" wrapText="1"/>
    </xf>
    <xf numFmtId="0" fontId="41" fillId="0" borderId="372" xfId="15" applyNumberFormat="1" applyFont="1" applyFill="1" applyBorder="1" applyAlignment="1">
      <alignment horizontal="left" vertical="top" wrapText="1"/>
    </xf>
    <xf numFmtId="0" fontId="41" fillId="0" borderId="0" xfId="15" applyNumberFormat="1" applyFont="1" applyFill="1" applyBorder="1" applyAlignment="1">
      <alignment horizontal="left" vertical="top" wrapText="1"/>
    </xf>
    <xf numFmtId="0" fontId="41" fillId="0" borderId="2" xfId="15" applyNumberFormat="1" applyFont="1" applyFill="1" applyBorder="1" applyAlignment="1">
      <alignment horizontal="left" vertical="top" wrapText="1"/>
    </xf>
    <xf numFmtId="0" fontId="41" fillId="0" borderId="362" xfId="15" applyNumberFormat="1" applyFont="1" applyFill="1" applyBorder="1" applyAlignment="1">
      <alignment horizontal="left" vertical="top" wrapText="1"/>
    </xf>
    <xf numFmtId="0" fontId="41" fillId="0" borderId="363" xfId="15" applyNumberFormat="1" applyFont="1" applyFill="1" applyBorder="1" applyAlignment="1">
      <alignment horizontal="left" vertical="top" wrapText="1"/>
    </xf>
    <xf numFmtId="165" fontId="41" fillId="0" borderId="331" xfId="15" applyNumberFormat="1" applyFont="1" applyFill="1" applyBorder="1" applyAlignment="1">
      <alignment horizontal="center" vertical="center" wrapText="1"/>
    </xf>
    <xf numFmtId="165" fontId="41" fillId="0" borderId="308" xfId="15" applyNumberFormat="1" applyFont="1" applyFill="1" applyBorder="1" applyAlignment="1">
      <alignment horizontal="center" vertical="center" wrapText="1"/>
    </xf>
    <xf numFmtId="165" fontId="41" fillId="0" borderId="0" xfId="15" applyNumberFormat="1" applyFont="1" applyFill="1" applyBorder="1" applyAlignment="1">
      <alignment horizontal="center" vertical="center" wrapText="1"/>
    </xf>
    <xf numFmtId="165" fontId="41" fillId="0" borderId="2" xfId="15" applyNumberFormat="1" applyFont="1" applyFill="1" applyBorder="1" applyAlignment="1">
      <alignment horizontal="center" vertical="center" wrapText="1"/>
    </xf>
    <xf numFmtId="165" fontId="41" fillId="0" borderId="362" xfId="15" applyNumberFormat="1" applyFont="1" applyFill="1" applyBorder="1" applyAlignment="1">
      <alignment horizontal="center" vertical="center" wrapText="1"/>
    </xf>
    <xf numFmtId="165" fontId="41" fillId="0" borderId="363" xfId="15" applyNumberFormat="1" applyFont="1" applyFill="1" applyBorder="1" applyAlignment="1">
      <alignment horizontal="center" vertical="center" wrapText="1"/>
    </xf>
    <xf numFmtId="0" fontId="40" fillId="0" borderId="294" xfId="15" applyFont="1" applyFill="1" applyBorder="1" applyAlignment="1">
      <alignment horizontal="left" vertical="top" wrapText="1"/>
    </xf>
    <xf numFmtId="0" fontId="40" fillId="0" borderId="327" xfId="15" applyFont="1" applyFill="1" applyBorder="1" applyAlignment="1">
      <alignment horizontal="left" vertical="top" wrapText="1"/>
    </xf>
    <xf numFmtId="0" fontId="25" fillId="0" borderId="1" xfId="180" applyFont="1" applyFill="1" applyBorder="1" applyAlignment="1">
      <alignment horizontal="center" vertical="top" wrapText="1"/>
    </xf>
    <xf numFmtId="0" fontId="25" fillId="0" borderId="0" xfId="180" applyFont="1" applyFill="1" applyBorder="1" applyAlignment="1">
      <alignment horizontal="center" vertical="top" wrapText="1"/>
    </xf>
    <xf numFmtId="0" fontId="25" fillId="0" borderId="2" xfId="180" applyFont="1" applyFill="1" applyBorder="1" applyAlignment="1">
      <alignment horizontal="center" vertical="top" wrapText="1"/>
    </xf>
    <xf numFmtId="0" fontId="40" fillId="0" borderId="260" xfId="15" applyFont="1" applyFill="1" applyBorder="1" applyAlignment="1">
      <alignment horizontal="left" vertical="top" wrapText="1"/>
    </xf>
    <xf numFmtId="165" fontId="24" fillId="0" borderId="36" xfId="15" applyNumberFormat="1" applyFont="1" applyFill="1" applyBorder="1" applyAlignment="1">
      <alignment horizontal="center"/>
    </xf>
    <xf numFmtId="165" fontId="24" fillId="0" borderId="30" xfId="15" applyNumberFormat="1" applyFont="1" applyFill="1" applyBorder="1" applyAlignment="1">
      <alignment horizontal="center"/>
    </xf>
    <xf numFmtId="165" fontId="24" fillId="0" borderId="35" xfId="15" applyNumberFormat="1" applyFont="1" applyFill="1" applyBorder="1" applyAlignment="1">
      <alignment horizontal="center"/>
    </xf>
    <xf numFmtId="165" fontId="24" fillId="0" borderId="10" xfId="15" applyNumberFormat="1" applyFont="1" applyFill="1" applyBorder="1" applyAlignment="1">
      <alignment horizontal="center"/>
    </xf>
    <xf numFmtId="165" fontId="24" fillId="0" borderId="8" xfId="15" applyNumberFormat="1" applyFont="1" applyFill="1" applyBorder="1" applyAlignment="1">
      <alignment horizontal="center"/>
    </xf>
    <xf numFmtId="165" fontId="24" fillId="0" borderId="9" xfId="15" applyNumberFormat="1" applyFont="1" applyFill="1" applyBorder="1" applyAlignment="1">
      <alignment horizontal="center"/>
    </xf>
    <xf numFmtId="165" fontId="24" fillId="0" borderId="239" xfId="15" applyNumberFormat="1" applyFont="1" applyFill="1" applyBorder="1" applyAlignment="1">
      <alignment horizontal="center"/>
    </xf>
    <xf numFmtId="165" fontId="24" fillId="0" borderId="242" xfId="15" applyNumberFormat="1" applyFont="1" applyFill="1" applyBorder="1" applyAlignment="1">
      <alignment horizontal="center"/>
    </xf>
    <xf numFmtId="165" fontId="24" fillId="0" borderId="240" xfId="15" applyNumberFormat="1" applyFont="1" applyFill="1" applyBorder="1" applyAlignment="1">
      <alignment horizontal="center"/>
    </xf>
    <xf numFmtId="0" fontId="40" fillId="0" borderId="294" xfId="15" applyFont="1" applyFill="1" applyBorder="1" applyAlignment="1">
      <alignment horizontal="center" vertical="top" wrapText="1"/>
    </xf>
    <xf numFmtId="0" fontId="40" fillId="0" borderId="340" xfId="15" applyFont="1" applyFill="1" applyBorder="1" applyAlignment="1">
      <alignment horizontal="center" vertical="top" wrapText="1"/>
    </xf>
    <xf numFmtId="0" fontId="40" fillId="0" borderId="292" xfId="15" applyFont="1" applyFill="1" applyBorder="1" applyAlignment="1">
      <alignment horizontal="center" vertical="top" wrapText="1"/>
    </xf>
    <xf numFmtId="0" fontId="40" fillId="0" borderId="291" xfId="15" applyFont="1" applyFill="1" applyBorder="1" applyAlignment="1">
      <alignment horizontal="center" vertical="top" wrapText="1"/>
    </xf>
    <xf numFmtId="0" fontId="24" fillId="0" borderId="249" xfId="15" applyFont="1" applyFill="1" applyBorder="1" applyAlignment="1">
      <alignment horizontal="right" vertical="center" wrapText="1"/>
    </xf>
    <xf numFmtId="0" fontId="24" fillId="0" borderId="250" xfId="15" applyFont="1" applyFill="1" applyBorder="1" applyAlignment="1">
      <alignment horizontal="right" vertical="center" wrapText="1"/>
    </xf>
    <xf numFmtId="0" fontId="41" fillId="0" borderId="342" xfId="0" applyFont="1" applyBorder="1" applyAlignment="1">
      <alignment horizontal="left" vertical="center" wrapText="1"/>
    </xf>
    <xf numFmtId="0" fontId="41" fillId="0" borderId="294" xfId="0" applyFont="1" applyBorder="1" applyAlignment="1">
      <alignment horizontal="left" vertical="center" wrapText="1"/>
    </xf>
    <xf numFmtId="165" fontId="41" fillId="0" borderId="340" xfId="15" applyNumberFormat="1" applyFont="1" applyFill="1" applyBorder="1" applyAlignment="1">
      <alignment horizontal="center" vertical="center" wrapText="1"/>
    </xf>
    <xf numFmtId="165" fontId="41" fillId="0" borderId="292" xfId="15" applyNumberFormat="1" applyFont="1" applyFill="1" applyBorder="1" applyAlignment="1">
      <alignment horizontal="center" vertical="center" wrapText="1"/>
    </xf>
    <xf numFmtId="165" fontId="24" fillId="0" borderId="5" xfId="15" applyNumberFormat="1" applyFont="1" applyFill="1" applyBorder="1" applyAlignment="1">
      <alignment horizontal="center"/>
    </xf>
    <xf numFmtId="165" fontId="24" fillId="0" borderId="6" xfId="15" applyNumberFormat="1" applyFont="1" applyFill="1" applyBorder="1" applyAlignment="1">
      <alignment horizontal="center"/>
    </xf>
    <xf numFmtId="165" fontId="24" fillId="0" borderId="7" xfId="15" applyNumberFormat="1" applyFont="1" applyFill="1" applyBorder="1" applyAlignment="1">
      <alignment horizontal="center"/>
    </xf>
    <xf numFmtId="165" fontId="24" fillId="0" borderId="40" xfId="15" applyNumberFormat="1" applyFont="1" applyFill="1" applyBorder="1" applyAlignment="1">
      <alignment horizontal="center"/>
    </xf>
    <xf numFmtId="165" fontId="24" fillId="0" borderId="38" xfId="15" applyNumberFormat="1" applyFont="1" applyFill="1" applyBorder="1" applyAlignment="1">
      <alignment horizontal="center"/>
    </xf>
    <xf numFmtId="165" fontId="24" fillId="0" borderId="39" xfId="15" applyNumberFormat="1" applyFont="1" applyFill="1" applyBorder="1" applyAlignment="1">
      <alignment horizontal="center"/>
    </xf>
    <xf numFmtId="165" fontId="24" fillId="0" borderId="16" xfId="15" applyNumberFormat="1" applyFont="1" applyFill="1" applyBorder="1" applyAlignment="1">
      <alignment horizontal="center"/>
    </xf>
    <xf numFmtId="165" fontId="24" fillId="0" borderId="17" xfId="15" applyNumberFormat="1" applyFont="1" applyFill="1" applyBorder="1" applyAlignment="1">
      <alignment horizontal="center"/>
    </xf>
    <xf numFmtId="165" fontId="24" fillId="0" borderId="18" xfId="15" applyNumberFormat="1" applyFont="1" applyFill="1" applyBorder="1" applyAlignment="1">
      <alignment horizontal="center"/>
    </xf>
    <xf numFmtId="165" fontId="24" fillId="0" borderId="120" xfId="15" applyNumberFormat="1" applyFont="1" applyFill="1" applyBorder="1" applyAlignment="1">
      <alignment horizontal="center"/>
    </xf>
    <xf numFmtId="165" fontId="24" fillId="0" borderId="122" xfId="15" applyNumberFormat="1" applyFont="1" applyFill="1" applyBorder="1" applyAlignment="1">
      <alignment horizontal="center"/>
    </xf>
    <xf numFmtId="165" fontId="24" fillId="0" borderId="121" xfId="15" applyNumberFormat="1" applyFont="1" applyFill="1" applyBorder="1" applyAlignment="1">
      <alignment horizontal="center"/>
    </xf>
    <xf numFmtId="0" fontId="28" fillId="0" borderId="421" xfId="180" applyFont="1" applyFill="1" applyBorder="1"/>
    <xf numFmtId="0" fontId="28" fillId="0" borderId="362" xfId="180" applyFont="1" applyFill="1" applyBorder="1"/>
    <xf numFmtId="0" fontId="25" fillId="6" borderId="68" xfId="181" applyFont="1" applyFill="1" applyBorder="1" applyAlignment="1">
      <alignment horizontal="center" vertical="center" textRotation="90" wrapText="1"/>
    </xf>
    <xf numFmtId="0" fontId="24" fillId="6" borderId="69" xfId="180" applyFont="1" applyFill="1" applyBorder="1" applyAlignment="1">
      <alignment horizontal="center" vertical="center" textRotation="90" wrapText="1"/>
    </xf>
    <xf numFmtId="0" fontId="24" fillId="6" borderId="69" xfId="181" applyFont="1" applyFill="1" applyBorder="1" applyAlignment="1">
      <alignment vertical="center" wrapText="1"/>
    </xf>
    <xf numFmtId="0" fontId="24" fillId="6" borderId="21" xfId="181" applyFont="1" applyFill="1" applyBorder="1" applyAlignment="1">
      <alignment vertical="center" wrapText="1"/>
    </xf>
    <xf numFmtId="0" fontId="24" fillId="6" borderId="22" xfId="181" applyFont="1" applyFill="1" applyBorder="1" applyAlignment="1">
      <alignment vertical="center" wrapText="1"/>
    </xf>
    <xf numFmtId="166" fontId="67" fillId="39" borderId="29" xfId="15" applyNumberFormat="1" applyFont="1" applyFill="1" applyBorder="1" applyAlignment="1">
      <alignment horizontal="center" vertical="center"/>
    </xf>
    <xf numFmtId="166" fontId="67" fillId="39" borderId="27" xfId="181" applyNumberFormat="1" applyFont="1" applyFill="1" applyBorder="1" applyAlignment="1">
      <alignment horizontal="center" vertical="center"/>
    </xf>
    <xf numFmtId="166" fontId="67" fillId="39" borderId="28" xfId="181" applyNumberFormat="1" applyFont="1" applyFill="1" applyBorder="1" applyAlignment="1">
      <alignment horizontal="center" vertical="center"/>
    </xf>
    <xf numFmtId="166" fontId="67" fillId="39" borderId="29" xfId="181" applyNumberFormat="1" applyFont="1" applyFill="1" applyBorder="1" applyAlignment="1">
      <alignment horizontal="center" vertical="center"/>
    </xf>
    <xf numFmtId="0" fontId="40" fillId="6" borderId="19" xfId="180" applyFont="1" applyFill="1" applyBorder="1" applyAlignment="1">
      <alignment horizontal="left" vertical="top" wrapText="1"/>
    </xf>
    <xf numFmtId="0" fontId="40" fillId="6" borderId="24" xfId="180" applyFont="1" applyFill="1" applyBorder="1" applyAlignment="1">
      <alignment horizontal="left" vertical="top" wrapText="1"/>
    </xf>
    <xf numFmtId="0" fontId="25" fillId="6" borderId="50" xfId="180" applyFont="1" applyFill="1" applyBorder="1" applyAlignment="1">
      <alignment horizontal="left" vertical="top" wrapText="1"/>
    </xf>
    <xf numFmtId="0" fontId="25" fillId="6" borderId="15" xfId="180" applyFont="1" applyFill="1" applyBorder="1" applyAlignment="1">
      <alignment horizontal="left" vertical="top" wrapText="1"/>
    </xf>
    <xf numFmtId="0" fontId="25" fillId="6" borderId="23" xfId="180" applyFont="1" applyFill="1" applyBorder="1" applyAlignment="1">
      <alignment horizontal="left" vertical="top" wrapText="1"/>
    </xf>
    <xf numFmtId="0" fontId="20" fillId="6" borderId="0" xfId="180" applyFont="1" applyFill="1" applyBorder="1" applyAlignment="1">
      <alignment wrapText="1"/>
    </xf>
    <xf numFmtId="0" fontId="20" fillId="6" borderId="23" xfId="180" applyFont="1" applyFill="1" applyBorder="1" applyAlignment="1">
      <alignment wrapText="1"/>
    </xf>
    <xf numFmtId="0" fontId="39" fillId="6" borderId="21" xfId="180" applyFont="1" applyFill="1" applyBorder="1" applyAlignment="1">
      <alignment horizontal="left" vertical="center" wrapText="1"/>
    </xf>
    <xf numFmtId="0" fontId="39" fillId="6" borderId="0" xfId="180" applyFont="1" applyFill="1" applyBorder="1" applyAlignment="1">
      <alignment horizontal="left" vertical="center" wrapText="1"/>
    </xf>
    <xf numFmtId="49" fontId="41" fillId="0" borderId="331" xfId="0" applyNumberFormat="1" applyFont="1" applyBorder="1" applyAlignment="1">
      <alignment horizontal="left" wrapText="1" shrinkToFit="1"/>
    </xf>
    <xf numFmtId="49" fontId="41" fillId="0" borderId="332" xfId="0" applyNumberFormat="1" applyFont="1" applyBorder="1" applyAlignment="1">
      <alignment horizontal="left" wrapText="1" shrinkToFit="1"/>
    </xf>
    <xf numFmtId="0" fontId="70" fillId="6" borderId="69" xfId="181" applyFont="1" applyFill="1" applyBorder="1" applyAlignment="1">
      <alignment horizontal="center" vertical="center" wrapText="1"/>
    </xf>
    <xf numFmtId="0" fontId="70" fillId="6" borderId="69" xfId="180" applyFont="1" applyFill="1" applyBorder="1" applyAlignment="1">
      <alignment horizontal="center" vertical="center"/>
    </xf>
    <xf numFmtId="0" fontId="70" fillId="6" borderId="72" xfId="180" applyFont="1" applyFill="1" applyBorder="1" applyAlignment="1">
      <alignment horizontal="center" vertical="center"/>
    </xf>
    <xf numFmtId="0" fontId="25" fillId="6" borderId="0" xfId="181" applyFont="1" applyFill="1" applyBorder="1" applyAlignment="1">
      <alignment horizontal="center" vertical="center" wrapText="1"/>
    </xf>
    <xf numFmtId="0" fontId="25" fillId="6" borderId="23" xfId="181" applyFont="1" applyFill="1" applyBorder="1" applyAlignment="1">
      <alignment horizontal="center" vertical="center" wrapText="1"/>
    </xf>
    <xf numFmtId="0" fontId="39" fillId="6" borderId="21" xfId="180" applyFont="1" applyFill="1" applyBorder="1" applyAlignment="1">
      <alignment horizontal="left" vertical="top" wrapText="1"/>
    </xf>
    <xf numFmtId="0" fontId="39" fillId="6" borderId="0" xfId="180" applyFont="1" applyFill="1" applyBorder="1" applyAlignment="1">
      <alignment horizontal="left" vertical="top" wrapText="1"/>
    </xf>
    <xf numFmtId="0" fontId="44" fillId="0" borderId="1" xfId="181" applyFont="1" applyFill="1" applyBorder="1" applyAlignment="1">
      <alignment horizontal="center" vertical="center"/>
    </xf>
    <xf numFmtId="0" fontId="44" fillId="0" borderId="0" xfId="181" applyFont="1" applyFill="1" applyBorder="1" applyAlignment="1">
      <alignment horizontal="center" vertical="center"/>
    </xf>
    <xf numFmtId="0" fontId="44" fillId="0" borderId="23" xfId="181" applyFont="1" applyFill="1" applyBorder="1" applyAlignment="1">
      <alignment horizontal="center" vertical="center"/>
    </xf>
    <xf numFmtId="0" fontId="71" fillId="0" borderId="267" xfId="180" applyFont="1" applyFill="1" applyBorder="1" applyAlignment="1">
      <alignment horizontal="left" vertical="top" wrapText="1"/>
    </xf>
    <xf numFmtId="0" fontId="71" fillId="0" borderId="254" xfId="180" applyFont="1" applyFill="1" applyBorder="1" applyAlignment="1">
      <alignment horizontal="left" vertical="top" wrapText="1"/>
    </xf>
    <xf numFmtId="0" fontId="71" fillId="0" borderId="76" xfId="180" applyFont="1" applyFill="1" applyBorder="1" applyAlignment="1">
      <alignment horizontal="left" vertical="top" wrapText="1"/>
    </xf>
    <xf numFmtId="0" fontId="71" fillId="0" borderId="6" xfId="180" applyFont="1" applyFill="1" applyBorder="1" applyAlignment="1">
      <alignment horizontal="left" vertical="top" wrapText="1"/>
    </xf>
    <xf numFmtId="0" fontId="41" fillId="0" borderId="331" xfId="0" applyFont="1" applyBorder="1" applyAlignment="1">
      <alignment horizontal="left" vertical="top" wrapText="1"/>
    </xf>
    <xf numFmtId="0" fontId="41" fillId="0" borderId="332" xfId="0" applyFont="1" applyBorder="1" applyAlignment="1">
      <alignment horizontal="left" vertical="top" wrapText="1"/>
    </xf>
    <xf numFmtId="49" fontId="24" fillId="6" borderId="12" xfId="2" applyNumberFormat="1" applyFont="1" applyFill="1" applyBorder="1" applyAlignment="1">
      <alignment horizontal="center" textRotation="90"/>
    </xf>
    <xf numFmtId="49" fontId="24" fillId="6" borderId="15" xfId="2" applyNumberFormat="1" applyFont="1" applyFill="1" applyBorder="1" applyAlignment="1">
      <alignment horizontal="center" textRotation="90"/>
    </xf>
    <xf numFmtId="49" fontId="24" fillId="6" borderId="56" xfId="2" applyNumberFormat="1" applyFont="1" applyFill="1" applyBorder="1" applyAlignment="1">
      <alignment horizontal="center" textRotation="90"/>
    </xf>
    <xf numFmtId="49" fontId="24" fillId="6" borderId="63" xfId="2" applyNumberFormat="1" applyFont="1" applyFill="1" applyBorder="1" applyAlignment="1">
      <alignment horizontal="center" textRotation="90"/>
    </xf>
    <xf numFmtId="49" fontId="24" fillId="6" borderId="77" xfId="2" applyNumberFormat="1" applyFont="1" applyFill="1" applyBorder="1" applyAlignment="1">
      <alignment horizontal="center" textRotation="90"/>
    </xf>
    <xf numFmtId="49" fontId="24" fillId="6" borderId="199" xfId="2" applyNumberFormat="1" applyFont="1" applyFill="1" applyBorder="1" applyAlignment="1">
      <alignment horizontal="center" textRotation="90"/>
    </xf>
    <xf numFmtId="0" fontId="39" fillId="6" borderId="239" xfId="181" applyFont="1" applyFill="1" applyBorder="1" applyAlignment="1">
      <alignment horizontal="center" vertical="center" wrapText="1"/>
    </xf>
    <xf numFmtId="0" fontId="39" fillId="6" borderId="242" xfId="181" applyFont="1" applyFill="1" applyBorder="1" applyAlignment="1">
      <alignment horizontal="center" vertical="center" wrapText="1"/>
    </xf>
    <xf numFmtId="0" fontId="39" fillId="6" borderId="109" xfId="181" applyFont="1" applyFill="1" applyBorder="1" applyAlignment="1">
      <alignment horizontal="center" vertical="center" wrapText="1"/>
    </xf>
    <xf numFmtId="0" fontId="39" fillId="6" borderId="97" xfId="181" applyFont="1" applyFill="1" applyBorder="1" applyAlignment="1">
      <alignment horizontal="center" vertical="center" wrapText="1"/>
    </xf>
    <xf numFmtId="0" fontId="41" fillId="0" borderId="97" xfId="0" applyFont="1" applyBorder="1" applyAlignment="1">
      <alignment horizontal="left" vertical="top" wrapText="1"/>
    </xf>
    <xf numFmtId="0" fontId="24" fillId="0" borderId="326" xfId="0" applyFont="1" applyBorder="1" applyAlignment="1">
      <alignment horizontal="center" vertical="top" wrapText="1"/>
    </xf>
    <xf numFmtId="0" fontId="24" fillId="0" borderId="110" xfId="0" applyFont="1" applyBorder="1" applyAlignment="1">
      <alignment horizontal="center" vertical="top" wrapText="1"/>
    </xf>
    <xf numFmtId="0" fontId="71" fillId="6" borderId="43" xfId="181" applyFont="1" applyFill="1" applyBorder="1" applyAlignment="1">
      <alignment horizontal="center" vertical="center" wrapText="1"/>
    </xf>
    <xf numFmtId="0" fontId="71" fillId="6" borderId="38" xfId="181" applyFont="1" applyFill="1" applyBorder="1" applyAlignment="1">
      <alignment horizontal="center" vertical="center" wrapText="1"/>
    </xf>
    <xf numFmtId="0" fontId="24" fillId="0" borderId="327" xfId="0" applyFont="1" applyBorder="1" applyAlignment="1">
      <alignment horizontal="center" vertical="top" wrapText="1"/>
    </xf>
    <xf numFmtId="49" fontId="25" fillId="0" borderId="69" xfId="181" quotePrefix="1" applyNumberFormat="1" applyFont="1" applyFill="1" applyBorder="1" applyAlignment="1">
      <alignment horizontal="center" vertical="center"/>
    </xf>
    <xf numFmtId="49" fontId="25" fillId="0" borderId="69" xfId="181" applyNumberFormat="1" applyFont="1" applyFill="1" applyBorder="1" applyAlignment="1">
      <alignment horizontal="center" vertical="center"/>
    </xf>
    <xf numFmtId="49" fontId="25" fillId="0" borderId="72" xfId="181" applyNumberFormat="1" applyFont="1" applyFill="1" applyBorder="1" applyAlignment="1">
      <alignment horizontal="center" vertical="center"/>
    </xf>
    <xf numFmtId="0" fontId="24" fillId="0" borderId="26" xfId="181" applyFont="1" applyFill="1" applyBorder="1" applyAlignment="1">
      <alignment horizontal="center" wrapText="1"/>
    </xf>
    <xf numFmtId="0" fontId="24" fillId="0" borderId="6" xfId="181" applyFont="1" applyFill="1" applyBorder="1" applyAlignment="1">
      <alignment horizontal="center" wrapText="1"/>
    </xf>
    <xf numFmtId="0" fontId="24" fillId="22" borderId="5" xfId="181" applyFont="1" applyFill="1" applyBorder="1" applyAlignment="1">
      <alignment horizontal="center" wrapText="1"/>
    </xf>
    <xf numFmtId="0" fontId="24" fillId="22" borderId="6" xfId="181" applyFont="1" applyFill="1" applyBorder="1" applyAlignment="1">
      <alignment horizontal="center" wrapText="1"/>
    </xf>
    <xf numFmtId="0" fontId="24" fillId="0" borderId="42" xfId="181" applyFont="1" applyFill="1" applyBorder="1" applyAlignment="1">
      <alignment horizontal="center" wrapText="1"/>
    </xf>
    <xf numFmtId="0" fontId="24" fillId="0" borderId="8" xfId="181" applyFont="1" applyFill="1" applyBorder="1" applyAlignment="1">
      <alignment horizontal="center" wrapText="1"/>
    </xf>
    <xf numFmtId="0" fontId="24" fillId="22" borderId="10" xfId="181" applyFont="1" applyFill="1" applyBorder="1" applyAlignment="1">
      <alignment horizontal="center" wrapText="1"/>
    </xf>
    <xf numFmtId="0" fontId="24" fillId="22" borderId="8" xfId="181" applyFont="1" applyFill="1" applyBorder="1" applyAlignment="1">
      <alignment horizontal="center" wrapText="1"/>
    </xf>
    <xf numFmtId="0" fontId="24" fillId="0" borderId="43" xfId="181" applyFont="1" applyFill="1" applyBorder="1" applyAlignment="1">
      <alignment horizontal="center" wrapText="1"/>
    </xf>
    <xf numFmtId="0" fontId="24" fillId="0" borderId="38" xfId="181" applyFont="1" applyFill="1" applyBorder="1" applyAlignment="1">
      <alignment horizontal="center" wrapText="1"/>
    </xf>
    <xf numFmtId="0" fontId="24" fillId="22" borderId="40" xfId="181" applyFont="1" applyFill="1" applyBorder="1" applyAlignment="1">
      <alignment horizontal="center" wrapText="1"/>
    </xf>
    <xf numFmtId="0" fontId="24" fillId="22" borderId="38" xfId="181" applyFont="1" applyFill="1" applyBorder="1" applyAlignment="1">
      <alignment horizontal="center" wrapText="1"/>
    </xf>
    <xf numFmtId="0" fontId="24" fillId="22" borderId="36" xfId="181" applyFont="1" applyFill="1" applyBorder="1" applyAlignment="1">
      <alignment horizontal="center" wrapText="1"/>
    </xf>
    <xf numFmtId="0" fontId="24" fillId="22" borderId="30" xfId="181" applyFont="1" applyFill="1" applyBorder="1" applyAlignment="1">
      <alignment horizontal="center" wrapText="1"/>
    </xf>
    <xf numFmtId="0" fontId="24" fillId="0" borderId="10" xfId="181" applyFont="1" applyFill="1" applyBorder="1" applyAlignment="1">
      <alignment horizontal="center" wrapText="1"/>
    </xf>
    <xf numFmtId="49" fontId="25" fillId="0" borderId="68" xfId="181" quotePrefix="1" applyNumberFormat="1" applyFont="1" applyFill="1" applyBorder="1" applyAlignment="1">
      <alignment horizontal="center" vertical="center"/>
    </xf>
    <xf numFmtId="0" fontId="24" fillId="0" borderId="5" xfId="181" applyFont="1" applyFill="1" applyBorder="1" applyAlignment="1">
      <alignment horizontal="center" wrapText="1"/>
    </xf>
    <xf numFmtId="0" fontId="24" fillId="0" borderId="40" xfId="181" applyFont="1" applyFill="1" applyBorder="1" applyAlignment="1">
      <alignment horizontal="center" wrapText="1"/>
    </xf>
    <xf numFmtId="0" fontId="30" fillId="6" borderId="19" xfId="180" applyFont="1" applyFill="1" applyBorder="1" applyAlignment="1">
      <alignment horizontal="center" vertical="top" wrapText="1"/>
    </xf>
    <xf numFmtId="0" fontId="30" fillId="6" borderId="20" xfId="180" applyFont="1" applyFill="1" applyBorder="1" applyAlignment="1">
      <alignment horizontal="center" vertical="top" wrapText="1"/>
    </xf>
    <xf numFmtId="0" fontId="30" fillId="6" borderId="24" xfId="180" applyFont="1" applyFill="1" applyBorder="1" applyAlignment="1">
      <alignment horizontal="center" vertical="top" wrapText="1"/>
    </xf>
    <xf numFmtId="0" fontId="24" fillId="0" borderId="31" xfId="181" applyFont="1" applyFill="1" applyBorder="1" applyAlignment="1">
      <alignment horizontal="center" wrapText="1"/>
    </xf>
    <xf numFmtId="0" fontId="24" fillId="0" borderId="30" xfId="181" applyFont="1" applyFill="1" applyBorder="1" applyAlignment="1">
      <alignment horizontal="center" wrapText="1"/>
    </xf>
    <xf numFmtId="0" fontId="24" fillId="0" borderId="36" xfId="181" applyFont="1" applyFill="1" applyBorder="1" applyAlignment="1">
      <alignment horizontal="center" wrapText="1"/>
    </xf>
    <xf numFmtId="0" fontId="24" fillId="0" borderId="10" xfId="181" applyFont="1" applyFill="1" applyBorder="1" applyAlignment="1">
      <alignment horizontal="center" vertical="center"/>
    </xf>
    <xf numFmtId="0" fontId="24" fillId="0" borderId="37" xfId="181" applyFont="1" applyFill="1" applyBorder="1" applyAlignment="1">
      <alignment horizontal="center" vertical="center"/>
    </xf>
    <xf numFmtId="0" fontId="24" fillId="0" borderId="40" xfId="181" applyFont="1" applyFill="1" applyBorder="1" applyAlignment="1">
      <alignment horizontal="center" vertical="center"/>
    </xf>
    <xf numFmtId="0" fontId="24" fillId="0" borderId="41" xfId="181" applyFont="1" applyFill="1" applyBorder="1" applyAlignment="1">
      <alignment horizontal="center" vertical="center"/>
    </xf>
    <xf numFmtId="0" fontId="25" fillId="6" borderId="0" xfId="181" applyFont="1" applyFill="1" applyBorder="1" applyAlignment="1">
      <alignment horizontal="center" vertical="center"/>
    </xf>
    <xf numFmtId="0" fontId="25" fillId="6" borderId="23" xfId="181" applyFont="1" applyFill="1" applyBorder="1" applyAlignment="1">
      <alignment horizontal="center" vertical="center"/>
    </xf>
    <xf numFmtId="0" fontId="24" fillId="0" borderId="36" xfId="181" applyFont="1" applyFill="1" applyBorder="1" applyAlignment="1">
      <alignment horizontal="center" vertical="center"/>
    </xf>
    <xf numFmtId="0" fontId="24" fillId="0" borderId="32" xfId="181" applyFont="1" applyFill="1" applyBorder="1" applyAlignment="1">
      <alignment horizontal="center" vertical="center"/>
    </xf>
    <xf numFmtId="0" fontId="25" fillId="0" borderId="326" xfId="0" applyFont="1" applyBorder="1" applyAlignment="1">
      <alignment horizontal="center" vertical="center" wrapText="1"/>
    </xf>
    <xf numFmtId="0" fontId="25" fillId="0" borderId="23" xfId="0" applyFont="1" applyBorder="1" applyAlignment="1">
      <alignment horizontal="center" vertical="center" wrapText="1"/>
    </xf>
    <xf numFmtId="0" fontId="25" fillId="0" borderId="327" xfId="0" applyFont="1" applyBorder="1" applyAlignment="1">
      <alignment horizontal="center" vertical="center" wrapText="1"/>
    </xf>
    <xf numFmtId="49" fontId="25" fillId="6" borderId="334" xfId="2" applyNumberFormat="1" applyFont="1" applyFill="1" applyBorder="1" applyAlignment="1">
      <alignment horizontal="left" vertical="top" wrapText="1"/>
    </xf>
    <xf numFmtId="49" fontId="25" fillId="6" borderId="335" xfId="2" applyNumberFormat="1" applyFont="1" applyFill="1" applyBorder="1" applyAlignment="1">
      <alignment horizontal="left" vertical="top" wrapText="1"/>
    </xf>
    <xf numFmtId="0" fontId="24" fillId="0" borderId="329" xfId="0" applyFont="1" applyBorder="1" applyAlignment="1">
      <alignment horizontal="center" vertical="center" wrapText="1"/>
    </xf>
    <xf numFmtId="0" fontId="24" fillId="0" borderId="21" xfId="0" applyFont="1" applyBorder="1" applyAlignment="1">
      <alignment horizontal="center" vertical="center" wrapText="1"/>
    </xf>
    <xf numFmtId="0" fontId="24" fillId="0" borderId="330" xfId="0" applyFont="1" applyBorder="1" applyAlignment="1">
      <alignment horizontal="center" vertical="center" wrapText="1"/>
    </xf>
    <xf numFmtId="49" fontId="40" fillId="6" borderId="334" xfId="2" applyNumberFormat="1" applyFont="1" applyFill="1" applyBorder="1" applyAlignment="1">
      <alignment horizontal="left" vertical="top" wrapText="1"/>
    </xf>
    <xf numFmtId="49" fontId="40" fillId="6" borderId="335" xfId="2" applyNumberFormat="1" applyFont="1" applyFill="1" applyBorder="1" applyAlignment="1">
      <alignment horizontal="left" vertical="top" wrapText="1"/>
    </xf>
    <xf numFmtId="49" fontId="24" fillId="6" borderId="240" xfId="2" applyNumberFormat="1" applyFont="1" applyFill="1" applyBorder="1" applyAlignment="1">
      <alignment horizontal="center" textRotation="90"/>
    </xf>
    <xf numFmtId="49" fontId="24" fillId="6" borderId="2" xfId="2" applyNumberFormat="1" applyFont="1" applyFill="1" applyBorder="1" applyAlignment="1">
      <alignment horizontal="center" textRotation="90"/>
    </xf>
    <xf numFmtId="49" fontId="24" fillId="6" borderId="108" xfId="2" applyNumberFormat="1" applyFont="1" applyFill="1" applyBorder="1" applyAlignment="1">
      <alignment horizontal="center" textRotation="90"/>
    </xf>
    <xf numFmtId="0" fontId="30" fillId="6" borderId="15" xfId="180" applyFont="1" applyFill="1" applyBorder="1" applyAlignment="1">
      <alignment horizontal="center" textRotation="90"/>
    </xf>
    <xf numFmtId="0" fontId="30" fillId="6" borderId="56" xfId="180" applyFont="1" applyFill="1" applyBorder="1" applyAlignment="1">
      <alignment horizontal="center" textRotation="90"/>
    </xf>
    <xf numFmtId="0" fontId="24" fillId="6" borderId="19" xfId="180" applyFont="1" applyFill="1" applyBorder="1" applyAlignment="1">
      <alignment horizontal="left" vertical="top" wrapText="1"/>
    </xf>
    <xf numFmtId="0" fontId="24" fillId="6" borderId="24" xfId="180" applyFont="1" applyFill="1" applyBorder="1" applyAlignment="1">
      <alignment horizontal="left" vertical="top" wrapText="1"/>
    </xf>
    <xf numFmtId="0" fontId="24" fillId="6" borderId="21" xfId="180" applyFont="1" applyFill="1" applyBorder="1" applyAlignment="1">
      <alignment horizontal="left" vertical="top" wrapText="1"/>
    </xf>
    <xf numFmtId="0" fontId="24" fillId="6" borderId="23" xfId="180" applyFont="1" applyFill="1" applyBorder="1" applyAlignment="1">
      <alignment horizontal="left" vertical="top" wrapText="1"/>
    </xf>
    <xf numFmtId="0" fontId="24" fillId="0" borderId="326" xfId="0" applyFont="1" applyBorder="1" applyAlignment="1">
      <alignment horizontal="center" vertical="center" wrapText="1"/>
    </xf>
    <xf numFmtId="0" fontId="24" fillId="0" borderId="23" xfId="0" applyFont="1" applyBorder="1" applyAlignment="1">
      <alignment horizontal="center" vertical="center" wrapText="1"/>
    </xf>
    <xf numFmtId="0" fontId="24" fillId="0" borderId="22" xfId="0" applyFont="1" applyBorder="1" applyAlignment="1">
      <alignment horizontal="center" vertical="center" wrapText="1"/>
    </xf>
    <xf numFmtId="0" fontId="24" fillId="0" borderId="341" xfId="0" applyFont="1" applyBorder="1" applyAlignment="1">
      <alignment horizontal="center" vertical="center" wrapText="1"/>
    </xf>
    <xf numFmtId="0" fontId="25" fillId="6" borderId="19" xfId="180" applyFont="1" applyFill="1" applyBorder="1" applyAlignment="1">
      <alignment horizontal="left" vertical="top" wrapText="1"/>
    </xf>
    <xf numFmtId="0" fontId="25" fillId="6" borderId="24" xfId="180" applyFont="1" applyFill="1" applyBorder="1" applyAlignment="1">
      <alignment horizontal="left" vertical="top" wrapText="1"/>
    </xf>
    <xf numFmtId="0" fontId="25" fillId="6" borderId="21" xfId="180" applyFont="1" applyFill="1" applyBorder="1" applyAlignment="1">
      <alignment horizontal="left" vertical="top" wrapText="1"/>
    </xf>
    <xf numFmtId="0" fontId="24" fillId="0" borderId="326" xfId="0" applyFont="1" applyBorder="1" applyAlignment="1">
      <alignment horizontal="center" wrapText="1"/>
    </xf>
    <xf numFmtId="0" fontId="24" fillId="0" borderId="327" xfId="0" applyFont="1" applyBorder="1" applyAlignment="1">
      <alignment horizontal="center" wrapText="1"/>
    </xf>
    <xf numFmtId="0" fontId="24" fillId="0" borderId="326" xfId="0" applyFont="1" applyBorder="1" applyAlignment="1">
      <alignment horizontal="left" wrapText="1"/>
    </xf>
    <xf numFmtId="0" fontId="24" fillId="0" borderId="327" xfId="0" applyFont="1" applyBorder="1" applyAlignment="1">
      <alignment horizontal="left" wrapText="1"/>
    </xf>
    <xf numFmtId="0" fontId="24" fillId="6" borderId="34" xfId="180" applyFont="1" applyFill="1" applyBorder="1" applyAlignment="1">
      <alignment horizontal="left" vertical="top" wrapText="1"/>
    </xf>
    <xf numFmtId="0" fontId="24" fillId="6" borderId="2" xfId="180" applyFont="1" applyFill="1" applyBorder="1" applyAlignment="1">
      <alignment horizontal="left" vertical="top" wrapText="1"/>
    </xf>
    <xf numFmtId="0" fontId="24" fillId="6" borderId="50" xfId="180" applyFont="1" applyFill="1" applyBorder="1" applyAlignment="1">
      <alignment horizontal="left" vertical="top" wrapText="1"/>
    </xf>
    <xf numFmtId="0" fontId="24" fillId="6" borderId="15" xfId="180" applyFont="1" applyFill="1" applyBorder="1" applyAlignment="1">
      <alignment horizontal="left" vertical="top" wrapText="1"/>
    </xf>
    <xf numFmtId="0" fontId="24" fillId="6" borderId="0" xfId="180" applyFont="1" applyFill="1" applyBorder="1" applyAlignment="1">
      <alignment horizontal="left" vertical="top" wrapText="1"/>
    </xf>
    <xf numFmtId="0" fontId="17" fillId="6" borderId="0" xfId="180" applyFill="1" applyBorder="1" applyAlignment="1">
      <alignment wrapText="1"/>
    </xf>
    <xf numFmtId="0" fontId="17" fillId="6" borderId="23" xfId="180" applyFill="1" applyBorder="1" applyAlignment="1">
      <alignment wrapText="1"/>
    </xf>
    <xf numFmtId="0" fontId="39" fillId="6" borderId="21" xfId="181" applyFont="1" applyFill="1" applyBorder="1" applyAlignment="1">
      <alignment horizontal="left" vertical="top" wrapText="1"/>
    </xf>
    <xf numFmtId="0" fontId="39" fillId="6" borderId="0" xfId="181" applyFont="1" applyFill="1" applyBorder="1" applyAlignment="1">
      <alignment horizontal="left" vertical="top" wrapText="1"/>
    </xf>
    <xf numFmtId="0" fontId="41" fillId="0" borderId="331" xfId="0" applyFont="1" applyBorder="1" applyAlignment="1">
      <alignment horizontal="left" wrapText="1"/>
    </xf>
    <xf numFmtId="0" fontId="41" fillId="0" borderId="332" xfId="0" applyFont="1" applyBorder="1" applyAlignment="1">
      <alignment horizontal="left" wrapText="1"/>
    </xf>
    <xf numFmtId="0" fontId="71" fillId="6" borderId="267" xfId="180" applyFont="1" applyFill="1" applyBorder="1" applyAlignment="1">
      <alignment horizontal="center" vertical="center" wrapText="1"/>
    </xf>
    <xf numFmtId="0" fontId="71" fillId="6" borderId="254" xfId="180" applyFont="1" applyFill="1" applyBorder="1" applyAlignment="1">
      <alignment horizontal="center" vertical="center" wrapText="1"/>
    </xf>
    <xf numFmtId="0" fontId="71" fillId="6" borderId="76" xfId="180" applyFont="1" applyFill="1" applyBorder="1" applyAlignment="1">
      <alignment horizontal="center" vertical="center" wrapText="1"/>
    </xf>
    <xf numFmtId="0" fontId="71" fillId="6" borderId="6" xfId="180" applyFont="1" applyFill="1" applyBorder="1" applyAlignment="1">
      <alignment horizontal="center" vertical="center" wrapText="1"/>
    </xf>
    <xf numFmtId="0" fontId="25" fillId="6" borderId="70" xfId="180" applyFont="1" applyFill="1" applyBorder="1" applyAlignment="1">
      <alignment horizontal="center" vertical="top" wrapText="1"/>
    </xf>
    <xf numFmtId="0" fontId="25" fillId="6" borderId="53" xfId="180" applyFont="1" applyFill="1" applyBorder="1" applyAlignment="1">
      <alignment horizontal="center" vertical="top" wrapText="1"/>
    </xf>
    <xf numFmtId="0" fontId="24" fillId="0" borderId="21" xfId="180" applyFont="1" applyFill="1" applyBorder="1" applyAlignment="1">
      <alignment horizontal="center" vertical="top" wrapText="1"/>
    </xf>
    <xf numFmtId="0" fontId="25" fillId="22" borderId="19" xfId="180" applyFont="1" applyFill="1" applyBorder="1" applyAlignment="1">
      <alignment horizontal="center" vertical="top" wrapText="1"/>
    </xf>
    <xf numFmtId="0" fontId="25" fillId="22" borderId="24" xfId="180" applyFont="1" applyFill="1" applyBorder="1" applyAlignment="1">
      <alignment horizontal="center" vertical="top" wrapText="1"/>
    </xf>
    <xf numFmtId="0" fontId="25" fillId="22" borderId="21" xfId="180" applyFont="1" applyFill="1" applyBorder="1" applyAlignment="1">
      <alignment horizontal="center" vertical="top" wrapText="1"/>
    </xf>
    <xf numFmtId="0" fontId="25" fillId="22" borderId="23" xfId="180" applyFont="1" applyFill="1" applyBorder="1" applyAlignment="1">
      <alignment horizontal="center" vertical="top" wrapText="1"/>
    </xf>
    <xf numFmtId="0" fontId="25" fillId="22" borderId="22" xfId="180" applyFont="1" applyFill="1" applyBorder="1" applyAlignment="1">
      <alignment horizontal="center" vertical="top" wrapText="1"/>
    </xf>
    <xf numFmtId="0" fontId="25" fillId="22" borderId="110" xfId="180" applyFont="1" applyFill="1" applyBorder="1" applyAlignment="1">
      <alignment horizontal="center" vertical="top" wrapText="1"/>
    </xf>
    <xf numFmtId="0" fontId="41" fillId="0" borderId="294" xfId="180" applyFont="1" applyFill="1" applyBorder="1" applyAlignment="1">
      <alignment horizontal="center" vertical="top" wrapText="1"/>
    </xf>
    <xf numFmtId="0" fontId="41" fillId="0" borderId="292" xfId="180" applyFont="1" applyFill="1" applyBorder="1" applyAlignment="1">
      <alignment horizontal="center" vertical="top" wrapText="1"/>
    </xf>
    <xf numFmtId="0" fontId="49" fillId="0" borderId="19" xfId="180" applyFont="1" applyFill="1" applyBorder="1" applyAlignment="1">
      <alignment horizontal="center" vertical="center" textRotation="90"/>
    </xf>
    <xf numFmtId="0" fontId="49" fillId="0" borderId="53" xfId="180" applyFont="1" applyFill="1" applyBorder="1" applyAlignment="1">
      <alignment horizontal="center" vertical="center" textRotation="90"/>
    </xf>
    <xf numFmtId="0" fontId="49" fillId="0" borderId="21" xfId="180" applyFont="1" applyFill="1" applyBorder="1" applyAlignment="1">
      <alignment horizontal="center" vertical="center" textRotation="90"/>
    </xf>
    <xf numFmtId="0" fontId="49" fillId="0" borderId="64" xfId="180" applyFont="1" applyFill="1" applyBorder="1" applyAlignment="1">
      <alignment horizontal="center" vertical="center" textRotation="90"/>
    </xf>
    <xf numFmtId="166" fontId="67" fillId="39" borderId="27" xfId="180" applyNumberFormat="1" applyFont="1" applyFill="1" applyBorder="1" applyAlignment="1">
      <alignment horizontal="center" vertical="center"/>
    </xf>
    <xf numFmtId="166" fontId="67" fillId="39" borderId="73" xfId="180" applyNumberFormat="1" applyFont="1" applyFill="1" applyBorder="1" applyAlignment="1">
      <alignment horizontal="center" vertical="center"/>
    </xf>
    <xf numFmtId="166" fontId="67" fillId="39" borderId="74" xfId="180" applyNumberFormat="1" applyFont="1" applyFill="1" applyBorder="1" applyAlignment="1">
      <alignment horizontal="center" vertical="center"/>
    </xf>
    <xf numFmtId="166" fontId="67" fillId="39" borderId="28" xfId="180" applyNumberFormat="1" applyFont="1" applyFill="1" applyBorder="1" applyAlignment="1">
      <alignment horizontal="center" vertical="center"/>
    </xf>
    <xf numFmtId="0" fontId="24" fillId="0" borderId="308" xfId="180" applyFont="1" applyFill="1" applyBorder="1" applyAlignment="1">
      <alignment horizontal="center" vertical="center"/>
    </xf>
    <xf numFmtId="0" fontId="17" fillId="0" borderId="2" xfId="180" applyFill="1" applyBorder="1" applyAlignment="1">
      <alignment horizontal="center" vertical="center"/>
    </xf>
    <xf numFmtId="0" fontId="17" fillId="0" borderId="363" xfId="180" applyFill="1" applyBorder="1" applyAlignment="1">
      <alignment horizontal="center" vertical="center"/>
    </xf>
    <xf numFmtId="0" fontId="17" fillId="0" borderId="0" xfId="180" applyFill="1" applyBorder="1" applyAlignment="1"/>
    <xf numFmtId="0" fontId="17" fillId="0" borderId="0" xfId="180" applyFill="1" applyBorder="1" applyAlignment="1">
      <alignment horizontal="center" vertical="center" wrapText="1"/>
    </xf>
    <xf numFmtId="0" fontId="17" fillId="0" borderId="0" xfId="180" applyFill="1" applyBorder="1" applyAlignment="1">
      <alignment vertical="center"/>
    </xf>
    <xf numFmtId="0" fontId="17" fillId="0" borderId="0" xfId="180" applyFill="1" applyBorder="1" applyAlignment="1">
      <alignment vertical="center" wrapText="1"/>
    </xf>
    <xf numFmtId="0" fontId="41" fillId="0" borderId="342" xfId="180" applyFont="1" applyFill="1" applyBorder="1" applyAlignment="1">
      <alignment horizontal="left" vertical="top" wrapText="1"/>
    </xf>
    <xf numFmtId="0" fontId="25" fillId="0" borderId="12" xfId="181" applyFont="1" applyFill="1" applyBorder="1" applyAlignment="1">
      <alignment horizontal="center" wrapText="1"/>
    </xf>
    <xf numFmtId="0" fontId="17" fillId="0" borderId="15" xfId="180" applyBorder="1" applyAlignment="1">
      <alignment wrapText="1"/>
    </xf>
    <xf numFmtId="0" fontId="17" fillId="0" borderId="56" xfId="180" applyBorder="1" applyAlignment="1">
      <alignment wrapText="1"/>
    </xf>
    <xf numFmtId="0" fontId="17" fillId="0" borderId="15" xfId="180" applyBorder="1" applyAlignment="1"/>
    <xf numFmtId="0" fontId="17" fillId="0" borderId="56" xfId="180" applyBorder="1" applyAlignment="1"/>
    <xf numFmtId="166" fontId="67" fillId="39" borderId="29" xfId="180" applyNumberFormat="1" applyFont="1" applyFill="1" applyBorder="1" applyAlignment="1">
      <alignment horizontal="center" vertical="center"/>
    </xf>
    <xf numFmtId="0" fontId="59" fillId="0" borderId="1" xfId="180" quotePrefix="1" applyFont="1" applyFill="1" applyBorder="1" applyAlignment="1">
      <alignment horizontal="left" vertical="top" wrapText="1"/>
    </xf>
    <xf numFmtId="0" fontId="31" fillId="0" borderId="2" xfId="180" applyFont="1" applyFill="1" applyBorder="1" applyAlignment="1">
      <alignment horizontal="left" vertical="top" wrapText="1"/>
    </xf>
    <xf numFmtId="0" fontId="31" fillId="0" borderId="1" xfId="180" applyFont="1" applyFill="1" applyBorder="1" applyAlignment="1">
      <alignment horizontal="left" vertical="top" wrapText="1"/>
    </xf>
    <xf numFmtId="0" fontId="31" fillId="0" borderId="1" xfId="180" applyFont="1" applyFill="1" applyBorder="1" applyAlignment="1">
      <alignment vertical="top"/>
    </xf>
    <xf numFmtId="0" fontId="31" fillId="0" borderId="2" xfId="180" applyFont="1" applyFill="1" applyBorder="1" applyAlignment="1">
      <alignment vertical="top"/>
    </xf>
    <xf numFmtId="0" fontId="67" fillId="39" borderId="73" xfId="180" applyFont="1" applyFill="1" applyBorder="1" applyAlignment="1">
      <alignment horizontal="center" vertical="center"/>
    </xf>
    <xf numFmtId="166" fontId="67" fillId="39" borderId="27" xfId="15" applyNumberFormat="1" applyFont="1" applyFill="1" applyBorder="1" applyAlignment="1">
      <alignment horizontal="center"/>
    </xf>
    <xf numFmtId="166" fontId="67" fillId="39" borderId="28" xfId="15" applyNumberFormat="1" applyFont="1" applyFill="1" applyBorder="1" applyAlignment="1">
      <alignment horizontal="center"/>
    </xf>
    <xf numFmtId="166" fontId="67" fillId="39" borderId="29" xfId="15" applyNumberFormat="1" applyFont="1" applyFill="1" applyBorder="1" applyAlignment="1">
      <alignment horizontal="center"/>
    </xf>
    <xf numFmtId="0" fontId="40" fillId="6" borderId="1" xfId="180" applyFont="1" applyFill="1" applyBorder="1" applyAlignment="1">
      <alignment horizontal="left" vertical="top" wrapText="1"/>
    </xf>
    <xf numFmtId="0" fontId="40" fillId="6" borderId="23" xfId="180" applyFont="1" applyFill="1" applyBorder="1" applyAlignment="1">
      <alignment horizontal="left" vertical="top" wrapText="1"/>
    </xf>
    <xf numFmtId="0" fontId="31" fillId="0" borderId="328" xfId="180" applyFont="1" applyFill="1" applyBorder="1" applyAlignment="1"/>
    <xf numFmtId="0" fontId="31" fillId="0" borderId="306" xfId="180" applyFont="1" applyFill="1" applyBorder="1" applyAlignment="1">
      <alignment horizontal="left" vertical="top" wrapText="1"/>
    </xf>
    <xf numFmtId="0" fontId="31" fillId="0" borderId="306" xfId="180" applyFont="1" applyFill="1" applyBorder="1" applyAlignment="1"/>
    <xf numFmtId="0" fontId="40" fillId="0" borderId="20" xfId="15" applyFont="1" applyFill="1" applyBorder="1" applyAlignment="1">
      <alignment horizontal="left" vertical="top" wrapText="1"/>
    </xf>
    <xf numFmtId="0" fontId="20" fillId="0" borderId="2" xfId="180" applyFont="1" applyFill="1" applyBorder="1" applyAlignment="1">
      <alignment horizontal="left" vertical="top" wrapText="1"/>
    </xf>
    <xf numFmtId="0" fontId="20" fillId="0" borderId="1" xfId="180" applyFont="1" applyFill="1" applyBorder="1" applyAlignment="1">
      <alignment horizontal="left" vertical="top" wrapText="1"/>
    </xf>
    <xf numFmtId="0" fontId="20" fillId="0" borderId="1" xfId="180" applyFont="1" applyBorder="1" applyAlignment="1"/>
    <xf numFmtId="0" fontId="20" fillId="0" borderId="2" xfId="180" applyFont="1" applyBorder="1" applyAlignment="1"/>
    <xf numFmtId="0" fontId="67" fillId="0" borderId="0" xfId="180" applyFont="1" applyFill="1" applyBorder="1" applyAlignment="1">
      <alignment horizontal="left" vertical="top" wrapText="1"/>
    </xf>
    <xf numFmtId="0" fontId="67" fillId="0" borderId="1" xfId="180" applyFont="1" applyFill="1" applyBorder="1" applyAlignment="1">
      <alignment horizontal="left" vertical="top" wrapText="1"/>
    </xf>
    <xf numFmtId="0" fontId="67" fillId="0" borderId="1" xfId="180" applyFont="1" applyFill="1" applyBorder="1" applyAlignment="1">
      <alignment vertical="top"/>
    </xf>
    <xf numFmtId="0" fontId="67" fillId="0" borderId="0" xfId="180" applyFont="1" applyFill="1" applyBorder="1" applyAlignment="1">
      <alignment vertical="top"/>
    </xf>
    <xf numFmtId="0" fontId="67" fillId="0" borderId="2" xfId="180" applyFont="1" applyFill="1" applyBorder="1" applyAlignment="1">
      <alignment horizontal="left" vertical="top" wrapText="1"/>
    </xf>
    <xf numFmtId="0" fontId="25" fillId="0" borderId="51" xfId="180" applyFont="1" applyFill="1" applyBorder="1" applyAlignment="1">
      <alignment horizontal="left" vertical="top" wrapText="1"/>
    </xf>
    <xf numFmtId="0" fontId="25" fillId="0" borderId="34" xfId="180" applyFont="1" applyFill="1" applyBorder="1" applyAlignment="1">
      <alignment horizontal="left" vertical="top" wrapText="1"/>
    </xf>
    <xf numFmtId="0" fontId="25" fillId="0" borderId="21" xfId="2" applyFont="1" applyFill="1" applyBorder="1" applyAlignment="1">
      <alignment horizontal="left" vertical="top" wrapText="1"/>
    </xf>
    <xf numFmtId="0" fontId="25" fillId="0" borderId="0" xfId="2" applyFont="1" applyFill="1" applyBorder="1" applyAlignment="1">
      <alignment horizontal="left" vertical="top" wrapText="1"/>
    </xf>
    <xf numFmtId="0" fontId="25" fillId="0" borderId="23" xfId="2" applyFont="1" applyFill="1" applyBorder="1" applyAlignment="1">
      <alignment horizontal="left" vertical="top" wrapText="1"/>
    </xf>
    <xf numFmtId="0" fontId="41" fillId="0" borderId="336" xfId="0" applyFont="1" applyBorder="1" applyAlignment="1">
      <alignment horizontal="center" textRotation="90" wrapText="1"/>
    </xf>
    <xf numFmtId="0" fontId="41" fillId="6" borderId="324" xfId="0" applyFont="1" applyFill="1" applyBorder="1" applyAlignment="1">
      <alignment horizontal="center" textRotation="90" wrapText="1"/>
    </xf>
    <xf numFmtId="0" fontId="41" fillId="6" borderId="337" xfId="0" applyFont="1" applyFill="1" applyBorder="1" applyAlignment="1">
      <alignment horizontal="center" textRotation="90" wrapText="1"/>
    </xf>
    <xf numFmtId="0" fontId="24" fillId="0" borderId="292" xfId="180" applyFont="1" applyFill="1" applyBorder="1" applyAlignment="1">
      <alignment horizontal="center" vertical="top" wrapText="1"/>
    </xf>
    <xf numFmtId="0" fontId="67" fillId="0" borderId="1" xfId="180" applyFont="1" applyBorder="1" applyAlignment="1">
      <alignment vertical="top"/>
    </xf>
    <xf numFmtId="0" fontId="67" fillId="0" borderId="2" xfId="180" applyFont="1" applyBorder="1" applyAlignment="1">
      <alignment vertical="top"/>
    </xf>
    <xf numFmtId="0" fontId="17" fillId="0" borderId="240" xfId="180" applyBorder="1" applyAlignment="1">
      <alignment vertical="center" wrapText="1"/>
    </xf>
    <xf numFmtId="0" fontId="17" fillId="0" borderId="109" xfId="180" applyBorder="1" applyAlignment="1">
      <alignment vertical="center" wrapText="1"/>
    </xf>
    <xf numFmtId="0" fontId="17" fillId="0" borderId="108" xfId="180" applyBorder="1" applyAlignment="1">
      <alignment vertical="center" wrapText="1"/>
    </xf>
    <xf numFmtId="0" fontId="24" fillId="6" borderId="239" xfId="180" applyFont="1" applyFill="1" applyBorder="1" applyAlignment="1">
      <alignment horizontal="center" vertical="center" wrapText="1"/>
    </xf>
    <xf numFmtId="0" fontId="17" fillId="6" borderId="242" xfId="180" applyFont="1" applyFill="1" applyBorder="1" applyAlignment="1">
      <alignment vertical="center" wrapText="1"/>
    </xf>
    <xf numFmtId="0" fontId="17" fillId="6" borderId="240" xfId="180" applyFont="1" applyFill="1" applyBorder="1" applyAlignment="1">
      <alignment vertical="center" wrapText="1"/>
    </xf>
    <xf numFmtId="0" fontId="17" fillId="6" borderId="109" xfId="180" applyFont="1" applyFill="1" applyBorder="1" applyAlignment="1">
      <alignment vertical="center" wrapText="1"/>
    </xf>
    <xf numFmtId="0" fontId="17" fillId="6" borderId="97" xfId="180" applyFont="1" applyFill="1" applyBorder="1" applyAlignment="1">
      <alignment vertical="center" wrapText="1"/>
    </xf>
    <xf numFmtId="0" fontId="17" fillId="6" borderId="108" xfId="180" applyFont="1" applyFill="1" applyBorder="1" applyAlignment="1">
      <alignment vertical="center" wrapText="1"/>
    </xf>
    <xf numFmtId="0" fontId="49" fillId="0" borderId="50" xfId="180" applyFont="1" applyFill="1" applyBorder="1" applyAlignment="1">
      <alignment horizontal="center" vertical="center" textRotation="90"/>
    </xf>
    <xf numFmtId="0" fontId="49" fillId="0" borderId="15" xfId="180" applyFont="1" applyFill="1" applyBorder="1" applyAlignment="1">
      <alignment horizontal="center" vertical="center" textRotation="90"/>
    </xf>
    <xf numFmtId="0" fontId="49" fillId="0" borderId="56" xfId="180" applyFont="1" applyFill="1" applyBorder="1" applyAlignment="1">
      <alignment horizontal="center" vertical="center" textRotation="90"/>
    </xf>
    <xf numFmtId="0" fontId="40" fillId="0" borderId="272" xfId="180" applyFont="1" applyFill="1" applyBorder="1" applyAlignment="1">
      <alignment horizontal="center" vertical="top" wrapText="1"/>
    </xf>
    <xf numFmtId="0" fontId="40" fillId="0" borderId="273" xfId="180" applyFont="1" applyFill="1" applyBorder="1" applyAlignment="1">
      <alignment horizontal="center" vertical="top" wrapText="1"/>
    </xf>
    <xf numFmtId="165" fontId="41" fillId="6" borderId="271" xfId="180" applyNumberFormat="1" applyFont="1" applyFill="1" applyBorder="1" applyAlignment="1">
      <alignment horizontal="left" vertical="center" wrapText="1"/>
    </xf>
    <xf numFmtId="165" fontId="41" fillId="6" borderId="260" xfId="180" applyNumberFormat="1" applyFont="1" applyFill="1" applyBorder="1" applyAlignment="1">
      <alignment horizontal="left" vertical="center" wrapText="1"/>
    </xf>
    <xf numFmtId="165" fontId="41" fillId="0" borderId="271" xfId="180" applyNumberFormat="1" applyFont="1" applyFill="1" applyBorder="1" applyAlignment="1">
      <alignment horizontal="left" vertical="center" wrapText="1"/>
    </xf>
    <xf numFmtId="165" fontId="41" fillId="0" borderId="260" xfId="180" applyNumberFormat="1" applyFont="1" applyFill="1" applyBorder="1" applyAlignment="1">
      <alignment horizontal="left" vertical="center" wrapText="1"/>
    </xf>
    <xf numFmtId="0" fontId="41" fillId="0" borderId="259" xfId="180" applyFont="1" applyFill="1" applyBorder="1" applyAlignment="1">
      <alignment horizontal="center" vertical="top"/>
    </xf>
    <xf numFmtId="0" fontId="41" fillId="0" borderId="273" xfId="180" applyFont="1" applyFill="1" applyBorder="1" applyAlignment="1">
      <alignment horizontal="center" vertical="top"/>
    </xf>
    <xf numFmtId="0" fontId="17" fillId="0" borderId="2" xfId="180" applyFill="1" applyBorder="1" applyAlignment="1">
      <alignment horizontal="left" vertical="top" wrapText="1"/>
    </xf>
    <xf numFmtId="0" fontId="24" fillId="0" borderId="1" xfId="180" applyFont="1" applyFill="1" applyBorder="1" applyAlignment="1">
      <alignment horizontal="left" vertical="top" wrapText="1"/>
    </xf>
    <xf numFmtId="0" fontId="17" fillId="0" borderId="0" xfId="180" applyFill="1" applyBorder="1" applyAlignment="1">
      <alignment vertical="top" wrapText="1"/>
    </xf>
    <xf numFmtId="0" fontId="17" fillId="0" borderId="1" xfId="180" applyFill="1" applyBorder="1" applyAlignment="1">
      <alignment vertical="top" wrapText="1"/>
    </xf>
    <xf numFmtId="0" fontId="17" fillId="0" borderId="2" xfId="180" applyFill="1" applyBorder="1" applyAlignment="1">
      <alignment vertical="top" wrapText="1"/>
    </xf>
    <xf numFmtId="0" fontId="41" fillId="0" borderId="338" xfId="0" applyFont="1" applyBorder="1" applyAlignment="1">
      <alignment horizontal="center" textRotation="90" wrapText="1"/>
    </xf>
    <xf numFmtId="165" fontId="41" fillId="0" borderId="257" xfId="180" applyNumberFormat="1" applyFont="1" applyFill="1" applyBorder="1" applyAlignment="1">
      <alignment horizontal="left" vertical="center" wrapText="1"/>
    </xf>
    <xf numFmtId="165" fontId="41" fillId="0" borderId="254" xfId="180" applyNumberFormat="1" applyFont="1" applyFill="1" applyBorder="1" applyAlignment="1">
      <alignment horizontal="left" vertical="center" wrapText="1"/>
    </xf>
    <xf numFmtId="0" fontId="41" fillId="0" borderId="258" xfId="180" applyFont="1" applyFill="1" applyBorder="1" applyAlignment="1">
      <alignment vertical="center" wrapText="1"/>
    </xf>
    <xf numFmtId="0" fontId="41" fillId="0" borderId="261" xfId="180" applyFont="1" applyFill="1" applyBorder="1" applyAlignment="1">
      <alignment vertical="center" wrapText="1"/>
    </xf>
    <xf numFmtId="0" fontId="41" fillId="0" borderId="1" xfId="180" applyFont="1" applyFill="1" applyBorder="1" applyAlignment="1">
      <alignment horizontal="left" vertical="center" wrapText="1"/>
    </xf>
    <xf numFmtId="165" fontId="41" fillId="0" borderId="272" xfId="180" applyNumberFormat="1" applyFont="1" applyFill="1" applyBorder="1" applyAlignment="1">
      <alignment horizontal="left" vertical="center" wrapText="1"/>
    </xf>
    <xf numFmtId="165" fontId="41" fillId="0" borderId="250" xfId="180" applyNumberFormat="1" applyFont="1" applyFill="1" applyBorder="1" applyAlignment="1">
      <alignment horizontal="left" vertical="center" wrapText="1"/>
    </xf>
    <xf numFmtId="0" fontId="41" fillId="0" borderId="272" xfId="180" applyFont="1" applyFill="1" applyBorder="1" applyAlignment="1">
      <alignment horizontal="left" vertical="center" wrapText="1"/>
    </xf>
    <xf numFmtId="0" fontId="41" fillId="0" borderId="250" xfId="180" applyFont="1" applyFill="1" applyBorder="1" applyAlignment="1">
      <alignment horizontal="left" vertical="center" wrapText="1"/>
    </xf>
    <xf numFmtId="0" fontId="24" fillId="0" borderId="257" xfId="180" applyFont="1" applyFill="1" applyBorder="1" applyAlignment="1">
      <alignment horizontal="left" vertical="center" wrapText="1"/>
    </xf>
    <xf numFmtId="0" fontId="24" fillId="22" borderId="14" xfId="180" applyFont="1" applyFill="1" applyBorder="1" applyAlignment="1">
      <alignment horizontal="center" vertical="center"/>
    </xf>
    <xf numFmtId="0" fontId="24" fillId="0" borderId="14" xfId="180" applyFont="1" applyFill="1" applyBorder="1" applyAlignment="1">
      <alignment horizontal="center" vertical="center"/>
    </xf>
    <xf numFmtId="0" fontId="41" fillId="0" borderId="431" xfId="0" applyFont="1" applyFill="1" applyBorder="1" applyAlignment="1">
      <alignment horizontal="left" vertical="center" wrapText="1"/>
    </xf>
    <xf numFmtId="0" fontId="41" fillId="0" borderId="414" xfId="0" applyFont="1" applyFill="1" applyBorder="1" applyAlignment="1">
      <alignment horizontal="left" vertical="center" wrapText="1"/>
    </xf>
    <xf numFmtId="0" fontId="41" fillId="0" borderId="9" xfId="180" applyFont="1" applyFill="1" applyBorder="1" applyAlignment="1">
      <alignment horizontal="center" vertical="center" wrapText="1"/>
    </xf>
    <xf numFmtId="0" fontId="41" fillId="0" borderId="67" xfId="180" applyFont="1" applyFill="1" applyBorder="1" applyAlignment="1">
      <alignment horizontal="center" vertical="center" wrapText="1"/>
    </xf>
    <xf numFmtId="0" fontId="41" fillId="0" borderId="39" xfId="180" applyFont="1" applyFill="1" applyBorder="1" applyAlignment="1">
      <alignment horizontal="center" vertical="center" wrapText="1"/>
    </xf>
    <xf numFmtId="0" fontId="41" fillId="0" borderId="75" xfId="180" applyFont="1" applyFill="1" applyBorder="1" applyAlignment="1">
      <alignment horizontal="center" vertical="center" wrapText="1"/>
    </xf>
    <xf numFmtId="0" fontId="70" fillId="0" borderId="239" xfId="180" applyFont="1" applyFill="1" applyBorder="1" applyAlignment="1">
      <alignment horizontal="center" vertical="center" wrapText="1"/>
    </xf>
    <xf numFmtId="0" fontId="17" fillId="0" borderId="1" xfId="180" applyFill="1" applyBorder="1" applyAlignment="1">
      <alignment horizontal="center" vertical="center" wrapText="1"/>
    </xf>
    <xf numFmtId="0" fontId="17" fillId="0" borderId="109" xfId="180" applyFill="1" applyBorder="1" applyAlignment="1">
      <alignment horizontal="center" vertical="center" wrapText="1"/>
    </xf>
    <xf numFmtId="0" fontId="70" fillId="0" borderId="12" xfId="180" applyFont="1" applyFill="1" applyBorder="1" applyAlignment="1">
      <alignment horizontal="center" vertical="center" wrapText="1"/>
    </xf>
    <xf numFmtId="0" fontId="17" fillId="0" borderId="15" xfId="180" applyBorder="1" applyAlignment="1">
      <alignment horizontal="center" vertical="center" wrapText="1"/>
    </xf>
    <xf numFmtId="0" fontId="17" fillId="0" borderId="56" xfId="180" applyBorder="1" applyAlignment="1">
      <alignment horizontal="center" vertical="center" wrapText="1"/>
    </xf>
    <xf numFmtId="0" fontId="40" fillId="0" borderId="257" xfId="180" applyFont="1" applyFill="1" applyBorder="1" applyAlignment="1">
      <alignment horizontal="center" vertical="top" wrapText="1"/>
    </xf>
    <xf numFmtId="0" fontId="40" fillId="0" borderId="254" xfId="180" applyFont="1" applyFill="1" applyBorder="1" applyAlignment="1">
      <alignment horizontal="center" vertical="top" wrapText="1"/>
    </xf>
    <xf numFmtId="0" fontId="40" fillId="0" borderId="258" xfId="180" applyFont="1" applyFill="1" applyBorder="1" applyAlignment="1">
      <alignment horizontal="center" vertical="top" wrapText="1"/>
    </xf>
    <xf numFmtId="0" fontId="41" fillId="0" borderId="49" xfId="180" applyFont="1" applyFill="1" applyBorder="1" applyAlignment="1">
      <alignment horizontal="center" vertical="center" wrapText="1"/>
    </xf>
    <xf numFmtId="0" fontId="41" fillId="0" borderId="337" xfId="0" applyFont="1" applyBorder="1" applyAlignment="1">
      <alignment horizontal="center" textRotation="90" wrapText="1"/>
    </xf>
    <xf numFmtId="0" fontId="41" fillId="6" borderId="267" xfId="180" applyFont="1" applyFill="1" applyBorder="1" applyAlignment="1">
      <alignment horizontal="left" vertical="top" wrapText="1"/>
    </xf>
    <xf numFmtId="0" fontId="41" fillId="6" borderId="331" xfId="180" applyFont="1" applyFill="1" applyBorder="1" applyAlignment="1">
      <alignment horizontal="left" vertical="top" wrapText="1"/>
    </xf>
    <xf numFmtId="0" fontId="41" fillId="6" borderId="326" xfId="180" applyFont="1" applyFill="1" applyBorder="1" applyAlignment="1">
      <alignment horizontal="left" vertical="top" wrapText="1"/>
    </xf>
    <xf numFmtId="0" fontId="41" fillId="6" borderId="119" xfId="180" applyFont="1" applyFill="1" applyBorder="1" applyAlignment="1">
      <alignment horizontal="left" vertical="top" wrapText="1"/>
    </xf>
    <xf numFmtId="0" fontId="41" fillId="6" borderId="0" xfId="180" applyFont="1" applyFill="1" applyBorder="1" applyAlignment="1">
      <alignment horizontal="left" vertical="top" wrapText="1"/>
    </xf>
    <xf numFmtId="0" fontId="41" fillId="6" borderId="23" xfId="180" applyFont="1" applyFill="1" applyBorder="1" applyAlignment="1">
      <alignment horizontal="left" vertical="top" wrapText="1"/>
    </xf>
    <xf numFmtId="0" fontId="41" fillId="6" borderId="274" xfId="180" applyFont="1" applyFill="1" applyBorder="1" applyAlignment="1">
      <alignment horizontal="left" vertical="top" wrapText="1"/>
    </xf>
    <xf numFmtId="0" fontId="41" fillId="6" borderId="362" xfId="180" applyFont="1" applyFill="1" applyBorder="1" applyAlignment="1">
      <alignment horizontal="left" vertical="top" wrapText="1"/>
    </xf>
    <xf numFmtId="0" fontId="41" fillId="6" borderId="327" xfId="180" applyFont="1" applyFill="1" applyBorder="1" applyAlignment="1">
      <alignment horizontal="left" vertical="top" wrapText="1"/>
    </xf>
    <xf numFmtId="0" fontId="41" fillId="0" borderId="275" xfId="180" applyFont="1" applyFill="1" applyBorder="1" applyAlignment="1">
      <alignment horizontal="center" vertical="top" wrapText="1"/>
    </xf>
    <xf numFmtId="0" fontId="41" fillId="0" borderId="276" xfId="180" applyFont="1" applyFill="1" applyBorder="1" applyAlignment="1">
      <alignment horizontal="center" vertical="top" wrapText="1"/>
    </xf>
    <xf numFmtId="0" fontId="41" fillId="0" borderId="277" xfId="180" applyFont="1" applyFill="1" applyBorder="1" applyAlignment="1">
      <alignment horizontal="center" vertical="top" wrapText="1"/>
    </xf>
    <xf numFmtId="0" fontId="47" fillId="0" borderId="2" xfId="180" applyFont="1" applyFill="1" applyBorder="1" applyAlignment="1">
      <alignment horizontal="center" vertical="center" wrapText="1"/>
    </xf>
    <xf numFmtId="0" fontId="47" fillId="0" borderId="261" xfId="180" applyFont="1" applyFill="1" applyBorder="1" applyAlignment="1">
      <alignment horizontal="center" vertical="center" wrapText="1"/>
    </xf>
    <xf numFmtId="0" fontId="41" fillId="0" borderId="427" xfId="180" applyFont="1" applyFill="1" applyBorder="1" applyAlignment="1">
      <alignment horizontal="center" vertical="top"/>
    </xf>
    <xf numFmtId="0" fontId="41" fillId="0" borderId="428" xfId="180" applyFont="1" applyFill="1" applyBorder="1" applyAlignment="1">
      <alignment horizontal="center" vertical="top"/>
    </xf>
    <xf numFmtId="0" fontId="24" fillId="6" borderId="1" xfId="180" applyFont="1" applyFill="1" applyBorder="1" applyAlignment="1">
      <alignment horizontal="center" vertical="center" wrapText="1"/>
    </xf>
    <xf numFmtId="0" fontId="24" fillId="6" borderId="0" xfId="180" applyFont="1" applyFill="1" applyBorder="1" applyAlignment="1">
      <alignment horizontal="center" vertical="center" wrapText="1"/>
    </xf>
    <xf numFmtId="0" fontId="24" fillId="6" borderId="2" xfId="180" applyFont="1" applyFill="1" applyBorder="1" applyAlignment="1">
      <alignment horizontal="center" vertical="center" wrapText="1"/>
    </xf>
    <xf numFmtId="0" fontId="24" fillId="6" borderId="426" xfId="180" applyFont="1" applyFill="1" applyBorder="1" applyAlignment="1">
      <alignment horizontal="center" vertical="center" wrapText="1"/>
    </xf>
    <xf numFmtId="0" fontId="24" fillId="6" borderId="362" xfId="180" applyFont="1" applyFill="1" applyBorder="1" applyAlignment="1">
      <alignment horizontal="center" vertical="center" wrapText="1"/>
    </xf>
    <xf numFmtId="0" fontId="24" fillId="6" borderId="363" xfId="180" applyFont="1" applyFill="1" applyBorder="1" applyAlignment="1">
      <alignment horizontal="center" vertical="center" wrapText="1"/>
    </xf>
    <xf numFmtId="0" fontId="24" fillId="0" borderId="278" xfId="180" applyFont="1" applyFill="1" applyBorder="1" applyAlignment="1">
      <alignment horizontal="center" vertical="center"/>
    </xf>
    <xf numFmtId="0" fontId="24" fillId="0" borderId="263" xfId="180" applyFont="1" applyFill="1" applyBorder="1" applyAlignment="1">
      <alignment horizontal="center" vertical="center"/>
    </xf>
    <xf numFmtId="0" fontId="24" fillId="0" borderId="265" xfId="180" applyFont="1" applyFill="1" applyBorder="1" applyAlignment="1">
      <alignment horizontal="center" vertical="center"/>
    </xf>
    <xf numFmtId="0" fontId="41" fillId="0" borderId="239" xfId="180" applyFont="1" applyFill="1" applyBorder="1" applyAlignment="1">
      <alignment horizontal="center" vertical="center"/>
    </xf>
    <xf numFmtId="0" fontId="41" fillId="0" borderId="315" xfId="180" applyFont="1" applyFill="1" applyBorder="1" applyAlignment="1">
      <alignment horizontal="center" vertical="center"/>
    </xf>
    <xf numFmtId="0" fontId="41" fillId="0" borderId="1" xfId="180" applyFont="1" applyFill="1" applyBorder="1" applyAlignment="1">
      <alignment horizontal="center" vertical="center"/>
    </xf>
    <xf numFmtId="0" fontId="41" fillId="0" borderId="423" xfId="180" applyFont="1" applyFill="1" applyBorder="1" applyAlignment="1">
      <alignment horizontal="center" vertical="center"/>
    </xf>
    <xf numFmtId="0" fontId="41" fillId="0" borderId="424" xfId="180" applyFont="1" applyFill="1" applyBorder="1" applyAlignment="1">
      <alignment horizontal="center" vertical="center"/>
    </xf>
    <xf numFmtId="0" fontId="41" fillId="0" borderId="315" xfId="180" applyFont="1" applyFill="1" applyBorder="1" applyAlignment="1">
      <alignment horizontal="center" vertical="center" wrapText="1"/>
    </xf>
    <xf numFmtId="0" fontId="41" fillId="0" borderId="423" xfId="180" applyFont="1" applyFill="1" applyBorder="1" applyAlignment="1">
      <alignment horizontal="center" vertical="center" wrapText="1"/>
    </xf>
    <xf numFmtId="0" fontId="41" fillId="0" borderId="350" xfId="180" applyFont="1" applyFill="1" applyBorder="1" applyAlignment="1">
      <alignment horizontal="center" vertical="center" wrapText="1"/>
    </xf>
    <xf numFmtId="0" fontId="41" fillId="0" borderId="424" xfId="180" applyFont="1" applyFill="1" applyBorder="1" applyAlignment="1">
      <alignment horizontal="center" vertical="center" wrapText="1"/>
    </xf>
    <xf numFmtId="0" fontId="24" fillId="22" borderId="49" xfId="180" applyFont="1" applyFill="1" applyBorder="1" applyAlignment="1">
      <alignment horizontal="center" vertical="center"/>
    </xf>
    <xf numFmtId="0" fontId="24" fillId="0" borderId="27" xfId="180" applyFont="1" applyFill="1" applyBorder="1" applyAlignment="1">
      <alignment horizontal="center" vertical="top"/>
    </xf>
    <xf numFmtId="0" fontId="24" fillId="0" borderId="28" xfId="180" applyFont="1" applyFill="1" applyBorder="1" applyAlignment="1">
      <alignment horizontal="center" vertical="top"/>
    </xf>
    <xf numFmtId="0" fontId="24" fillId="0" borderId="29" xfId="180" applyFont="1" applyFill="1" applyBorder="1" applyAlignment="1">
      <alignment horizontal="center" vertical="top"/>
    </xf>
    <xf numFmtId="0" fontId="40" fillId="0" borderId="19" xfId="180" applyFont="1" applyFill="1" applyBorder="1" applyAlignment="1">
      <alignment horizontal="center" vertical="top" wrapText="1"/>
    </xf>
    <xf numFmtId="0" fontId="40" fillId="0" borderId="24" xfId="180" applyFont="1" applyFill="1" applyBorder="1" applyAlignment="1">
      <alignment horizontal="center" vertical="top" wrapText="1"/>
    </xf>
    <xf numFmtId="0" fontId="40" fillId="0" borderId="21" xfId="180" applyFont="1" applyFill="1" applyBorder="1" applyAlignment="1">
      <alignment horizontal="center" vertical="top" wrapText="1"/>
    </xf>
    <xf numFmtId="0" fontId="40" fillId="0" borderId="23" xfId="180" applyFont="1" applyFill="1" applyBorder="1" applyAlignment="1">
      <alignment horizontal="center" vertical="top" wrapText="1"/>
    </xf>
    <xf numFmtId="0" fontId="40" fillId="0" borderId="22" xfId="180" applyFont="1" applyFill="1" applyBorder="1" applyAlignment="1">
      <alignment horizontal="center" vertical="top" wrapText="1"/>
    </xf>
    <xf numFmtId="0" fontId="40" fillId="0" borderId="403" xfId="180" applyFont="1" applyFill="1" applyBorder="1" applyAlignment="1">
      <alignment horizontal="center" vertical="top" wrapText="1"/>
    </xf>
    <xf numFmtId="0" fontId="40" fillId="0" borderId="341" xfId="180" applyFont="1" applyFill="1" applyBorder="1" applyAlignment="1">
      <alignment horizontal="center" vertical="top" wrapText="1"/>
    </xf>
    <xf numFmtId="166" fontId="67" fillId="39" borderId="27" xfId="180" applyNumberFormat="1" applyFont="1" applyFill="1" applyBorder="1" applyAlignment="1">
      <alignment horizontal="center"/>
    </xf>
    <xf numFmtId="166" fontId="67" fillId="39" borderId="28" xfId="180" applyNumberFormat="1" applyFont="1" applyFill="1" applyBorder="1" applyAlignment="1">
      <alignment horizontal="center"/>
    </xf>
    <xf numFmtId="166" fontId="67" fillId="39" borderId="29" xfId="180" applyNumberFormat="1" applyFont="1" applyFill="1" applyBorder="1" applyAlignment="1">
      <alignment horizontal="center"/>
    </xf>
    <xf numFmtId="0" fontId="32" fillId="6" borderId="10" xfId="180" applyFont="1" applyFill="1" applyBorder="1" applyAlignment="1">
      <alignment horizontal="center" vertical="center"/>
    </xf>
    <xf numFmtId="0" fontId="32" fillId="6" borderId="9" xfId="180" applyFont="1" applyFill="1" applyBorder="1" applyAlignment="1">
      <alignment horizontal="center" vertical="center"/>
    </xf>
    <xf numFmtId="166" fontId="24" fillId="0" borderId="62" xfId="180" applyNumberFormat="1" applyFont="1" applyFill="1" applyBorder="1" applyAlignment="1">
      <alignment horizontal="center" vertical="center" textRotation="90" wrapText="1"/>
    </xf>
    <xf numFmtId="166" fontId="24" fillId="0" borderId="44" xfId="180" applyNumberFormat="1" applyFont="1" applyFill="1" applyBorder="1" applyAlignment="1">
      <alignment horizontal="center" vertical="center" textRotation="90" wrapText="1"/>
    </xf>
    <xf numFmtId="166" fontId="24" fillId="0" borderId="66" xfId="180" applyNumberFormat="1" applyFont="1" applyFill="1" applyBorder="1" applyAlignment="1">
      <alignment horizontal="center" vertical="center" textRotation="90" wrapText="1"/>
    </xf>
    <xf numFmtId="166" fontId="24" fillId="0" borderId="14" xfId="180" applyNumberFormat="1" applyFont="1" applyFill="1" applyBorder="1" applyAlignment="1">
      <alignment horizontal="center" vertical="center" textRotation="90" wrapText="1"/>
    </xf>
    <xf numFmtId="166" fontId="24" fillId="0" borderId="78" xfId="180" applyNumberFormat="1" applyFont="1" applyFill="1" applyBorder="1" applyAlignment="1">
      <alignment horizontal="center" vertical="center" textRotation="90" wrapText="1"/>
    </xf>
    <xf numFmtId="166" fontId="24" fillId="0" borderId="49" xfId="180" applyNumberFormat="1" applyFont="1" applyFill="1" applyBorder="1" applyAlignment="1">
      <alignment horizontal="center" vertical="center" textRotation="90" wrapText="1"/>
    </xf>
    <xf numFmtId="166" fontId="67" fillId="39" borderId="74" xfId="180" applyNumberFormat="1" applyFont="1" applyFill="1" applyBorder="1" applyAlignment="1">
      <alignment horizontal="center"/>
    </xf>
    <xf numFmtId="166" fontId="67" fillId="39" borderId="73" xfId="180" applyNumberFormat="1" applyFont="1" applyFill="1" applyBorder="1" applyAlignment="1">
      <alignment horizontal="center"/>
    </xf>
    <xf numFmtId="0" fontId="24" fillId="0" borderId="0" xfId="180" applyFont="1" applyFill="1" applyBorder="1" applyAlignment="1">
      <alignment horizontal="center" wrapText="1"/>
    </xf>
    <xf numFmtId="0" fontId="24" fillId="0" borderId="109" xfId="180" applyFont="1" applyFill="1" applyBorder="1" applyAlignment="1">
      <alignment horizontal="center" wrapText="1"/>
    </xf>
    <xf numFmtId="0" fontId="24" fillId="0" borderId="97" xfId="180" applyFont="1" applyFill="1" applyBorder="1" applyAlignment="1">
      <alignment horizontal="center" wrapText="1"/>
    </xf>
    <xf numFmtId="0" fontId="25" fillId="0" borderId="1" xfId="180" applyFont="1" applyFill="1" applyBorder="1" applyAlignment="1">
      <alignment horizontal="left" vertical="center" wrapText="1"/>
    </xf>
    <xf numFmtId="0" fontId="25" fillId="0" borderId="2" xfId="180" applyFont="1" applyFill="1" applyBorder="1" applyAlignment="1">
      <alignment horizontal="left" vertical="center" wrapText="1"/>
    </xf>
    <xf numFmtId="0" fontId="24" fillId="0" borderId="23" xfId="180" applyFont="1" applyFill="1" applyBorder="1" applyAlignment="1">
      <alignment horizontal="center" wrapText="1"/>
    </xf>
    <xf numFmtId="0" fontId="24" fillId="0" borderId="38" xfId="180" applyFont="1" applyFill="1" applyBorder="1" applyAlignment="1">
      <alignment horizontal="center" vertical="top"/>
    </xf>
    <xf numFmtId="0" fontId="24" fillId="0" borderId="39" xfId="180" applyFont="1" applyFill="1" applyBorder="1" applyAlignment="1">
      <alignment horizontal="center" vertical="top"/>
    </xf>
    <xf numFmtId="0" fontId="24" fillId="0" borderId="40" xfId="180" applyFont="1" applyFill="1" applyBorder="1" applyAlignment="1">
      <alignment horizontal="center" vertical="top"/>
    </xf>
    <xf numFmtId="0" fontId="24" fillId="0" borderId="41" xfId="180" applyFont="1" applyFill="1" applyBorder="1" applyAlignment="1">
      <alignment horizontal="center" vertical="top"/>
    </xf>
    <xf numFmtId="0" fontId="25" fillId="0" borderId="23" xfId="180" applyFont="1" applyFill="1" applyBorder="1" applyAlignment="1">
      <alignment horizontal="left" vertical="top" wrapText="1"/>
    </xf>
    <xf numFmtId="166" fontId="25" fillId="0" borderId="51" xfId="180" applyNumberFormat="1" applyFont="1" applyFill="1" applyBorder="1" applyAlignment="1">
      <alignment horizontal="left" vertical="top" wrapText="1"/>
    </xf>
    <xf numFmtId="166" fontId="25" fillId="0" borderId="20" xfId="180" applyNumberFormat="1" applyFont="1" applyFill="1" applyBorder="1" applyAlignment="1">
      <alignment horizontal="left" vertical="top" wrapText="1"/>
    </xf>
    <xf numFmtId="166" fontId="25" fillId="0" borderId="34" xfId="180" applyNumberFormat="1" applyFont="1" applyFill="1" applyBorder="1" applyAlignment="1">
      <alignment horizontal="left" vertical="top" wrapText="1"/>
    </xf>
    <xf numFmtId="166" fontId="25" fillId="0" borderId="1" xfId="180" applyNumberFormat="1" applyFont="1" applyFill="1" applyBorder="1" applyAlignment="1">
      <alignment horizontal="left" vertical="top" wrapText="1"/>
    </xf>
    <xf numFmtId="166" fontId="25" fillId="0" borderId="0" xfId="180" applyNumberFormat="1" applyFont="1" applyFill="1" applyBorder="1" applyAlignment="1">
      <alignment horizontal="left" vertical="top" wrapText="1"/>
    </xf>
    <xf numFmtId="166" fontId="25" fillId="0" borderId="2" xfId="180" applyNumberFormat="1" applyFont="1" applyFill="1" applyBorder="1" applyAlignment="1">
      <alignment horizontal="left" vertical="top" wrapText="1"/>
    </xf>
    <xf numFmtId="0" fontId="24" fillId="0" borderId="0" xfId="180" applyFont="1" applyFill="1" applyBorder="1" applyAlignment="1">
      <alignment horizontal="center" vertical="top"/>
    </xf>
    <xf numFmtId="166" fontId="24" fillId="0" borderId="62" xfId="180" applyNumberFormat="1" applyFont="1" applyFill="1" applyBorder="1" applyAlignment="1">
      <alignment horizontal="center"/>
    </xf>
    <xf numFmtId="166" fontId="24" fillId="0" borderId="44" xfId="180" applyNumberFormat="1" applyFont="1" applyFill="1" applyBorder="1" applyAlignment="1">
      <alignment horizontal="center"/>
    </xf>
    <xf numFmtId="0" fontId="24" fillId="0" borderId="36" xfId="180" applyFont="1" applyFill="1" applyBorder="1" applyAlignment="1">
      <alignment horizontal="center"/>
    </xf>
    <xf numFmtId="0" fontId="24" fillId="0" borderId="30" xfId="180" applyFont="1" applyFill="1" applyBorder="1" applyAlignment="1">
      <alignment horizontal="center"/>
    </xf>
    <xf numFmtId="0" fontId="24" fillId="0" borderId="35" xfId="180" applyFont="1" applyFill="1" applyBorder="1" applyAlignment="1">
      <alignment horizontal="center"/>
    </xf>
    <xf numFmtId="0" fontId="24" fillId="0" borderId="32" xfId="180" applyFont="1" applyFill="1" applyBorder="1" applyAlignment="1">
      <alignment horizontal="center"/>
    </xf>
    <xf numFmtId="0" fontId="24" fillId="0" borderId="30" xfId="180" applyFont="1" applyFill="1" applyBorder="1" applyAlignment="1">
      <alignment horizontal="center" vertical="top"/>
    </xf>
    <xf numFmtId="0" fontId="24" fillId="0" borderId="35" xfId="180" applyFont="1" applyFill="1" applyBorder="1" applyAlignment="1">
      <alignment horizontal="center" vertical="top"/>
    </xf>
    <xf numFmtId="0" fontId="24" fillId="0" borderId="110" xfId="180" applyFont="1" applyFill="1" applyBorder="1" applyAlignment="1">
      <alignment horizontal="center" wrapText="1"/>
    </xf>
    <xf numFmtId="0" fontId="25" fillId="0" borderId="21" xfId="180" applyFont="1" applyFill="1" applyBorder="1" applyAlignment="1">
      <alignment horizontal="center" vertical="top" wrapText="1"/>
    </xf>
    <xf numFmtId="0" fontId="25" fillId="0" borderId="23" xfId="180" applyFont="1" applyFill="1" applyBorder="1" applyAlignment="1">
      <alignment horizontal="center" vertical="top" wrapText="1"/>
    </xf>
    <xf numFmtId="0" fontId="24" fillId="0" borderId="40" xfId="180" applyFont="1" applyFill="1" applyBorder="1" applyAlignment="1">
      <alignment horizontal="center"/>
    </xf>
    <xf numFmtId="0" fontId="24" fillId="0" borderId="38" xfId="180" applyFont="1" applyFill="1" applyBorder="1" applyAlignment="1">
      <alignment horizontal="center"/>
    </xf>
    <xf numFmtId="0" fontId="24" fillId="0" borderId="39" xfId="180" applyFont="1" applyFill="1" applyBorder="1" applyAlignment="1">
      <alignment horizontal="center"/>
    </xf>
    <xf numFmtId="0" fontId="24" fillId="6" borderId="40" xfId="180" applyFont="1" applyFill="1" applyBorder="1" applyAlignment="1">
      <alignment horizontal="center"/>
    </xf>
    <xf numFmtId="0" fontId="24" fillId="6" borderId="39" xfId="180" applyFont="1" applyFill="1" applyBorder="1" applyAlignment="1">
      <alignment horizontal="center"/>
    </xf>
    <xf numFmtId="0" fontId="24" fillId="0" borderId="281" xfId="180" applyFont="1" applyFill="1" applyBorder="1" applyAlignment="1">
      <alignment horizontal="center" vertical="top" wrapText="1"/>
    </xf>
    <xf numFmtId="0" fontId="24" fillId="0" borderId="263" xfId="180" applyFont="1" applyFill="1" applyBorder="1" applyAlignment="1">
      <alignment horizontal="center" vertical="top" wrapText="1"/>
    </xf>
    <xf numFmtId="0" fontId="24" fillId="0" borderId="270" xfId="180" applyFont="1" applyFill="1" applyBorder="1" applyAlignment="1">
      <alignment horizontal="center" vertical="top" wrapText="1"/>
    </xf>
    <xf numFmtId="0" fontId="24" fillId="0" borderId="97" xfId="180" applyFont="1" applyFill="1" applyBorder="1" applyAlignment="1">
      <alignment horizontal="center" vertical="top"/>
    </xf>
    <xf numFmtId="166" fontId="25" fillId="0" borderId="6" xfId="180" applyNumberFormat="1" applyFont="1" applyFill="1" applyBorder="1" applyAlignment="1">
      <alignment horizontal="left" vertical="top" wrapText="1"/>
    </xf>
    <xf numFmtId="166" fontId="25" fillId="0" borderId="7" xfId="180" applyNumberFormat="1" applyFont="1" applyFill="1" applyBorder="1" applyAlignment="1">
      <alignment horizontal="left" vertical="top" wrapText="1"/>
    </xf>
    <xf numFmtId="166" fontId="25" fillId="0" borderId="24" xfId="180" applyNumberFormat="1" applyFont="1" applyFill="1" applyBorder="1" applyAlignment="1">
      <alignment horizontal="left" vertical="top" wrapText="1"/>
    </xf>
    <xf numFmtId="166" fontId="25" fillId="0" borderId="23" xfId="180" applyNumberFormat="1" applyFont="1" applyFill="1" applyBorder="1" applyAlignment="1">
      <alignment horizontal="left" vertical="top" wrapText="1"/>
    </xf>
    <xf numFmtId="0" fontId="24" fillId="0" borderId="260" xfId="180" applyFont="1" applyFill="1" applyBorder="1" applyAlignment="1">
      <alignment horizontal="right"/>
    </xf>
    <xf numFmtId="0" fontId="24" fillId="0" borderId="323" xfId="0" applyFont="1" applyBorder="1" applyAlignment="1">
      <alignment horizontal="center" textRotation="90" wrapText="1"/>
    </xf>
    <xf numFmtId="0" fontId="24" fillId="0" borderId="196" xfId="0" applyFont="1" applyBorder="1" applyAlignment="1">
      <alignment horizontal="center" textRotation="90" wrapText="1"/>
    </xf>
    <xf numFmtId="0" fontId="24" fillId="0" borderId="324" xfId="0" applyFont="1" applyBorder="1" applyAlignment="1">
      <alignment horizontal="center" textRotation="90" wrapText="1"/>
    </xf>
    <xf numFmtId="0" fontId="24" fillId="0" borderId="197" xfId="0" applyFont="1" applyBorder="1" applyAlignment="1">
      <alignment horizontal="center" textRotation="90" wrapText="1"/>
    </xf>
    <xf numFmtId="0" fontId="24" fillId="0" borderId="325" xfId="0" applyFont="1" applyFill="1" applyBorder="1" applyAlignment="1">
      <alignment horizontal="center" textRotation="90" wrapText="1"/>
    </xf>
    <xf numFmtId="0" fontId="24" fillId="0" borderId="198" xfId="0" applyFont="1" applyFill="1" applyBorder="1" applyAlignment="1">
      <alignment horizontal="center" textRotation="90" wrapText="1"/>
    </xf>
    <xf numFmtId="0" fontId="24" fillId="0" borderId="109" xfId="180" applyFont="1" applyFill="1" applyBorder="1" applyAlignment="1">
      <alignment horizontal="center" vertical="top"/>
    </xf>
    <xf numFmtId="0" fontId="24" fillId="0" borderId="108" xfId="180" applyFont="1" applyFill="1" applyBorder="1" applyAlignment="1">
      <alignment horizontal="center" vertical="top"/>
    </xf>
    <xf numFmtId="0" fontId="24" fillId="0" borderId="36" xfId="180" applyFont="1" applyFill="1" applyBorder="1" applyAlignment="1">
      <alignment horizontal="center" vertical="top"/>
    </xf>
    <xf numFmtId="0" fontId="24" fillId="0" borderId="32" xfId="180" applyFont="1" applyFill="1" applyBorder="1" applyAlignment="1">
      <alignment horizontal="center" vertical="top"/>
    </xf>
    <xf numFmtId="0" fontId="24" fillId="0" borderId="10" xfId="180" applyFont="1" applyFill="1" applyBorder="1" applyAlignment="1">
      <alignment horizontal="center" vertical="top"/>
    </xf>
    <xf numFmtId="0" fontId="24" fillId="0" borderId="8" xfId="180" applyFont="1" applyFill="1" applyBorder="1" applyAlignment="1">
      <alignment horizontal="center" vertical="top"/>
    </xf>
    <xf numFmtId="0" fontId="24" fillId="0" borderId="9" xfId="180" applyFont="1" applyFill="1" applyBorder="1" applyAlignment="1">
      <alignment horizontal="center" vertical="top"/>
    </xf>
    <xf numFmtId="0" fontId="24" fillId="0" borderId="37" xfId="180" applyFont="1" applyFill="1" applyBorder="1" applyAlignment="1">
      <alignment horizontal="center" vertical="top"/>
    </xf>
    <xf numFmtId="166" fontId="24" fillId="0" borderId="66" xfId="180" applyNumberFormat="1" applyFont="1" applyFill="1" applyBorder="1" applyAlignment="1">
      <alignment horizontal="center"/>
    </xf>
    <xf numFmtId="166" fontId="24" fillId="0" borderId="14" xfId="180" applyNumberFormat="1" applyFont="1" applyFill="1" applyBorder="1" applyAlignment="1">
      <alignment horizontal="center"/>
    </xf>
    <xf numFmtId="0" fontId="24" fillId="0" borderId="5" xfId="180" applyFont="1" applyFill="1" applyBorder="1" applyAlignment="1">
      <alignment horizontal="center"/>
    </xf>
    <xf numFmtId="0" fontId="24" fillId="0" borderId="7" xfId="180" applyFont="1" applyFill="1" applyBorder="1" applyAlignment="1">
      <alignment horizontal="center"/>
    </xf>
    <xf numFmtId="0" fontId="24" fillId="0" borderId="37" xfId="180" applyFont="1" applyFill="1" applyBorder="1" applyAlignment="1">
      <alignment horizontal="center"/>
    </xf>
    <xf numFmtId="166" fontId="24" fillId="0" borderId="78" xfId="180" applyNumberFormat="1" applyFont="1" applyFill="1" applyBorder="1" applyAlignment="1">
      <alignment horizontal="center"/>
    </xf>
    <xf numFmtId="166" fontId="24" fillId="0" borderId="49" xfId="180" applyNumberFormat="1" applyFont="1" applyFill="1" applyBorder="1" applyAlignment="1">
      <alignment horizontal="center"/>
    </xf>
    <xf numFmtId="0" fontId="24" fillId="0" borderId="109" xfId="180" applyFont="1" applyFill="1" applyBorder="1" applyAlignment="1">
      <alignment horizontal="center"/>
    </xf>
    <xf numFmtId="0" fontId="24" fillId="0" borderId="108" xfId="180" applyFont="1" applyFill="1" applyBorder="1" applyAlignment="1">
      <alignment horizontal="center"/>
    </xf>
    <xf numFmtId="0" fontId="24" fillId="0" borderId="41" xfId="180" applyFont="1" applyFill="1" applyBorder="1" applyAlignment="1">
      <alignment horizontal="center"/>
    </xf>
    <xf numFmtId="0" fontId="67" fillId="39" borderId="28" xfId="180" applyFont="1" applyFill="1" applyBorder="1" applyAlignment="1">
      <alignment horizontal="center"/>
    </xf>
    <xf numFmtId="0" fontId="67" fillId="39" borderId="73" xfId="180" applyFont="1" applyFill="1" applyBorder="1" applyAlignment="1">
      <alignment horizontal="center"/>
    </xf>
    <xf numFmtId="0" fontId="24" fillId="0" borderId="73" xfId="180" applyFont="1" applyFill="1" applyBorder="1" applyAlignment="1">
      <alignment horizontal="center" vertical="top"/>
    </xf>
    <xf numFmtId="0" fontId="24" fillId="0" borderId="74" xfId="180" applyFont="1" applyFill="1" applyBorder="1" applyAlignment="1">
      <alignment horizontal="center" vertical="top"/>
    </xf>
    <xf numFmtId="0" fontId="41" fillId="0" borderId="239" xfId="180" applyFont="1" applyFill="1" applyBorder="1" applyAlignment="1">
      <alignment horizontal="center" vertical="top" wrapText="1"/>
    </xf>
    <xf numFmtId="0" fontId="41" fillId="0" borderId="240" xfId="180" applyFont="1" applyFill="1" applyBorder="1" applyAlignment="1">
      <alignment horizontal="center" vertical="top" wrapText="1"/>
    </xf>
    <xf numFmtId="0" fontId="41" fillId="0" borderId="23" xfId="180" applyFont="1" applyFill="1" applyBorder="1" applyAlignment="1">
      <alignment horizontal="center" vertical="top" wrapText="1"/>
    </xf>
    <xf numFmtId="0" fontId="40" fillId="0" borderId="62" xfId="180" applyFont="1" applyFill="1" applyBorder="1" applyAlignment="1">
      <alignment horizontal="center" vertical="top" wrapText="1"/>
    </xf>
    <xf numFmtId="0" fontId="40" fillId="0" borderId="44" xfId="180" applyFont="1" applyFill="1" applyBorder="1" applyAlignment="1">
      <alignment horizontal="center" vertical="top" wrapText="1"/>
    </xf>
    <xf numFmtId="0" fontId="40" fillId="0" borderId="65" xfId="180" applyFont="1" applyFill="1" applyBorder="1" applyAlignment="1">
      <alignment horizontal="center" vertical="top" wrapText="1"/>
    </xf>
    <xf numFmtId="0" fontId="30" fillId="0" borderId="239" xfId="180" applyFont="1" applyFill="1" applyBorder="1" applyAlignment="1">
      <alignment horizontal="center" wrapText="1"/>
    </xf>
    <xf numFmtId="0" fontId="30" fillId="0" borderId="178" xfId="180" applyFont="1" applyFill="1" applyBorder="1" applyAlignment="1">
      <alignment horizontal="center" wrapText="1"/>
    </xf>
    <xf numFmtId="0" fontId="30" fillId="0" borderId="1" xfId="180" applyFont="1" applyFill="1" applyBorder="1" applyAlignment="1">
      <alignment horizontal="center" wrapText="1"/>
    </xf>
    <xf numFmtId="0" fontId="30" fillId="0" borderId="23" xfId="180" applyFont="1" applyFill="1" applyBorder="1" applyAlignment="1">
      <alignment horizontal="center" wrapText="1"/>
    </xf>
    <xf numFmtId="166" fontId="24" fillId="0" borderId="40" xfId="180" applyNumberFormat="1" applyFont="1" applyFill="1" applyBorder="1" applyAlignment="1">
      <alignment horizontal="center" vertical="center" textRotation="90" wrapText="1"/>
    </xf>
    <xf numFmtId="0" fontId="31" fillId="6" borderId="10" xfId="177" applyFont="1" applyFill="1" applyBorder="1" applyAlignment="1">
      <alignment horizontal="center"/>
    </xf>
    <xf numFmtId="0" fontId="31" fillId="6" borderId="8" xfId="177" applyFont="1" applyFill="1" applyBorder="1" applyAlignment="1">
      <alignment horizontal="center"/>
    </xf>
    <xf numFmtId="0" fontId="31" fillId="6" borderId="9" xfId="177" applyFont="1" applyFill="1" applyBorder="1" applyAlignment="1">
      <alignment horizontal="center"/>
    </xf>
    <xf numFmtId="0" fontId="99" fillId="0" borderId="10" xfId="177" applyFont="1" applyBorder="1" applyAlignment="1">
      <alignment horizontal="center"/>
    </xf>
    <xf numFmtId="0" fontId="99" fillId="0" borderId="8" xfId="177" applyFont="1" applyBorder="1" applyAlignment="1">
      <alignment horizontal="center"/>
    </xf>
    <xf numFmtId="0" fontId="111" fillId="6" borderId="33" xfId="177" applyFont="1" applyFill="1" applyBorder="1" applyAlignment="1">
      <alignment horizontal="center"/>
    </xf>
    <xf numFmtId="0" fontId="111" fillId="6" borderId="9" xfId="177" applyFont="1" applyFill="1" applyBorder="1" applyAlignment="1">
      <alignment horizontal="center"/>
    </xf>
    <xf numFmtId="0" fontId="111" fillId="0" borderId="33" xfId="177" applyFont="1" applyBorder="1" applyAlignment="1">
      <alignment horizontal="center"/>
    </xf>
    <xf numFmtId="0" fontId="111" fillId="0" borderId="8" xfId="177" applyFont="1" applyBorder="1" applyAlignment="1">
      <alignment horizontal="center"/>
    </xf>
    <xf numFmtId="0" fontId="111" fillId="0" borderId="9" xfId="177" applyFont="1" applyBorder="1" applyAlignment="1">
      <alignment horizontal="center"/>
    </xf>
    <xf numFmtId="0" fontId="111" fillId="6" borderId="8" xfId="177" applyFont="1" applyFill="1" applyBorder="1" applyAlignment="1">
      <alignment horizontal="center"/>
    </xf>
    <xf numFmtId="0" fontId="111" fillId="22" borderId="33" xfId="177" applyFont="1" applyFill="1" applyBorder="1" applyAlignment="1">
      <alignment horizontal="center"/>
    </xf>
    <xf numFmtId="0" fontId="111" fillId="22" borderId="8" xfId="177" applyFont="1" applyFill="1" applyBorder="1" applyAlignment="1">
      <alignment horizontal="center"/>
    </xf>
    <xf numFmtId="0" fontId="31" fillId="0" borderId="328" xfId="15" applyFont="1" applyBorder="1" applyAlignment="1">
      <alignment horizontal="left" vertical="top" wrapText="1"/>
    </xf>
    <xf numFmtId="0" fontId="31" fillId="0" borderId="333" xfId="15" applyFont="1" applyBorder="1" applyAlignment="1">
      <alignment horizontal="left" vertical="top" wrapText="1"/>
    </xf>
    <xf numFmtId="0" fontId="31" fillId="0" borderId="10" xfId="177" applyFont="1" applyBorder="1" applyAlignment="1">
      <alignment horizontal="center"/>
    </xf>
    <xf numFmtId="0" fontId="31" fillId="0" borderId="8" xfId="177" applyFont="1" applyBorder="1" applyAlignment="1">
      <alignment horizontal="center"/>
    </xf>
    <xf numFmtId="0" fontId="31" fillId="0" borderId="37" xfId="177" applyFont="1" applyBorder="1" applyAlignment="1">
      <alignment horizontal="center"/>
    </xf>
    <xf numFmtId="0" fontId="51" fillId="0" borderId="11" xfId="177" applyFont="1" applyBorder="1" applyAlignment="1">
      <alignment vertical="top" wrapText="1"/>
    </xf>
    <xf numFmtId="0" fontId="51" fillId="0" borderId="3" xfId="177" applyFont="1" applyBorder="1" applyAlignment="1">
      <alignment vertical="top" wrapText="1"/>
    </xf>
    <xf numFmtId="0" fontId="51" fillId="0" borderId="4" xfId="177" applyFont="1" applyBorder="1" applyAlignment="1">
      <alignment vertical="top" wrapText="1"/>
    </xf>
    <xf numFmtId="0" fontId="51" fillId="0" borderId="5" xfId="177" applyFont="1" applyBorder="1" applyAlignment="1">
      <alignment vertical="top" wrapText="1"/>
    </xf>
    <xf numFmtId="0" fontId="51" fillId="0" borderId="6" xfId="177" applyFont="1" applyBorder="1" applyAlignment="1">
      <alignment vertical="top" wrapText="1"/>
    </xf>
    <xf numFmtId="0" fontId="51" fillId="0" borderId="7" xfId="177" applyFont="1" applyBorder="1" applyAlignment="1">
      <alignment vertical="top" wrapText="1"/>
    </xf>
    <xf numFmtId="0" fontId="109" fillId="13" borderId="10" xfId="177" applyFont="1" applyFill="1" applyBorder="1" applyAlignment="1">
      <alignment horizontal="center"/>
    </xf>
    <xf numFmtId="0" fontId="109" fillId="13" borderId="8" xfId="177" applyFont="1" applyFill="1" applyBorder="1" applyAlignment="1">
      <alignment horizontal="center"/>
    </xf>
    <xf numFmtId="0" fontId="109" fillId="13" borderId="9" xfId="177" applyFont="1" applyFill="1" applyBorder="1" applyAlignment="1">
      <alignment horizontal="center"/>
    </xf>
    <xf numFmtId="0" fontId="133" fillId="6" borderId="0" xfId="15" applyFont="1" applyFill="1" applyAlignment="1">
      <alignment horizontal="left" vertical="top" wrapText="1"/>
    </xf>
    <xf numFmtId="0" fontId="31" fillId="0" borderId="10" xfId="15" applyFont="1" applyFill="1" applyBorder="1" applyAlignment="1">
      <alignment horizontal="left" vertical="top"/>
    </xf>
    <xf numFmtId="0" fontId="31" fillId="0" borderId="9" xfId="15" applyFont="1" applyFill="1" applyBorder="1" applyAlignment="1">
      <alignment horizontal="left" vertical="top"/>
    </xf>
    <xf numFmtId="0" fontId="111" fillId="0" borderId="33" xfId="177" applyFont="1" applyFill="1" applyBorder="1" applyAlignment="1">
      <alignment horizontal="center"/>
    </xf>
    <xf numFmtId="0" fontId="111" fillId="0" borderId="8" xfId="177" applyFont="1" applyFill="1" applyBorder="1" applyAlignment="1">
      <alignment horizontal="center"/>
    </xf>
    <xf numFmtId="0" fontId="111" fillId="0" borderId="9" xfId="177" applyFont="1" applyFill="1" applyBorder="1" applyAlignment="1">
      <alignment horizontal="center"/>
    </xf>
    <xf numFmtId="0" fontId="111" fillId="0" borderId="0" xfId="177" applyFont="1" applyBorder="1" applyAlignment="1">
      <alignment horizontal="center"/>
    </xf>
    <xf numFmtId="0" fontId="99" fillId="0" borderId="9" xfId="177" applyFont="1" applyBorder="1" applyAlignment="1">
      <alignment horizontal="center"/>
    </xf>
    <xf numFmtId="0" fontId="117" fillId="0" borderId="11" xfId="177" applyFont="1" applyBorder="1" applyAlignment="1">
      <alignment vertical="top" wrapText="1"/>
    </xf>
    <xf numFmtId="2" fontId="109" fillId="13" borderId="10" xfId="177" applyNumberFormat="1" applyFont="1" applyFill="1" applyBorder="1" applyAlignment="1">
      <alignment horizontal="center"/>
    </xf>
    <xf numFmtId="2" fontId="109" fillId="13" borderId="8" xfId="177" applyNumberFormat="1" applyFont="1" applyFill="1" applyBorder="1" applyAlignment="1">
      <alignment horizontal="center"/>
    </xf>
    <xf numFmtId="2" fontId="100" fillId="6" borderId="0" xfId="177" applyNumberFormat="1" applyFont="1" applyFill="1" applyAlignment="1">
      <alignment horizontal="left"/>
    </xf>
    <xf numFmtId="0" fontId="0" fillId="6" borderId="0" xfId="0" applyFill="1" applyAlignment="1"/>
    <xf numFmtId="0" fontId="31" fillId="0" borderId="68" xfId="15" applyFont="1" applyBorder="1" applyAlignment="1">
      <alignment vertical="top" wrapText="1"/>
    </xf>
    <xf numFmtId="0" fontId="31" fillId="0" borderId="72" xfId="15" applyFont="1" applyBorder="1" applyAlignment="1">
      <alignment vertical="top" wrapText="1"/>
    </xf>
    <xf numFmtId="0" fontId="31" fillId="6" borderId="68" xfId="15" applyFont="1" applyFill="1" applyBorder="1" applyAlignment="1">
      <alignment vertical="top" wrapText="1"/>
    </xf>
    <xf numFmtId="0" fontId="31" fillId="6" borderId="72" xfId="15" applyFont="1" applyFill="1" applyBorder="1" applyAlignment="1">
      <alignment vertical="top" wrapText="1"/>
    </xf>
    <xf numFmtId="0" fontId="31" fillId="0" borderId="328" xfId="15" applyFont="1" applyBorder="1" applyAlignment="1">
      <alignment horizontal="right" vertical="top" wrapText="1"/>
    </xf>
    <xf numFmtId="0" fontId="31" fillId="0" borderId="399" xfId="15" applyFont="1" applyBorder="1" applyAlignment="1">
      <alignment horizontal="right" vertical="top" wrapText="1"/>
    </xf>
    <xf numFmtId="0" fontId="117" fillId="6" borderId="0" xfId="15" applyFont="1" applyFill="1" applyAlignment="1">
      <alignment horizontal="left" vertical="top" wrapText="1"/>
    </xf>
    <xf numFmtId="0" fontId="25" fillId="0" borderId="51" xfId="15" applyFont="1" applyBorder="1" applyAlignment="1">
      <alignment horizontal="left" vertical="top" wrapText="1"/>
    </xf>
    <xf numFmtId="0" fontId="25" fillId="0" borderId="20" xfId="15" applyFont="1" applyBorder="1" applyAlignment="1">
      <alignment horizontal="left" vertical="top" wrapText="1"/>
    </xf>
    <xf numFmtId="0" fontId="25" fillId="0" borderId="34" xfId="15" applyFont="1" applyBorder="1" applyAlignment="1">
      <alignment horizontal="left" vertical="top" wrapText="1"/>
    </xf>
    <xf numFmtId="0" fontId="25" fillId="0" borderId="1" xfId="15" applyFont="1" applyBorder="1" applyAlignment="1">
      <alignment horizontal="left" vertical="top" wrapText="1"/>
    </xf>
    <xf numFmtId="0" fontId="25" fillId="0" borderId="0" xfId="15" applyFont="1" applyBorder="1" applyAlignment="1">
      <alignment horizontal="left" vertical="top" wrapText="1"/>
    </xf>
    <xf numFmtId="0" fontId="25" fillId="0" borderId="2" xfId="15" applyFont="1" applyBorder="1" applyAlignment="1">
      <alignment horizontal="left" vertical="top" wrapText="1"/>
    </xf>
    <xf numFmtId="0" fontId="67" fillId="13" borderId="10" xfId="0" applyFont="1" applyFill="1" applyBorder="1" applyAlignment="1">
      <alignment horizontal="center"/>
    </xf>
    <xf numFmtId="0" fontId="67" fillId="13" borderId="8" xfId="0" applyFont="1" applyFill="1" applyBorder="1" applyAlignment="1">
      <alignment horizontal="center"/>
    </xf>
    <xf numFmtId="0" fontId="67" fillId="13" borderId="37" xfId="0" applyFont="1" applyFill="1" applyBorder="1" applyAlignment="1">
      <alignment horizontal="center"/>
    </xf>
    <xf numFmtId="0" fontId="67" fillId="13" borderId="9" xfId="0" applyFont="1" applyFill="1" applyBorder="1" applyAlignment="1">
      <alignment horizontal="center"/>
    </xf>
    <xf numFmtId="0" fontId="25" fillId="0" borderId="19" xfId="2" applyFont="1" applyFill="1" applyBorder="1" applyAlignment="1">
      <alignment horizontal="left" vertical="top" wrapText="1"/>
    </xf>
    <xf numFmtId="0" fontId="25" fillId="0" borderId="24" xfId="2" applyFont="1" applyFill="1" applyBorder="1" applyAlignment="1">
      <alignment horizontal="left" vertical="top" wrapText="1"/>
    </xf>
    <xf numFmtId="0" fontId="24" fillId="0" borderId="21" xfId="2" applyFont="1" applyFill="1" applyBorder="1" applyAlignment="1">
      <alignment horizontal="left" vertical="top" wrapText="1"/>
    </xf>
    <xf numFmtId="0" fontId="24" fillId="0" borderId="23" xfId="2" applyFont="1" applyFill="1" applyBorder="1" applyAlignment="1">
      <alignment horizontal="left" vertical="top" wrapText="1"/>
    </xf>
    <xf numFmtId="0" fontId="67" fillId="13" borderId="42" xfId="0" applyFont="1" applyFill="1" applyBorder="1" applyAlignment="1">
      <alignment horizontal="center"/>
    </xf>
    <xf numFmtId="0" fontId="25" fillId="6" borderId="19" xfId="15" applyFont="1" applyFill="1" applyBorder="1" applyAlignment="1">
      <alignment horizontal="left" vertical="top" wrapText="1"/>
    </xf>
    <xf numFmtId="0" fontId="25" fillId="6" borderId="20" xfId="15" applyFont="1" applyFill="1" applyBorder="1" applyAlignment="1">
      <alignment horizontal="left" vertical="top" wrapText="1"/>
    </xf>
    <xf numFmtId="0" fontId="25" fillId="6" borderId="34" xfId="15" applyFont="1" applyFill="1" applyBorder="1" applyAlignment="1">
      <alignment horizontal="left" vertical="top" wrapText="1"/>
    </xf>
    <xf numFmtId="0" fontId="25" fillId="6" borderId="21" xfId="15" applyFont="1" applyFill="1" applyBorder="1" applyAlignment="1">
      <alignment horizontal="left" vertical="top" wrapText="1"/>
    </xf>
    <xf numFmtId="0" fontId="25" fillId="6" borderId="26" xfId="15" applyFont="1" applyFill="1" applyBorder="1" applyAlignment="1">
      <alignment horizontal="left" vertical="top" wrapText="1"/>
    </xf>
    <xf numFmtId="0" fontId="25" fillId="6" borderId="6" xfId="15" applyFont="1" applyFill="1" applyBorder="1" applyAlignment="1">
      <alignment horizontal="left" vertical="top" wrapText="1"/>
    </xf>
    <xf numFmtId="0" fontId="25" fillId="6" borderId="7" xfId="15" applyFont="1" applyFill="1" applyBorder="1" applyAlignment="1">
      <alignment horizontal="left" vertical="top" wrapText="1"/>
    </xf>
    <xf numFmtId="0" fontId="25" fillId="0" borderId="24" xfId="15" applyFont="1" applyBorder="1" applyAlignment="1">
      <alignment horizontal="left" vertical="top" wrapText="1"/>
    </xf>
    <xf numFmtId="0" fontId="25" fillId="0" borderId="23" xfId="15" applyFont="1" applyBorder="1" applyAlignment="1">
      <alignment horizontal="left" vertical="top" wrapText="1"/>
    </xf>
    <xf numFmtId="0" fontId="25" fillId="6" borderId="51" xfId="15" applyFont="1" applyFill="1" applyBorder="1" applyAlignment="1">
      <alignment horizontal="left" vertical="top" wrapText="1"/>
    </xf>
    <xf numFmtId="0" fontId="117" fillId="0" borderId="8" xfId="177" applyFont="1" applyBorder="1" applyAlignment="1">
      <alignment horizontal="center" vertical="top" wrapText="1"/>
    </xf>
    <xf numFmtId="0" fontId="32" fillId="0" borderId="0" xfId="15" applyFont="1" applyAlignment="1">
      <alignment horizontal="center" wrapText="1"/>
    </xf>
    <xf numFmtId="0" fontId="51" fillId="0" borderId="10" xfId="177" applyFont="1" applyBorder="1" applyAlignment="1">
      <alignment horizontal="center"/>
    </xf>
    <xf numFmtId="0" fontId="51" fillId="0" borderId="8" xfId="177" applyFont="1" applyBorder="1" applyAlignment="1">
      <alignment horizontal="center"/>
    </xf>
    <xf numFmtId="0" fontId="51" fillId="0" borderId="9" xfId="177" applyFont="1" applyBorder="1" applyAlignment="1">
      <alignment horizontal="center"/>
    </xf>
    <xf numFmtId="0" fontId="31" fillId="0" borderId="331" xfId="15" applyFont="1" applyBorder="1" applyAlignment="1">
      <alignment horizontal="left" vertical="top" wrapText="1"/>
    </xf>
    <xf numFmtId="0" fontId="30" fillId="0" borderId="10" xfId="15" applyFont="1" applyBorder="1" applyAlignment="1">
      <alignment horizontal="left" vertical="top" wrapText="1"/>
    </xf>
    <xf numFmtId="0" fontId="30" fillId="0" borderId="8" xfId="15" applyFont="1" applyBorder="1" applyAlignment="1">
      <alignment horizontal="left" vertical="top" wrapText="1"/>
    </xf>
    <xf numFmtId="0" fontId="109" fillId="0" borderId="8" xfId="177" applyFont="1" applyFill="1" applyBorder="1" applyAlignment="1">
      <alignment horizontal="center"/>
    </xf>
    <xf numFmtId="0" fontId="100" fillId="0" borderId="3" xfId="177" applyFont="1" applyBorder="1" applyAlignment="1">
      <alignment vertical="top" wrapText="1"/>
    </xf>
    <xf numFmtId="0" fontId="100" fillId="0" borderId="0" xfId="177" applyFont="1" applyBorder="1" applyAlignment="1">
      <alignment vertical="top" wrapText="1"/>
    </xf>
    <xf numFmtId="0" fontId="40" fillId="6" borderId="0" xfId="15" applyFont="1" applyFill="1" applyAlignment="1">
      <alignment horizontal="left" vertical="top" wrapText="1"/>
    </xf>
    <xf numFmtId="0" fontId="109" fillId="13" borderId="0" xfId="177" quotePrefix="1" applyFont="1" applyFill="1" applyAlignment="1">
      <alignment horizontal="left"/>
    </xf>
    <xf numFmtId="0" fontId="109" fillId="0" borderId="5" xfId="177" applyFont="1" applyBorder="1" applyAlignment="1">
      <alignment horizontal="center"/>
    </xf>
    <xf numFmtId="0" fontId="109" fillId="0" borderId="6" xfId="177" applyFont="1" applyBorder="1" applyAlignment="1">
      <alignment horizontal="center"/>
    </xf>
    <xf numFmtId="0" fontId="51" fillId="0" borderId="239" xfId="177" applyFont="1" applyBorder="1" applyAlignment="1">
      <alignment horizontal="center" vertical="top" wrapText="1"/>
    </xf>
    <xf numFmtId="0" fontId="51" fillId="0" borderId="242" xfId="177" applyFont="1" applyBorder="1" applyAlignment="1">
      <alignment horizontal="center" vertical="top" wrapText="1"/>
    </xf>
    <xf numFmtId="0" fontId="51" fillId="0" borderId="240" xfId="177" applyFont="1" applyBorder="1" applyAlignment="1">
      <alignment horizontal="center" vertical="top" wrapText="1"/>
    </xf>
    <xf numFmtId="0" fontId="51" fillId="0" borderId="1" xfId="177" applyFont="1" applyBorder="1" applyAlignment="1">
      <alignment horizontal="center" vertical="top" wrapText="1"/>
    </xf>
    <xf numFmtId="0" fontId="51" fillId="0" borderId="0" xfId="177" applyFont="1" applyBorder="1" applyAlignment="1">
      <alignment horizontal="center" vertical="top" wrapText="1"/>
    </xf>
    <xf numFmtId="0" fontId="51" fillId="0" borderId="2" xfId="177" applyFont="1" applyBorder="1" applyAlignment="1">
      <alignment horizontal="center" vertical="top" wrapText="1"/>
    </xf>
    <xf numFmtId="0" fontId="31" fillId="0" borderId="85" xfId="15" applyFont="1" applyBorder="1" applyAlignment="1">
      <alignment horizontal="left" vertical="top" wrapText="1"/>
    </xf>
    <xf numFmtId="0" fontId="31" fillId="0" borderId="245" xfId="15" applyFont="1" applyBorder="1" applyAlignment="1">
      <alignment horizontal="left" vertical="top" wrapText="1"/>
    </xf>
    <xf numFmtId="0" fontId="31" fillId="0" borderId="48" xfId="15" applyFont="1" applyBorder="1" applyAlignment="1">
      <alignment horizontal="left" vertical="top" wrapText="1"/>
    </xf>
    <xf numFmtId="0" fontId="20" fillId="0" borderId="10" xfId="15" applyFont="1" applyBorder="1" applyAlignment="1">
      <alignment horizontal="center" vertical="top"/>
    </xf>
    <xf numFmtId="0" fontId="20" fillId="0" borderId="8" xfId="15" applyFont="1" applyBorder="1" applyAlignment="1">
      <alignment horizontal="center" vertical="top"/>
    </xf>
    <xf numFmtId="0" fontId="20" fillId="0" borderId="9" xfId="15" applyFont="1" applyBorder="1" applyAlignment="1">
      <alignment horizontal="center" vertical="top"/>
    </xf>
    <xf numFmtId="0" fontId="98" fillId="0" borderId="10" xfId="177" applyFont="1" applyBorder="1" applyAlignment="1">
      <alignment horizontal="center"/>
    </xf>
    <xf numFmtId="0" fontId="98" fillId="0" borderId="8" xfId="177" applyFont="1" applyBorder="1" applyAlignment="1">
      <alignment horizontal="center"/>
    </xf>
    <xf numFmtId="0" fontId="98" fillId="0" borderId="9" xfId="177" applyFont="1" applyBorder="1" applyAlignment="1">
      <alignment horizontal="center"/>
    </xf>
    <xf numFmtId="0" fontId="31" fillId="6" borderId="85" xfId="15" applyFont="1" applyFill="1" applyBorder="1" applyAlignment="1">
      <alignment horizontal="left" vertical="top" wrapText="1"/>
    </xf>
    <xf numFmtId="0" fontId="31" fillId="6" borderId="245" xfId="15" applyFont="1" applyFill="1" applyBorder="1" applyAlignment="1">
      <alignment horizontal="left" vertical="top" wrapText="1"/>
    </xf>
    <xf numFmtId="0" fontId="32" fillId="6" borderId="0" xfId="15" applyFont="1" applyFill="1" applyAlignment="1">
      <alignment horizontal="left" vertical="top" wrapText="1"/>
    </xf>
    <xf numFmtId="0" fontId="111" fillId="0" borderId="10" xfId="177" applyFont="1" applyBorder="1" applyAlignment="1">
      <alignment horizontal="center"/>
    </xf>
    <xf numFmtId="0" fontId="24" fillId="0" borderId="1" xfId="2" applyFont="1" applyFill="1" applyBorder="1" applyAlignment="1">
      <alignment horizontal="center" vertical="center" wrapText="1"/>
    </xf>
    <xf numFmtId="0" fontId="24" fillId="0" borderId="0" xfId="2" applyFont="1" applyFill="1" applyBorder="1" applyAlignment="1">
      <alignment horizontal="center" vertical="center" wrapText="1"/>
    </xf>
    <xf numFmtId="0" fontId="24" fillId="0" borderId="2" xfId="2" applyFont="1" applyFill="1" applyBorder="1" applyAlignment="1">
      <alignment horizontal="center" vertical="center" wrapText="1"/>
    </xf>
    <xf numFmtId="0" fontId="25" fillId="6" borderId="0" xfId="2" applyFont="1" applyFill="1" applyBorder="1" applyAlignment="1">
      <alignment horizontal="left" vertical="top" wrapText="1"/>
    </xf>
    <xf numFmtId="0" fontId="25" fillId="6" borderId="6" xfId="2" applyFont="1" applyFill="1" applyBorder="1" applyAlignment="1">
      <alignment horizontal="left" vertical="top" wrapText="1"/>
    </xf>
    <xf numFmtId="0" fontId="117" fillId="0" borderId="239" xfId="177" applyFont="1" applyBorder="1" applyAlignment="1">
      <alignment horizontal="left" vertical="top" wrapText="1"/>
    </xf>
    <xf numFmtId="0" fontId="117" fillId="0" borderId="242" xfId="177" applyFont="1" applyBorder="1" applyAlignment="1">
      <alignment horizontal="left" vertical="top" wrapText="1"/>
    </xf>
    <xf numFmtId="0" fontId="117" fillId="0" borderId="240" xfId="177" applyFont="1" applyBorder="1" applyAlignment="1">
      <alignment horizontal="left" vertical="top" wrapText="1"/>
    </xf>
    <xf numFmtId="0" fontId="117" fillId="0" borderId="1" xfId="177" applyFont="1" applyBorder="1" applyAlignment="1">
      <alignment horizontal="left" vertical="top" wrapText="1"/>
    </xf>
    <xf numFmtId="0" fontId="117" fillId="0" borderId="0" xfId="177" applyFont="1" applyBorder="1" applyAlignment="1">
      <alignment horizontal="left" vertical="top" wrapText="1"/>
    </xf>
    <xf numFmtId="0" fontId="117" fillId="0" borderId="2" xfId="177" applyFont="1" applyBorder="1" applyAlignment="1">
      <alignment horizontal="left" vertical="top" wrapText="1"/>
    </xf>
    <xf numFmtId="0" fontId="51" fillId="0" borderId="11" xfId="15" applyFont="1" applyFill="1" applyBorder="1" applyAlignment="1">
      <alignment horizontal="left" vertical="top" wrapText="1"/>
    </xf>
    <xf numFmtId="0" fontId="51" fillId="0" borderId="3" xfId="15" applyFont="1" applyFill="1" applyBorder="1" applyAlignment="1">
      <alignment horizontal="left" vertical="top" wrapText="1"/>
    </xf>
    <xf numFmtId="0" fontId="51" fillId="0" borderId="4" xfId="15" applyFont="1" applyFill="1" applyBorder="1" applyAlignment="1">
      <alignment horizontal="left" vertical="top" wrapText="1"/>
    </xf>
    <xf numFmtId="0" fontId="51" fillId="0" borderId="1" xfId="15" applyFont="1" applyFill="1" applyBorder="1" applyAlignment="1">
      <alignment horizontal="left" vertical="top" wrapText="1"/>
    </xf>
    <xf numFmtId="0" fontId="51" fillId="0" borderId="0" xfId="15" applyFont="1" applyFill="1" applyBorder="1" applyAlignment="1">
      <alignment horizontal="left" vertical="top" wrapText="1"/>
    </xf>
    <xf numFmtId="0" fontId="51" fillId="0" borderId="2" xfId="15" applyFont="1" applyFill="1" applyBorder="1" applyAlignment="1">
      <alignment horizontal="left" vertical="top" wrapText="1"/>
    </xf>
    <xf numFmtId="0" fontId="24" fillId="0" borderId="11" xfId="15" applyFont="1" applyFill="1" applyBorder="1" applyAlignment="1">
      <alignment horizontal="left" vertical="top" wrapText="1"/>
    </xf>
    <xf numFmtId="0" fontId="24" fillId="0" borderId="3" xfId="15" applyFont="1" applyFill="1" applyBorder="1" applyAlignment="1">
      <alignment horizontal="left" vertical="top" wrapText="1"/>
    </xf>
    <xf numFmtId="0" fontId="24" fillId="0" borderId="4" xfId="15" applyFont="1" applyFill="1" applyBorder="1" applyAlignment="1">
      <alignment horizontal="left" vertical="top" wrapText="1"/>
    </xf>
    <xf numFmtId="0" fontId="24" fillId="0" borderId="11" xfId="15" applyFont="1" applyBorder="1" applyAlignment="1">
      <alignment horizontal="left" vertical="top" wrapText="1"/>
    </xf>
    <xf numFmtId="0" fontId="24" fillId="0" borderId="3" xfId="15" applyFont="1" applyBorder="1" applyAlignment="1">
      <alignment horizontal="left" vertical="top" wrapText="1"/>
    </xf>
    <xf numFmtId="0" fontId="24" fillId="0" borderId="4" xfId="15" applyFont="1" applyBorder="1" applyAlignment="1">
      <alignment horizontal="left" vertical="top" wrapText="1"/>
    </xf>
    <xf numFmtId="0" fontId="24" fillId="0" borderId="1" xfId="15" applyFont="1" applyBorder="1" applyAlignment="1">
      <alignment horizontal="left" vertical="top" wrapText="1"/>
    </xf>
    <xf numFmtId="0" fontId="24" fillId="0" borderId="0" xfId="15" applyFont="1" applyBorder="1" applyAlignment="1">
      <alignment horizontal="left" vertical="top" wrapText="1"/>
    </xf>
    <xf numFmtId="0" fontId="24" fillId="0" borderId="2" xfId="15" applyFont="1" applyBorder="1" applyAlignment="1">
      <alignment horizontal="left" vertical="top" wrapText="1"/>
    </xf>
    <xf numFmtId="2" fontId="67" fillId="13" borderId="10" xfId="0" applyNumberFormat="1" applyFont="1" applyFill="1" applyBorder="1" applyAlignment="1">
      <alignment horizontal="center"/>
    </xf>
    <xf numFmtId="2" fontId="67" fillId="13" borderId="8" xfId="0" applyNumberFormat="1" applyFont="1" applyFill="1" applyBorder="1" applyAlignment="1">
      <alignment horizontal="center"/>
    </xf>
    <xf numFmtId="2" fontId="67" fillId="13" borderId="9" xfId="0" applyNumberFormat="1" applyFont="1" applyFill="1" applyBorder="1" applyAlignment="1">
      <alignment horizontal="center"/>
    </xf>
    <xf numFmtId="0" fontId="24" fillId="0" borderId="239" xfId="15" applyFont="1" applyBorder="1" applyAlignment="1">
      <alignment horizontal="left" vertical="top" wrapText="1"/>
    </xf>
    <xf numFmtId="0" fontId="24" fillId="0" borderId="111" xfId="15" applyFont="1" applyBorder="1" applyAlignment="1">
      <alignment horizontal="left" vertical="top" wrapText="1"/>
    </xf>
    <xf numFmtId="0" fontId="24" fillId="0" borderId="112" xfId="15" applyFont="1" applyBorder="1" applyAlignment="1">
      <alignment horizontal="left" vertical="top" wrapText="1"/>
    </xf>
    <xf numFmtId="0" fontId="24" fillId="0" borderId="5" xfId="15" applyFont="1" applyBorder="1" applyAlignment="1">
      <alignment horizontal="left" vertical="top" wrapText="1"/>
    </xf>
    <xf numFmtId="0" fontId="24" fillId="0" borderId="6" xfId="15" applyFont="1" applyBorder="1" applyAlignment="1">
      <alignment horizontal="left" vertical="top" wrapText="1"/>
    </xf>
    <xf numFmtId="0" fontId="24" fillId="0" borderId="7" xfId="15" applyFont="1" applyBorder="1" applyAlignment="1">
      <alignment horizontal="left" vertical="top" wrapText="1"/>
    </xf>
    <xf numFmtId="0" fontId="51" fillId="0" borderId="11" xfId="15" applyFont="1" applyBorder="1" applyAlignment="1">
      <alignment horizontal="left" vertical="top" wrapText="1"/>
    </xf>
    <xf numFmtId="0" fontId="51" fillId="0" borderId="3" xfId="15" applyFont="1" applyBorder="1" applyAlignment="1">
      <alignment horizontal="left" vertical="top" wrapText="1"/>
    </xf>
    <xf numFmtId="0" fontId="51" fillId="0" borderId="4" xfId="15" applyFont="1" applyBorder="1" applyAlignment="1">
      <alignment horizontal="left" vertical="top" wrapText="1"/>
    </xf>
    <xf numFmtId="0" fontId="51" fillId="0" borderId="1" xfId="15" applyFont="1" applyBorder="1" applyAlignment="1">
      <alignment horizontal="left" vertical="top" wrapText="1"/>
    </xf>
    <xf numFmtId="0" fontId="51" fillId="0" borderId="0" xfId="15" applyFont="1" applyBorder="1" applyAlignment="1">
      <alignment horizontal="left" vertical="top" wrapText="1"/>
    </xf>
    <xf numFmtId="0" fontId="51" fillId="0" borderId="2" xfId="15" applyFont="1" applyBorder="1" applyAlignment="1">
      <alignment horizontal="left" vertical="top" wrapText="1"/>
    </xf>
    <xf numFmtId="0" fontId="24" fillId="0" borderId="283" xfId="180" applyFont="1" applyBorder="1" applyAlignment="1">
      <alignment horizontal="center"/>
    </xf>
    <xf numFmtId="0" fontId="24" fillId="0" borderId="143" xfId="180" applyFont="1" applyBorder="1" applyAlignment="1">
      <alignment horizontal="center"/>
    </xf>
    <xf numFmtId="0" fontId="24" fillId="0" borderId="37" xfId="180" applyFont="1" applyBorder="1" applyAlignment="1">
      <alignment horizontal="center"/>
    </xf>
    <xf numFmtId="166" fontId="40" fillId="13" borderId="51" xfId="180" applyNumberFormat="1" applyFont="1" applyFill="1" applyBorder="1" applyAlignment="1">
      <alignment horizontal="center"/>
    </xf>
    <xf numFmtId="166" fontId="40" fillId="13" borderId="20" xfId="180" applyNumberFormat="1" applyFont="1" applyFill="1" applyBorder="1" applyAlignment="1">
      <alignment horizontal="center"/>
    </xf>
    <xf numFmtId="166" fontId="40" fillId="13" borderId="34" xfId="180" applyNumberFormat="1" applyFont="1" applyFill="1" applyBorder="1" applyAlignment="1">
      <alignment horizontal="center"/>
    </xf>
    <xf numFmtId="166" fontId="40" fillId="13" borderId="284" xfId="180" applyNumberFormat="1" applyFont="1" applyFill="1" applyBorder="1" applyAlignment="1">
      <alignment horizontal="center"/>
    </xf>
    <xf numFmtId="166" fontId="40" fillId="13" borderId="24" xfId="180" applyNumberFormat="1" applyFont="1" applyFill="1" applyBorder="1" applyAlignment="1">
      <alignment horizontal="center"/>
    </xf>
    <xf numFmtId="0" fontId="24" fillId="0" borderId="36" xfId="180" applyFont="1" applyBorder="1" applyAlignment="1">
      <alignment horizontal="center"/>
    </xf>
    <xf numFmtId="0" fontId="24" fillId="0" borderId="30" xfId="180" applyFont="1" applyBorder="1" applyAlignment="1">
      <alignment horizontal="center"/>
    </xf>
    <xf numFmtId="0" fontId="24" fillId="0" borderId="35" xfId="180" applyFont="1" applyBorder="1" applyAlignment="1">
      <alignment horizontal="center"/>
    </xf>
    <xf numFmtId="0" fontId="24" fillId="0" borderId="282" xfId="180" applyFont="1" applyBorder="1" applyAlignment="1">
      <alignment horizontal="center"/>
    </xf>
    <xf numFmtId="0" fontId="24" fillId="0" borderId="32" xfId="180" applyFont="1" applyBorder="1" applyAlignment="1">
      <alignment horizontal="center"/>
    </xf>
    <xf numFmtId="0" fontId="24" fillId="0" borderId="420" xfId="180" applyFont="1" applyFill="1" applyBorder="1" applyAlignment="1">
      <alignment horizontal="center" wrapText="1"/>
    </xf>
    <xf numFmtId="0" fontId="24" fillId="0" borderId="400" xfId="180" applyFont="1" applyFill="1" applyBorder="1" applyAlignment="1">
      <alignment horizontal="center" wrapText="1"/>
    </xf>
    <xf numFmtId="0" fontId="24" fillId="6" borderId="10" xfId="180" applyFont="1" applyFill="1" applyBorder="1" applyAlignment="1">
      <alignment horizontal="center" vertical="center"/>
    </xf>
    <xf numFmtId="0" fontId="24" fillId="6" borderId="8" xfId="180" applyFont="1" applyFill="1" applyBorder="1" applyAlignment="1">
      <alignment horizontal="center" vertical="center"/>
    </xf>
    <xf numFmtId="0" fontId="24" fillId="6" borderId="9" xfId="180" applyFont="1" applyFill="1" applyBorder="1" applyAlignment="1">
      <alignment horizontal="center" vertical="center"/>
    </xf>
    <xf numFmtId="166" fontId="24" fillId="0" borderId="66" xfId="180" applyNumberFormat="1" applyFont="1" applyFill="1" applyBorder="1" applyAlignment="1">
      <alignment horizontal="center" vertical="center" textRotation="90"/>
    </xf>
    <xf numFmtId="166" fontId="24" fillId="0" borderId="78" xfId="180" applyNumberFormat="1" applyFont="1" applyFill="1" applyBorder="1" applyAlignment="1">
      <alignment horizontal="center" vertical="center" textRotation="90"/>
    </xf>
    <xf numFmtId="0" fontId="24" fillId="0" borderId="239" xfId="180" applyFont="1" applyFill="1" applyBorder="1" applyAlignment="1">
      <alignment horizontal="center"/>
    </xf>
    <xf numFmtId="0" fontId="24" fillId="0" borderId="242" xfId="180" applyFont="1" applyFill="1" applyBorder="1" applyAlignment="1">
      <alignment horizontal="center"/>
    </xf>
    <xf numFmtId="0" fontId="24" fillId="0" borderId="240" xfId="180" applyFont="1" applyFill="1" applyBorder="1" applyAlignment="1">
      <alignment horizontal="center"/>
    </xf>
    <xf numFmtId="0" fontId="24" fillId="0" borderId="1" xfId="180" applyFont="1" applyFill="1" applyBorder="1" applyAlignment="1">
      <alignment horizontal="center"/>
    </xf>
    <xf numFmtId="0" fontId="24" fillId="0" borderId="0" xfId="180" applyFont="1" applyFill="1" applyBorder="1" applyAlignment="1">
      <alignment horizontal="center"/>
    </xf>
    <xf numFmtId="0" fontId="24" fillId="0" borderId="2" xfId="180" applyFont="1" applyFill="1" applyBorder="1" applyAlignment="1">
      <alignment horizontal="center"/>
    </xf>
    <xf numFmtId="0" fontId="24" fillId="0" borderId="97" xfId="180" applyFont="1" applyFill="1" applyBorder="1" applyAlignment="1">
      <alignment horizontal="center"/>
    </xf>
    <xf numFmtId="0" fontId="25" fillId="0" borderId="10" xfId="180" applyFont="1" applyFill="1" applyBorder="1" applyAlignment="1">
      <alignment horizontal="center"/>
    </xf>
    <xf numFmtId="0" fontId="25" fillId="0" borderId="8" xfId="180" applyFont="1" applyFill="1" applyBorder="1" applyAlignment="1">
      <alignment horizontal="center"/>
    </xf>
    <xf numFmtId="0" fontId="25" fillId="0" borderId="143" xfId="180" applyFont="1" applyFill="1" applyBorder="1" applyAlignment="1">
      <alignment horizontal="center"/>
    </xf>
    <xf numFmtId="0" fontId="25" fillId="0" borderId="37" xfId="180" applyFont="1" applyFill="1" applyBorder="1" applyAlignment="1">
      <alignment horizontal="center"/>
    </xf>
    <xf numFmtId="0" fontId="24" fillId="0" borderId="257" xfId="180" applyFont="1" applyFill="1" applyBorder="1" applyAlignment="1">
      <alignment horizontal="center"/>
    </xf>
    <xf numFmtId="0" fontId="24" fillId="0" borderId="254" xfId="180" applyFont="1" applyFill="1" applyBorder="1" applyAlignment="1">
      <alignment horizontal="center"/>
    </xf>
    <xf numFmtId="0" fontId="24" fillId="0" borderId="258" xfId="180" applyFont="1" applyFill="1" applyBorder="1" applyAlignment="1">
      <alignment horizontal="center"/>
    </xf>
    <xf numFmtId="0" fontId="24" fillId="0" borderId="6" xfId="180" applyFont="1" applyFill="1" applyBorder="1" applyAlignment="1">
      <alignment horizontal="center"/>
    </xf>
    <xf numFmtId="0" fontId="24" fillId="0" borderId="257" xfId="180" applyFont="1" applyFill="1" applyBorder="1" applyAlignment="1">
      <alignment horizontal="center" wrapText="1"/>
    </xf>
    <xf numFmtId="0" fontId="24" fillId="0" borderId="254" xfId="180" applyFont="1" applyFill="1" applyBorder="1" applyAlignment="1">
      <alignment horizontal="center" wrapText="1"/>
    </xf>
    <xf numFmtId="0" fontId="24" fillId="0" borderId="259" xfId="180" applyFont="1" applyFill="1" applyBorder="1" applyAlignment="1">
      <alignment horizontal="center" wrapText="1"/>
    </xf>
    <xf numFmtId="0" fontId="24" fillId="0" borderId="25" xfId="180" applyFont="1" applyFill="1" applyBorder="1" applyAlignment="1">
      <alignment horizontal="center" wrapText="1"/>
    </xf>
    <xf numFmtId="0" fontId="25" fillId="0" borderId="285" xfId="180" applyFont="1" applyFill="1" applyBorder="1" applyAlignment="1">
      <alignment horizontal="right"/>
    </xf>
    <xf numFmtId="0" fontId="25" fillId="0" borderId="291" xfId="180" applyFont="1" applyFill="1" applyBorder="1" applyAlignment="1">
      <alignment horizontal="right"/>
    </xf>
    <xf numFmtId="0" fontId="25" fillId="0" borderId="292" xfId="180" applyFont="1" applyFill="1" applyBorder="1" applyAlignment="1">
      <alignment horizontal="right"/>
    </xf>
    <xf numFmtId="0" fontId="24" fillId="0" borderId="272" xfId="180" applyFont="1" applyFill="1" applyBorder="1" applyAlignment="1">
      <alignment horizontal="left" vertical="top" wrapText="1"/>
    </xf>
    <xf numFmtId="0" fontId="24" fillId="0" borderId="250" xfId="180" applyFont="1" applyFill="1" applyBorder="1" applyAlignment="1">
      <alignment horizontal="left" vertical="top" wrapText="1"/>
    </xf>
    <xf numFmtId="0" fontId="24" fillId="0" borderId="261" xfId="180" applyFont="1" applyFill="1" applyBorder="1" applyAlignment="1">
      <alignment horizontal="left" vertical="top" wrapText="1"/>
    </xf>
    <xf numFmtId="0" fontId="25" fillId="0" borderId="114" xfId="180" applyFont="1" applyFill="1" applyBorder="1" applyAlignment="1">
      <alignment horizontal="left" vertical="top" wrapText="1"/>
    </xf>
    <xf numFmtId="0" fontId="25" fillId="0" borderId="285" xfId="180" applyFont="1" applyFill="1" applyBorder="1" applyAlignment="1">
      <alignment horizontal="left" vertical="top" wrapText="1"/>
    </xf>
    <xf numFmtId="0" fontId="25" fillId="0" borderId="250" xfId="180" applyFont="1" applyFill="1" applyBorder="1" applyAlignment="1">
      <alignment horizontal="left" vertical="top" wrapText="1"/>
    </xf>
    <xf numFmtId="0" fontId="25" fillId="0" borderId="261" xfId="180" applyFont="1" applyFill="1" applyBorder="1" applyAlignment="1">
      <alignment horizontal="left" vertical="top" wrapText="1"/>
    </xf>
    <xf numFmtId="0" fontId="40" fillId="0" borderId="20" xfId="180" applyFont="1" applyBorder="1" applyAlignment="1">
      <alignment horizontal="left" vertical="top" wrapText="1"/>
    </xf>
    <xf numFmtId="0" fontId="40" fillId="0" borderId="24" xfId="180" applyFont="1" applyBorder="1" applyAlignment="1">
      <alignment horizontal="left" vertical="top" wrapText="1"/>
    </xf>
    <xf numFmtId="0" fontId="41" fillId="0" borderId="0" xfId="180" applyFont="1" applyBorder="1" applyAlignment="1">
      <alignment horizontal="center" vertical="top" wrapText="1"/>
    </xf>
    <xf numFmtId="0" fontId="41" fillId="0" borderId="2" xfId="180" applyFont="1" applyBorder="1" applyAlignment="1">
      <alignment horizontal="center" vertical="top" wrapText="1"/>
    </xf>
    <xf numFmtId="0" fontId="41" fillId="0" borderId="162" xfId="180" applyFont="1" applyBorder="1" applyAlignment="1">
      <alignment horizontal="left" vertical="top" wrapText="1"/>
    </xf>
    <xf numFmtId="0" fontId="41" fillId="0" borderId="268" xfId="180" applyFont="1" applyBorder="1" applyAlignment="1">
      <alignment horizontal="left" vertical="top" wrapText="1"/>
    </xf>
    <xf numFmtId="0" fontId="41" fillId="0" borderId="260" xfId="180" applyFont="1" applyBorder="1" applyAlignment="1">
      <alignment horizontal="left" vertical="top" wrapText="1"/>
    </xf>
    <xf numFmtId="0" fontId="31" fillId="0" borderId="330" xfId="180" applyFont="1" applyBorder="1" applyAlignment="1">
      <alignment horizontal="center" vertical="top" wrapText="1"/>
    </xf>
    <xf numFmtId="0" fontId="31" fillId="0" borderId="156" xfId="180" applyFont="1" applyBorder="1" applyAlignment="1">
      <alignment horizontal="center" vertical="top" wrapText="1"/>
    </xf>
    <xf numFmtId="0" fontId="41" fillId="0" borderId="0" xfId="180" applyFont="1" applyBorder="1" applyAlignment="1">
      <alignment horizontal="left" vertical="top" wrapText="1"/>
    </xf>
    <xf numFmtId="0" fontId="41" fillId="0" borderId="21" xfId="180" applyFont="1" applyBorder="1" applyAlignment="1">
      <alignment horizontal="left" vertical="top" wrapText="1"/>
    </xf>
    <xf numFmtId="0" fontId="41" fillId="0" borderId="48" xfId="180" applyFont="1" applyBorder="1" applyAlignment="1">
      <alignment horizontal="left" vertical="top" wrapText="1"/>
    </xf>
    <xf numFmtId="0" fontId="41" fillId="0" borderId="269" xfId="180" applyFont="1" applyBorder="1" applyAlignment="1">
      <alignment horizontal="left" vertical="top" wrapText="1"/>
    </xf>
    <xf numFmtId="0" fontId="41" fillId="0" borderId="254" xfId="180" applyFont="1" applyBorder="1" applyAlignment="1">
      <alignment horizontal="left" vertical="top" wrapText="1"/>
    </xf>
    <xf numFmtId="0" fontId="41" fillId="0" borderId="45" xfId="180" applyFont="1" applyBorder="1" applyAlignment="1">
      <alignment horizontal="left" vertical="top" wrapText="1"/>
    </xf>
    <xf numFmtId="0" fontId="41" fillId="0" borderId="357" xfId="180" applyFont="1" applyBorder="1" applyAlignment="1">
      <alignment horizontal="left" vertical="top" wrapText="1"/>
    </xf>
    <xf numFmtId="0" fontId="41" fillId="0" borderId="328" xfId="180" applyFont="1" applyBorder="1" applyAlignment="1">
      <alignment horizontal="left" vertical="top" wrapText="1"/>
    </xf>
    <xf numFmtId="0" fontId="41" fillId="0" borderId="307" xfId="180" applyFont="1" applyBorder="1" applyAlignment="1">
      <alignment horizontal="left" vertical="top" wrapText="1"/>
    </xf>
    <xf numFmtId="0" fontId="41" fillId="0" borderId="266" xfId="180" applyFont="1" applyBorder="1" applyAlignment="1">
      <alignment horizontal="left" vertical="top" wrapText="1"/>
    </xf>
    <xf numFmtId="0" fontId="41" fillId="0" borderId="417" xfId="180" applyFont="1" applyBorder="1" applyAlignment="1">
      <alignment horizontal="left" vertical="top" wrapText="1"/>
    </xf>
    <xf numFmtId="0" fontId="41" fillId="0" borderId="42" xfId="15" applyFont="1" applyBorder="1" applyAlignment="1">
      <alignment horizontal="left" vertical="center" wrapText="1"/>
    </xf>
    <xf numFmtId="0" fontId="41" fillId="0" borderId="8" xfId="15" applyFont="1" applyBorder="1" applyAlignment="1">
      <alignment horizontal="left" vertical="center" wrapText="1"/>
    </xf>
    <xf numFmtId="0" fontId="25" fillId="0" borderId="43" xfId="2" applyFont="1" applyFill="1" applyBorder="1" applyAlignment="1">
      <alignment horizontal="center" vertical="center" wrapText="1"/>
    </xf>
    <xf numFmtId="0" fontId="20" fillId="0" borderId="38" xfId="180" applyFont="1" applyBorder="1" applyAlignment="1">
      <alignment horizontal="center" vertical="center"/>
    </xf>
    <xf numFmtId="0" fontId="20" fillId="0" borderId="39" xfId="180" applyFont="1" applyBorder="1" applyAlignment="1">
      <alignment horizontal="center" vertical="center"/>
    </xf>
    <xf numFmtId="0" fontId="41" fillId="0" borderId="31" xfId="15" applyFont="1" applyBorder="1" applyAlignment="1">
      <alignment horizontal="left" vertical="center"/>
    </xf>
    <xf numFmtId="0" fontId="41" fillId="0" borderId="30" xfId="15" applyFont="1" applyBorder="1" applyAlignment="1">
      <alignment horizontal="left" vertical="center"/>
    </xf>
    <xf numFmtId="0" fontId="41" fillId="0" borderId="42" xfId="15" applyFont="1" applyBorder="1" applyAlignment="1">
      <alignment horizontal="left" vertical="center"/>
    </xf>
    <xf numFmtId="0" fontId="41" fillId="0" borderId="8" xfId="15" applyFont="1" applyBorder="1" applyAlignment="1">
      <alignment horizontal="left" vertical="center"/>
    </xf>
    <xf numFmtId="0" fontId="25" fillId="0" borderId="0" xfId="113" applyFont="1" applyAlignment="1">
      <alignment horizontal="left" vertical="center" wrapText="1"/>
    </xf>
    <xf numFmtId="0" fontId="20" fillId="0" borderId="0" xfId="180" applyFont="1" applyAlignment="1">
      <alignment vertical="center"/>
    </xf>
    <xf numFmtId="0" fontId="40" fillId="0" borderId="55" xfId="2" applyFont="1" applyFill="1" applyBorder="1" applyAlignment="1">
      <alignment horizontal="left" vertical="top" wrapText="1"/>
    </xf>
    <xf numFmtId="0" fontId="40" fillId="0" borderId="21" xfId="2" applyFont="1" applyFill="1" applyBorder="1" applyAlignment="1">
      <alignment horizontal="left" vertical="top" wrapText="1"/>
    </xf>
    <xf numFmtId="0" fontId="67" fillId="6" borderId="159" xfId="180" applyFont="1" applyFill="1" applyBorder="1" applyAlignment="1">
      <alignment horizontal="center" vertical="center"/>
    </xf>
    <xf numFmtId="0" fontId="67" fillId="6" borderId="38" xfId="180" applyFont="1" applyFill="1" applyBorder="1" applyAlignment="1">
      <alignment horizontal="center" vertical="center"/>
    </xf>
    <xf numFmtId="0" fontId="67" fillId="6" borderId="39" xfId="180" applyFont="1" applyFill="1" applyBorder="1" applyAlignment="1">
      <alignment horizontal="center" vertical="center"/>
    </xf>
    <xf numFmtId="0" fontId="32" fillId="13" borderId="31" xfId="2" applyFont="1" applyFill="1" applyBorder="1" applyAlignment="1">
      <alignment horizontal="center" vertical="center" wrapText="1"/>
    </xf>
    <xf numFmtId="0" fontId="32" fillId="13" borderId="30" xfId="180" applyFont="1" applyFill="1" applyBorder="1" applyAlignment="1">
      <alignment horizontal="center" vertical="center"/>
    </xf>
    <xf numFmtId="0" fontId="32" fillId="13" borderId="35" xfId="180" applyFont="1" applyFill="1" applyBorder="1" applyAlignment="1">
      <alignment horizontal="center" vertical="center"/>
    </xf>
    <xf numFmtId="0" fontId="32" fillId="13" borderId="36" xfId="180" applyFont="1" applyFill="1" applyBorder="1" applyAlignment="1">
      <alignment horizontal="center" vertical="center"/>
    </xf>
    <xf numFmtId="0" fontId="17" fillId="0" borderId="0" xfId="180" applyBorder="1" applyAlignment="1">
      <alignment wrapText="1"/>
    </xf>
    <xf numFmtId="0" fontId="17" fillId="0" borderId="2" xfId="180" applyBorder="1" applyAlignment="1">
      <alignment wrapText="1"/>
    </xf>
    <xf numFmtId="0" fontId="17" fillId="0" borderId="1" xfId="180" applyBorder="1" applyAlignment="1">
      <alignment wrapText="1"/>
    </xf>
    <xf numFmtId="0" fontId="24" fillId="0" borderId="260" xfId="2" applyFont="1" applyFill="1" applyBorder="1" applyAlignment="1">
      <alignment horizontal="left" vertical="center" wrapText="1"/>
    </xf>
    <xf numFmtId="0" fontId="24" fillId="0" borderId="256" xfId="2" applyFont="1" applyFill="1" applyBorder="1" applyAlignment="1">
      <alignment horizontal="left" vertical="center" wrapText="1"/>
    </xf>
    <xf numFmtId="0" fontId="24" fillId="0" borderId="266" xfId="2" applyFont="1" applyFill="1" applyBorder="1" applyAlignment="1">
      <alignment horizontal="left" vertical="center" wrapText="1"/>
    </xf>
    <xf numFmtId="0" fontId="17" fillId="0" borderId="266" xfId="180" applyBorder="1" applyAlignment="1">
      <alignment horizontal="left"/>
    </xf>
    <xf numFmtId="0" fontId="17" fillId="0" borderId="288" xfId="180" applyBorder="1" applyAlignment="1">
      <alignment horizontal="left"/>
    </xf>
    <xf numFmtId="0" fontId="67" fillId="6" borderId="40" xfId="180" applyFont="1" applyFill="1" applyBorder="1" applyAlignment="1">
      <alignment horizontal="center" vertical="center"/>
    </xf>
    <xf numFmtId="0" fontId="67" fillId="6" borderId="160" xfId="180" applyFont="1" applyFill="1" applyBorder="1" applyAlignment="1">
      <alignment horizontal="center" vertical="center"/>
    </xf>
    <xf numFmtId="0" fontId="41" fillId="0" borderId="21" xfId="2" applyFont="1" applyFill="1" applyBorder="1" applyAlignment="1">
      <alignment horizontal="center" vertical="center" wrapText="1"/>
    </xf>
    <xf numFmtId="0" fontId="41" fillId="0" borderId="0" xfId="2" applyFont="1" applyFill="1" applyBorder="1" applyAlignment="1">
      <alignment horizontal="center" vertical="center" wrapText="1"/>
    </xf>
    <xf numFmtId="0" fontId="41" fillId="0" borderId="2" xfId="2" applyFont="1" applyFill="1" applyBorder="1" applyAlignment="1">
      <alignment horizontal="center" vertical="center" wrapText="1"/>
    </xf>
    <xf numFmtId="0" fontId="24" fillId="6" borderId="1" xfId="2" applyFont="1" applyFill="1" applyBorder="1" applyAlignment="1">
      <alignment horizontal="center" vertical="center" wrapText="1"/>
    </xf>
    <xf numFmtId="0" fontId="24" fillId="6" borderId="0" xfId="2" applyFont="1" applyFill="1" applyBorder="1" applyAlignment="1">
      <alignment horizontal="center" vertical="center" wrapText="1"/>
    </xf>
    <xf numFmtId="0" fontId="24" fillId="6" borderId="2" xfId="2" applyFont="1" applyFill="1" applyBorder="1" applyAlignment="1">
      <alignment horizontal="center" vertical="center" wrapText="1"/>
    </xf>
    <xf numFmtId="0" fontId="17" fillId="0" borderId="10" xfId="180" applyBorder="1" applyAlignment="1"/>
    <xf numFmtId="0" fontId="17" fillId="0" borderId="8" xfId="180" applyBorder="1" applyAlignment="1"/>
    <xf numFmtId="0" fontId="17" fillId="0" borderId="9" xfId="180" applyBorder="1" applyAlignment="1"/>
    <xf numFmtId="0" fontId="40" fillId="0" borderId="242" xfId="180" applyFont="1" applyFill="1" applyBorder="1" applyAlignment="1">
      <alignment horizontal="left" vertical="top" wrapText="1"/>
    </xf>
    <xf numFmtId="0" fontId="40" fillId="0" borderId="178" xfId="180" applyFont="1" applyFill="1" applyBorder="1" applyAlignment="1">
      <alignment horizontal="left" vertical="top" wrapText="1"/>
    </xf>
    <xf numFmtId="0" fontId="40" fillId="0" borderId="239" xfId="15" applyFont="1" applyBorder="1" applyAlignment="1">
      <alignment horizontal="left" vertical="top" wrapText="1"/>
    </xf>
    <xf numFmtId="0" fontId="40" fillId="0" borderId="242" xfId="15" applyFont="1" applyBorder="1" applyAlignment="1">
      <alignment horizontal="left" vertical="top" wrapText="1"/>
    </xf>
    <xf numFmtId="0" fontId="40" fillId="0" borderId="240" xfId="15" applyFont="1" applyBorder="1" applyAlignment="1">
      <alignment horizontal="left" vertical="top" wrapText="1"/>
    </xf>
    <xf numFmtId="0" fontId="40" fillId="0" borderId="1" xfId="15" applyFont="1" applyBorder="1" applyAlignment="1">
      <alignment horizontal="left" vertical="top" wrapText="1"/>
    </xf>
    <xf numFmtId="0" fontId="40" fillId="0" borderId="0" xfId="15" applyFont="1" applyBorder="1" applyAlignment="1">
      <alignment horizontal="left" vertical="top" wrapText="1"/>
    </xf>
    <xf numFmtId="0" fontId="40" fillId="0" borderId="2" xfId="15" applyFont="1" applyBorder="1" applyAlignment="1">
      <alignment horizontal="left" vertical="top" wrapText="1"/>
    </xf>
    <xf numFmtId="0" fontId="32" fillId="13" borderId="32" xfId="180" applyFont="1" applyFill="1" applyBorder="1" applyAlignment="1">
      <alignment horizontal="center" vertical="center"/>
    </xf>
    <xf numFmtId="0" fontId="67" fillId="0" borderId="109" xfId="180" applyFont="1" applyBorder="1" applyAlignment="1">
      <alignment horizontal="center" vertical="center"/>
    </xf>
    <xf numFmtId="0" fontId="67" fillId="0" borderId="97" xfId="180" applyFont="1" applyBorder="1" applyAlignment="1">
      <alignment horizontal="center" vertical="center"/>
    </xf>
    <xf numFmtId="0" fontId="40" fillId="0" borderId="239" xfId="2" quotePrefix="1" applyFont="1" applyFill="1" applyBorder="1" applyAlignment="1">
      <alignment horizontal="left" vertical="top" wrapText="1"/>
    </xf>
    <xf numFmtId="0" fontId="40" fillId="0" borderId="242" xfId="2" quotePrefix="1" applyFont="1" applyFill="1" applyBorder="1" applyAlignment="1">
      <alignment horizontal="left" vertical="top" wrapText="1"/>
    </xf>
    <xf numFmtId="0" fontId="40" fillId="0" borderId="240" xfId="2" quotePrefix="1" applyFont="1" applyFill="1" applyBorder="1" applyAlignment="1">
      <alignment horizontal="left" vertical="top" wrapText="1"/>
    </xf>
    <xf numFmtId="0" fontId="40" fillId="0" borderId="1" xfId="2" quotePrefix="1" applyFont="1" applyFill="1" applyBorder="1" applyAlignment="1">
      <alignment horizontal="left" vertical="top" wrapText="1"/>
    </xf>
    <xf numFmtId="0" fontId="40" fillId="0" borderId="0" xfId="2" quotePrefix="1" applyFont="1" applyFill="1" applyBorder="1" applyAlignment="1">
      <alignment horizontal="left" vertical="top" wrapText="1"/>
    </xf>
    <xf numFmtId="0" fontId="40" fillId="0" borderId="2" xfId="2" quotePrefix="1" applyFont="1" applyFill="1" applyBorder="1" applyAlignment="1">
      <alignment horizontal="left" vertical="top" wrapText="1"/>
    </xf>
    <xf numFmtId="0" fontId="67" fillId="0" borderId="40" xfId="180" applyFont="1" applyBorder="1" applyAlignment="1">
      <alignment horizontal="center" vertical="center"/>
    </xf>
    <xf numFmtId="0" fontId="67" fillId="0" borderId="38" xfId="180" applyFont="1" applyBorder="1" applyAlignment="1">
      <alignment horizontal="center" vertical="center"/>
    </xf>
    <xf numFmtId="0" fontId="67" fillId="0" borderId="39" xfId="180" applyFont="1" applyBorder="1" applyAlignment="1">
      <alignment horizontal="center" vertical="center"/>
    </xf>
    <xf numFmtId="0" fontId="17" fillId="0" borderId="10" xfId="180" applyBorder="1" applyAlignment="1">
      <alignment horizontal="center"/>
    </xf>
    <xf numFmtId="0" fontId="17" fillId="0" borderId="8" xfId="180" applyBorder="1" applyAlignment="1">
      <alignment horizontal="center"/>
    </xf>
    <xf numFmtId="0" fontId="17" fillId="0" borderId="9" xfId="180" applyBorder="1" applyAlignment="1">
      <alignment horizontal="center"/>
    </xf>
    <xf numFmtId="0" fontId="25" fillId="0" borderId="150" xfId="0" applyFont="1" applyFill="1" applyBorder="1" applyAlignment="1">
      <alignment horizontal="left" vertical="top" wrapText="1"/>
    </xf>
    <xf numFmtId="0" fontId="25" fillId="0" borderId="77" xfId="0" applyFont="1" applyFill="1" applyBorder="1" applyAlignment="1">
      <alignment horizontal="left" vertical="top" wrapText="1"/>
    </xf>
    <xf numFmtId="0" fontId="25" fillId="0" borderId="80" xfId="0" applyFont="1" applyFill="1" applyBorder="1" applyAlignment="1">
      <alignment horizontal="left" vertical="top" wrapText="1"/>
    </xf>
    <xf numFmtId="2" fontId="67" fillId="13" borderId="11" xfId="0" applyNumberFormat="1" applyFont="1" applyFill="1" applyBorder="1" applyAlignment="1">
      <alignment horizontal="center" vertical="center"/>
    </xf>
    <xf numFmtId="2" fontId="67" fillId="13" borderId="4" xfId="0" applyNumberFormat="1" applyFont="1" applyFill="1" applyBorder="1" applyAlignment="1">
      <alignment horizontal="center" vertical="center"/>
    </xf>
    <xf numFmtId="0" fontId="25" fillId="0" borderId="20" xfId="0" applyFont="1" applyFill="1" applyBorder="1" applyAlignment="1">
      <alignment horizontal="left" vertical="top" wrapText="1"/>
    </xf>
    <xf numFmtId="0" fontId="25" fillId="0" borderId="34" xfId="0" applyFont="1" applyFill="1" applyBorder="1" applyAlignment="1">
      <alignment horizontal="left" vertical="top" wrapText="1"/>
    </xf>
    <xf numFmtId="0" fontId="25" fillId="0" borderId="0" xfId="0" applyFont="1" applyFill="1" applyBorder="1" applyAlignment="1">
      <alignment horizontal="left" vertical="top" wrapText="1"/>
    </xf>
    <xf numFmtId="0" fontId="25" fillId="0" borderId="2" xfId="0" applyFont="1" applyFill="1" applyBorder="1" applyAlignment="1">
      <alignment horizontal="left" vertical="top" wrapText="1"/>
    </xf>
    <xf numFmtId="0" fontId="25" fillId="0" borderId="51" xfId="0" applyFont="1" applyFill="1" applyBorder="1" applyAlignment="1">
      <alignment horizontal="left" vertical="top" wrapText="1"/>
    </xf>
    <xf numFmtId="0" fontId="25" fillId="0" borderId="1" xfId="0" applyFont="1" applyFill="1" applyBorder="1" applyAlignment="1">
      <alignment horizontal="left" vertical="top" wrapText="1"/>
    </xf>
    <xf numFmtId="0" fontId="25" fillId="0" borderId="5" xfId="0" applyFont="1" applyFill="1" applyBorder="1" applyAlignment="1">
      <alignment horizontal="left" vertical="top" wrapText="1"/>
    </xf>
    <xf numFmtId="0" fontId="67" fillId="13" borderId="4" xfId="0" applyFont="1" applyFill="1" applyBorder="1" applyAlignment="1">
      <alignment horizontal="center" vertical="center"/>
    </xf>
    <xf numFmtId="2" fontId="67" fillId="13" borderId="3" xfId="0" applyNumberFormat="1" applyFont="1" applyFill="1" applyBorder="1" applyAlignment="1">
      <alignment horizontal="center" vertical="center"/>
    </xf>
    <xf numFmtId="0" fontId="25" fillId="0" borderId="50" xfId="0" applyFont="1" applyFill="1" applyBorder="1" applyAlignment="1">
      <alignment horizontal="left" vertical="top" wrapText="1"/>
    </xf>
    <xf numFmtId="0" fontId="25" fillId="0" borderId="15" xfId="0" applyFont="1" applyFill="1" applyBorder="1" applyAlignment="1">
      <alignment horizontal="left" vertical="top" wrapText="1"/>
    </xf>
    <xf numFmtId="0" fontId="25" fillId="0" borderId="13" xfId="0" applyFont="1" applyFill="1" applyBorder="1" applyAlignment="1">
      <alignment horizontal="left" vertical="top" wrapText="1"/>
    </xf>
    <xf numFmtId="0" fontId="24" fillId="0" borderId="12" xfId="0" applyFont="1" applyFill="1" applyBorder="1" applyAlignment="1">
      <alignment horizontal="center" vertical="top" wrapText="1"/>
    </xf>
    <xf numFmtId="0" fontId="24" fillId="0" borderId="15" xfId="0" applyFont="1" applyFill="1" applyBorder="1" applyAlignment="1">
      <alignment horizontal="center" vertical="top" wrapText="1"/>
    </xf>
    <xf numFmtId="0" fontId="24" fillId="0" borderId="13" xfId="0" applyFont="1" applyFill="1" applyBorder="1" applyAlignment="1">
      <alignment horizontal="center" vertical="top" wrapText="1"/>
    </xf>
    <xf numFmtId="0" fontId="25" fillId="6" borderId="51" xfId="0" applyFont="1" applyFill="1" applyBorder="1" applyAlignment="1">
      <alignment horizontal="left" vertical="top" wrapText="1"/>
    </xf>
    <xf numFmtId="0" fontId="25" fillId="6" borderId="20" xfId="0" applyFont="1" applyFill="1" applyBorder="1" applyAlignment="1">
      <alignment horizontal="left" vertical="top" wrapText="1"/>
    </xf>
    <xf numFmtId="0" fontId="25" fillId="6" borderId="34" xfId="0" applyFont="1" applyFill="1" applyBorder="1" applyAlignment="1">
      <alignment horizontal="left" vertical="top" wrapText="1"/>
    </xf>
    <xf numFmtId="0" fontId="25" fillId="6" borderId="1" xfId="0" applyFont="1" applyFill="1" applyBorder="1" applyAlignment="1">
      <alignment horizontal="left" vertical="top" wrapText="1"/>
    </xf>
    <xf numFmtId="0" fontId="25" fillId="6" borderId="0" xfId="0" applyFont="1" applyFill="1" applyBorder="1" applyAlignment="1">
      <alignment horizontal="left" vertical="top" wrapText="1"/>
    </xf>
    <xf numFmtId="0" fontId="25" fillId="6" borderId="2" xfId="0" applyFont="1" applyFill="1" applyBorder="1" applyAlignment="1">
      <alignment horizontal="left" vertical="top" wrapText="1"/>
    </xf>
    <xf numFmtId="0" fontId="49" fillId="0" borderId="155" xfId="0" applyFont="1" applyFill="1" applyBorder="1" applyAlignment="1">
      <alignment horizontal="center"/>
    </xf>
    <xf numFmtId="0" fontId="49" fillId="0" borderId="157" xfId="0" applyFont="1" applyFill="1" applyBorder="1" applyAlignment="1">
      <alignment horizontal="center"/>
    </xf>
    <xf numFmtId="165" fontId="27" fillId="5" borderId="5" xfId="3" applyNumberFormat="1" applyFont="1" applyFill="1" applyBorder="1" applyAlignment="1">
      <alignment horizontal="center" vertical="center"/>
    </xf>
    <xf numFmtId="165" fontId="27" fillId="5" borderId="7" xfId="3" applyNumberFormat="1" applyFont="1" applyFill="1" applyBorder="1" applyAlignment="1">
      <alignment horizontal="center" vertical="center"/>
    </xf>
    <xf numFmtId="165" fontId="27" fillId="5" borderId="10" xfId="3" applyNumberFormat="1" applyFont="1" applyFill="1" applyBorder="1" applyAlignment="1">
      <alignment horizontal="center" vertical="center"/>
    </xf>
    <xf numFmtId="0" fontId="24" fillId="0" borderId="3" xfId="0" applyFont="1" applyFill="1" applyBorder="1" applyAlignment="1">
      <alignment horizontal="center" vertical="top" wrapText="1"/>
    </xf>
    <xf numFmtId="0" fontId="24" fillId="0" borderId="0" xfId="0" applyFont="1" applyFill="1" applyBorder="1" applyAlignment="1">
      <alignment horizontal="center" vertical="top" wrapText="1"/>
    </xf>
    <xf numFmtId="0" fontId="24" fillId="0" borderId="6" xfId="0" applyFont="1" applyFill="1" applyBorder="1" applyAlignment="1">
      <alignment horizontal="center" vertical="top" wrapText="1"/>
    </xf>
    <xf numFmtId="165" fontId="18" fillId="0" borderId="239" xfId="3" applyNumberFormat="1" applyFont="1" applyFill="1" applyBorder="1" applyAlignment="1">
      <alignment horizontal="center" vertical="center"/>
    </xf>
    <xf numFmtId="165" fontId="18" fillId="0" borderId="112" xfId="3" applyNumberFormat="1" applyFont="1" applyFill="1" applyBorder="1" applyAlignment="1">
      <alignment horizontal="center" vertical="center"/>
    </xf>
    <xf numFmtId="165" fontId="27" fillId="5" borderId="239" xfId="3" applyNumberFormat="1" applyFont="1" applyFill="1" applyBorder="1" applyAlignment="1">
      <alignment horizontal="center" vertical="center"/>
    </xf>
    <xf numFmtId="165" fontId="27" fillId="5" borderId="112" xfId="3" applyNumberFormat="1" applyFont="1" applyFill="1" applyBorder="1" applyAlignment="1">
      <alignment horizontal="center" vertical="center"/>
    </xf>
    <xf numFmtId="165" fontId="18" fillId="0" borderId="10" xfId="3" applyNumberFormat="1" applyFont="1" applyFill="1" applyBorder="1" applyAlignment="1">
      <alignment horizontal="center" vertical="center"/>
    </xf>
    <xf numFmtId="0" fontId="24" fillId="6" borderId="3" xfId="0" applyFont="1" applyFill="1" applyBorder="1" applyAlignment="1">
      <alignment horizontal="center" vertical="top" wrapText="1"/>
    </xf>
    <xf numFmtId="0" fontId="24" fillId="6" borderId="0" xfId="0" applyFont="1" applyFill="1" applyBorder="1" applyAlignment="1">
      <alignment horizontal="center" vertical="top" wrapText="1"/>
    </xf>
    <xf numFmtId="0" fontId="24" fillId="6" borderId="6" xfId="0" applyFont="1" applyFill="1" applyBorder="1" applyAlignment="1">
      <alignment horizontal="center" vertical="top" wrapText="1"/>
    </xf>
    <xf numFmtId="0" fontId="25" fillId="0" borderId="20" xfId="0" applyFont="1" applyFill="1" applyBorder="1" applyAlignment="1">
      <alignment horizontal="center"/>
    </xf>
    <xf numFmtId="0" fontId="25" fillId="0" borderId="97" xfId="0" applyFont="1" applyFill="1" applyBorder="1" applyAlignment="1">
      <alignment horizontal="center"/>
    </xf>
    <xf numFmtId="0" fontId="24" fillId="0" borderId="11" xfId="0" applyFont="1" applyFill="1" applyBorder="1" applyAlignment="1">
      <alignment horizontal="center" vertical="top" wrapText="1"/>
    </xf>
    <xf numFmtId="0" fontId="24" fillId="0" borderId="1" xfId="0" applyFont="1" applyFill="1" applyBorder="1" applyAlignment="1">
      <alignment horizontal="center" vertical="top" wrapText="1"/>
    </xf>
    <xf numFmtId="0" fontId="25" fillId="0" borderId="51" xfId="0" applyFont="1" applyFill="1" applyBorder="1" applyAlignment="1">
      <alignment horizontal="center"/>
    </xf>
    <xf numFmtId="0" fontId="25" fillId="0" borderId="34" xfId="0" applyFont="1" applyFill="1" applyBorder="1" applyAlignment="1">
      <alignment horizontal="center"/>
    </xf>
    <xf numFmtId="0" fontId="25" fillId="0" borderId="109" xfId="0" applyFont="1" applyFill="1" applyBorder="1" applyAlignment="1">
      <alignment horizontal="center"/>
    </xf>
    <xf numFmtId="0" fontId="25" fillId="0" borderId="2" xfId="0" applyFont="1" applyFill="1" applyBorder="1" applyAlignment="1">
      <alignment horizontal="center"/>
    </xf>
    <xf numFmtId="0" fontId="24" fillId="0" borderId="5" xfId="0" applyFont="1" applyFill="1" applyBorder="1" applyAlignment="1">
      <alignment horizontal="center" vertical="top" wrapText="1"/>
    </xf>
    <xf numFmtId="0" fontId="30" fillId="0" borderId="1" xfId="0" applyFont="1" applyFill="1" applyBorder="1" applyAlignment="1">
      <alignment horizontal="left" vertical="top" wrapText="1"/>
    </xf>
    <xf numFmtId="0" fontId="30" fillId="0" borderId="0" xfId="0" applyFont="1" applyFill="1" applyBorder="1" applyAlignment="1">
      <alignment horizontal="left" vertical="top" wrapText="1"/>
    </xf>
    <xf numFmtId="0" fontId="30" fillId="0" borderId="2" xfId="0" applyFont="1" applyFill="1" applyBorder="1" applyAlignment="1">
      <alignment horizontal="left" vertical="top" wrapText="1"/>
    </xf>
    <xf numFmtId="0" fontId="24" fillId="6" borderId="0" xfId="180" applyFont="1" applyFill="1" applyAlignment="1">
      <alignment horizontal="right" vertical="center"/>
    </xf>
    <xf numFmtId="0" fontId="24" fillId="6" borderId="2" xfId="180" applyFont="1" applyFill="1" applyBorder="1" applyAlignment="1">
      <alignment horizontal="right" vertical="center"/>
    </xf>
    <xf numFmtId="0" fontId="19" fillId="0" borderId="239" xfId="3" applyFont="1" applyFill="1" applyBorder="1" applyAlignment="1">
      <alignment horizontal="center" textRotation="90" wrapText="1"/>
    </xf>
    <xf numFmtId="0" fontId="19" fillId="0" borderId="112" xfId="3" applyFont="1" applyFill="1" applyBorder="1" applyAlignment="1">
      <alignment horizontal="center" textRotation="90" wrapText="1"/>
    </xf>
    <xf numFmtId="0" fontId="19" fillId="0" borderId="1" xfId="3" applyFont="1" applyFill="1" applyBorder="1" applyAlignment="1">
      <alignment horizontal="center" textRotation="90" wrapText="1"/>
    </xf>
    <xf numFmtId="0" fontId="19" fillId="0" borderId="2" xfId="3" applyFont="1" applyFill="1" applyBorder="1" applyAlignment="1">
      <alignment horizontal="center" textRotation="90" wrapText="1"/>
    </xf>
    <xf numFmtId="0" fontId="19" fillId="0" borderId="5" xfId="3" applyFont="1" applyFill="1" applyBorder="1" applyAlignment="1">
      <alignment horizontal="center" textRotation="90" wrapText="1"/>
    </xf>
    <xf numFmtId="0" fontId="19" fillId="0" borderId="7" xfId="3" applyFont="1" applyFill="1" applyBorder="1" applyAlignment="1">
      <alignment horizontal="center" textRotation="90" wrapText="1"/>
    </xf>
    <xf numFmtId="0" fontId="67" fillId="13" borderId="11" xfId="0" applyFont="1" applyFill="1" applyBorder="1" applyAlignment="1">
      <alignment horizontal="center" vertical="center"/>
    </xf>
    <xf numFmtId="0" fontId="25" fillId="0" borderId="0" xfId="0" applyFont="1" applyFill="1" applyBorder="1" applyAlignment="1">
      <alignment horizontal="center"/>
    </xf>
    <xf numFmtId="0" fontId="25" fillId="0" borderId="108" xfId="0" applyFont="1" applyFill="1" applyBorder="1" applyAlignment="1">
      <alignment horizontal="center"/>
    </xf>
    <xf numFmtId="0" fontId="41" fillId="0" borderId="10" xfId="2" applyFont="1" applyBorder="1" applyAlignment="1">
      <alignment horizontal="left" vertical="top" wrapText="1"/>
    </xf>
    <xf numFmtId="0" fontId="41" fillId="0" borderId="8" xfId="2" applyFont="1" applyBorder="1" applyAlignment="1">
      <alignment horizontal="left" vertical="top" wrapText="1"/>
    </xf>
    <xf numFmtId="0" fontId="41" fillId="0" borderId="9" xfId="2" applyFont="1" applyBorder="1" applyAlignment="1">
      <alignment horizontal="left" vertical="top" wrapText="1"/>
    </xf>
    <xf numFmtId="0" fontId="41" fillId="0" borderId="242" xfId="2" applyFont="1" applyBorder="1" applyAlignment="1">
      <alignment horizontal="left" vertical="top" wrapText="1"/>
    </xf>
    <xf numFmtId="0" fontId="41" fillId="0" borderId="240" xfId="2" applyFont="1" applyBorder="1" applyAlignment="1">
      <alignment horizontal="left" vertical="top" wrapText="1"/>
    </xf>
    <xf numFmtId="0" fontId="24" fillId="0" borderId="10" xfId="91" applyFont="1" applyBorder="1" applyAlignment="1">
      <alignment horizontal="center" vertical="top"/>
    </xf>
    <xf numFmtId="0" fontId="24" fillId="0" borderId="8" xfId="91" applyFont="1" applyBorder="1" applyAlignment="1">
      <alignment horizontal="center" vertical="top"/>
    </xf>
    <xf numFmtId="0" fontId="24" fillId="0" borderId="9" xfId="91" applyFont="1" applyBorder="1" applyAlignment="1">
      <alignment horizontal="center" vertical="top"/>
    </xf>
    <xf numFmtId="0" fontId="25" fillId="6" borderId="239" xfId="2" applyFont="1" applyFill="1" applyBorder="1" applyAlignment="1">
      <alignment horizontal="left" vertical="top" wrapText="1"/>
    </xf>
    <xf numFmtId="0" fontId="25" fillId="6" borderId="242" xfId="2" applyFont="1" applyFill="1" applyBorder="1" applyAlignment="1">
      <alignment horizontal="left" vertical="top" wrapText="1"/>
    </xf>
    <xf numFmtId="0" fontId="25" fillId="6" borderId="240" xfId="2" applyFont="1" applyFill="1" applyBorder="1" applyAlignment="1">
      <alignment horizontal="left" vertical="top" wrapText="1"/>
    </xf>
    <xf numFmtId="0" fontId="25" fillId="6" borderId="1" xfId="2" applyFont="1" applyFill="1" applyBorder="1" applyAlignment="1">
      <alignment horizontal="left" vertical="top" wrapText="1"/>
    </xf>
    <xf numFmtId="0" fontId="25" fillId="6" borderId="2" xfId="2" applyFont="1" applyFill="1" applyBorder="1" applyAlignment="1">
      <alignment horizontal="left" vertical="top" wrapText="1"/>
    </xf>
    <xf numFmtId="0" fontId="41" fillId="0" borderId="239" xfId="2" applyFont="1" applyBorder="1" applyAlignment="1">
      <alignment horizontal="left" vertical="top" wrapText="1"/>
    </xf>
    <xf numFmtId="0" fontId="41" fillId="0" borderId="5" xfId="2" applyFont="1" applyBorder="1" applyAlignment="1">
      <alignment horizontal="left" vertical="top" wrapText="1"/>
    </xf>
    <xf numFmtId="0" fontId="41" fillId="0" borderId="6" xfId="2" applyFont="1" applyBorder="1" applyAlignment="1">
      <alignment horizontal="left" vertical="top" wrapText="1"/>
    </xf>
    <xf numFmtId="0" fontId="41" fillId="0" borderId="7" xfId="2" applyFont="1" applyBorder="1" applyAlignment="1">
      <alignment horizontal="left" vertical="top" wrapText="1"/>
    </xf>
    <xf numFmtId="0" fontId="41" fillId="0" borderId="10" xfId="2" applyFont="1" applyFill="1" applyBorder="1" applyAlignment="1">
      <alignment horizontal="left" vertical="top" wrapText="1"/>
    </xf>
    <xf numFmtId="0" fontId="41" fillId="0" borderId="8" xfId="2" applyFont="1" applyFill="1" applyBorder="1" applyAlignment="1">
      <alignment horizontal="left" vertical="top" wrapText="1"/>
    </xf>
    <xf numFmtId="0" fontId="41" fillId="0" borderId="9" xfId="2" applyFont="1" applyFill="1" applyBorder="1" applyAlignment="1">
      <alignment horizontal="left" vertical="top" wrapText="1"/>
    </xf>
    <xf numFmtId="0" fontId="41" fillId="0" borderId="306" xfId="2" applyFont="1" applyBorder="1" applyAlignment="1">
      <alignment horizontal="left" vertical="top" wrapText="1"/>
    </xf>
    <xf numFmtId="0" fontId="41" fillId="0" borderId="328" xfId="2" applyFont="1" applyBorder="1" applyAlignment="1">
      <alignment horizontal="left" vertical="top" wrapText="1"/>
    </xf>
    <xf numFmtId="0" fontId="24" fillId="0" borderId="52" xfId="2" applyFont="1" applyBorder="1" applyAlignment="1">
      <alignment horizontal="center" vertical="center" textRotation="90" wrapText="1"/>
    </xf>
    <xf numFmtId="0" fontId="24" fillId="0" borderId="53" xfId="2" applyFont="1" applyBorder="1" applyAlignment="1">
      <alignment horizontal="center" vertical="center" textRotation="90" wrapText="1"/>
    </xf>
    <xf numFmtId="0" fontId="24" fillId="0" borderId="339" xfId="2" applyFont="1" applyBorder="1" applyAlignment="1">
      <alignment horizontal="center" vertical="center" textRotation="90" wrapText="1"/>
    </xf>
    <xf numFmtId="0" fontId="67" fillId="13" borderId="74" xfId="2" applyFont="1" applyFill="1" applyBorder="1" applyAlignment="1">
      <alignment horizontal="center"/>
    </xf>
    <xf numFmtId="0" fontId="67" fillId="13" borderId="28" xfId="2" applyFont="1" applyFill="1" applyBorder="1" applyAlignment="1">
      <alignment horizontal="center"/>
    </xf>
    <xf numFmtId="0" fontId="67" fillId="13" borderId="73" xfId="2" applyFont="1" applyFill="1" applyBorder="1" applyAlignment="1">
      <alignment horizontal="center"/>
    </xf>
    <xf numFmtId="0" fontId="67" fillId="13" borderId="74" xfId="91" applyFont="1" applyFill="1" applyBorder="1" applyAlignment="1">
      <alignment horizontal="center"/>
    </xf>
    <xf numFmtId="0" fontId="67" fillId="13" borderId="28" xfId="91" applyFont="1" applyFill="1" applyBorder="1" applyAlignment="1">
      <alignment horizontal="center"/>
    </xf>
    <xf numFmtId="0" fontId="67" fillId="13" borderId="29" xfId="91" applyFont="1" applyFill="1" applyBorder="1" applyAlignment="1">
      <alignment horizontal="center"/>
    </xf>
    <xf numFmtId="0" fontId="68" fillId="6" borderId="40" xfId="2" applyFont="1" applyFill="1" applyBorder="1" applyAlignment="1">
      <alignment horizontal="left" vertical="top" wrapText="1"/>
    </xf>
    <xf numFmtId="0" fontId="68" fillId="6" borderId="38" xfId="2" applyFont="1" applyFill="1" applyBorder="1" applyAlignment="1">
      <alignment horizontal="left" vertical="top" wrapText="1"/>
    </xf>
    <xf numFmtId="0" fontId="25" fillId="0" borderId="239" xfId="2" applyFont="1" applyBorder="1" applyAlignment="1">
      <alignment horizontal="left" vertical="top" wrapText="1"/>
    </xf>
    <xf numFmtId="0" fontId="25" fillId="0" borderId="242" xfId="2" applyFont="1" applyBorder="1" applyAlignment="1">
      <alignment horizontal="left" vertical="top" wrapText="1"/>
    </xf>
    <xf numFmtId="0" fontId="25" fillId="0" borderId="178" xfId="2" applyFont="1" applyBorder="1" applyAlignment="1">
      <alignment horizontal="left" vertical="top" wrapText="1"/>
    </xf>
    <xf numFmtId="0" fontId="25" fillId="0" borderId="1" xfId="2" applyFont="1" applyBorder="1" applyAlignment="1">
      <alignment horizontal="left" vertical="top" wrapText="1"/>
    </xf>
    <xf numFmtId="0" fontId="25" fillId="0" borderId="0" xfId="2" applyFont="1" applyBorder="1" applyAlignment="1">
      <alignment horizontal="left" vertical="top" wrapText="1"/>
    </xf>
    <xf numFmtId="0" fontId="25" fillId="0" borderId="23" xfId="2" applyFont="1" applyBorder="1" applyAlignment="1">
      <alignment horizontal="left" vertical="top" wrapText="1"/>
    </xf>
    <xf numFmtId="0" fontId="25" fillId="0" borderId="5" xfId="2" applyFont="1" applyBorder="1" applyAlignment="1">
      <alignment horizontal="left" vertical="top" wrapText="1"/>
    </xf>
    <xf numFmtId="0" fontId="25" fillId="0" borderId="6" xfId="2" applyFont="1" applyBorder="1" applyAlignment="1">
      <alignment horizontal="left" vertical="top" wrapText="1"/>
    </xf>
    <xf numFmtId="0" fontId="25" fillId="0" borderId="25" xfId="2" applyFont="1" applyBorder="1" applyAlignment="1">
      <alignment horizontal="left" vertical="top" wrapText="1"/>
    </xf>
    <xf numFmtId="0" fontId="25" fillId="0" borderId="5" xfId="2" applyFont="1" applyBorder="1" applyAlignment="1">
      <alignment horizontal="center" wrapText="1"/>
    </xf>
    <xf numFmtId="0" fontId="25" fillId="0" borderId="6" xfId="2" applyFont="1" applyBorder="1" applyAlignment="1">
      <alignment horizontal="center" wrapText="1"/>
    </xf>
    <xf numFmtId="0" fontId="24" fillId="0" borderId="10" xfId="91" applyFont="1" applyBorder="1" applyAlignment="1">
      <alignment horizontal="center"/>
    </xf>
    <xf numFmtId="0" fontId="24" fillId="0" borderId="8" xfId="91" applyFont="1" applyBorder="1" applyAlignment="1">
      <alignment horizontal="center"/>
    </xf>
    <xf numFmtId="0" fontId="24" fillId="0" borderId="37" xfId="91" applyFont="1" applyBorder="1" applyAlignment="1">
      <alignment horizontal="center"/>
    </xf>
    <xf numFmtId="0" fontId="21" fillId="0" borderId="0" xfId="4" applyFont="1" applyFill="1" applyBorder="1" applyAlignment="1">
      <alignment horizontal="left" vertical="center" shrinkToFit="1"/>
    </xf>
    <xf numFmtId="0" fontId="25" fillId="6" borderId="246" xfId="4" applyFont="1" applyFill="1" applyBorder="1" applyAlignment="1">
      <alignment horizontal="left" vertical="top" wrapText="1"/>
    </xf>
    <xf numFmtId="0" fontId="25" fillId="6" borderId="247" xfId="4" applyFont="1" applyFill="1" applyBorder="1" applyAlignment="1">
      <alignment horizontal="left" vertical="top" wrapText="1"/>
    </xf>
    <xf numFmtId="0" fontId="25" fillId="0" borderId="112" xfId="4" applyFont="1" applyFill="1" applyBorder="1" applyAlignment="1">
      <alignment horizontal="left" vertical="top" wrapText="1"/>
    </xf>
    <xf numFmtId="0" fontId="25" fillId="0" borderId="2" xfId="4" applyFont="1" applyFill="1" applyBorder="1" applyAlignment="1">
      <alignment horizontal="left" vertical="top" wrapText="1"/>
    </xf>
    <xf numFmtId="0" fontId="25" fillId="0" borderId="12" xfId="4" applyFont="1" applyFill="1" applyBorder="1" applyAlignment="1">
      <alignment horizontal="center" wrapText="1"/>
    </xf>
    <xf numFmtId="0" fontId="25" fillId="0" borderId="15" xfId="4" applyFont="1" applyFill="1" applyBorder="1" applyAlignment="1">
      <alignment horizontal="center" wrapText="1"/>
    </xf>
    <xf numFmtId="0" fontId="25" fillId="0" borderId="56" xfId="4" applyFont="1" applyFill="1" applyBorder="1" applyAlignment="1">
      <alignment horizontal="center" wrapText="1"/>
    </xf>
    <xf numFmtId="0" fontId="25" fillId="0" borderId="12" xfId="4" applyFont="1" applyFill="1" applyBorder="1" applyAlignment="1">
      <alignment horizontal="left" vertical="top" wrapText="1"/>
    </xf>
    <xf numFmtId="0" fontId="25" fillId="0" borderId="15" xfId="4" applyFont="1" applyFill="1" applyBorder="1" applyAlignment="1">
      <alignment horizontal="left" vertical="top" wrapText="1"/>
    </xf>
    <xf numFmtId="0" fontId="25" fillId="0" borderId="13" xfId="4" applyFont="1" applyFill="1" applyBorder="1" applyAlignment="1">
      <alignment horizontal="left" vertical="top" wrapText="1"/>
    </xf>
    <xf numFmtId="0" fontId="32" fillId="39" borderId="36" xfId="4" applyNumberFormat="1" applyFont="1" applyFill="1" applyBorder="1" applyAlignment="1">
      <alignment horizontal="center" vertical="center"/>
    </xf>
    <xf numFmtId="0" fontId="32" fillId="39" borderId="105" xfId="4" applyNumberFormat="1" applyFont="1" applyFill="1" applyBorder="1" applyAlignment="1">
      <alignment horizontal="center" vertical="center"/>
    </xf>
    <xf numFmtId="0" fontId="26" fillId="0" borderId="2" xfId="4" applyFont="1" applyFill="1" applyBorder="1" applyAlignment="1">
      <alignment horizontal="center" vertical="top" wrapText="1"/>
    </xf>
    <xf numFmtId="0" fontId="26" fillId="0" borderId="7" xfId="4" applyFont="1" applyFill="1" applyBorder="1" applyAlignment="1">
      <alignment horizontal="center" vertical="top" wrapText="1"/>
    </xf>
    <xf numFmtId="0" fontId="24" fillId="0" borderId="294" xfId="4" applyFont="1" applyFill="1" applyBorder="1" applyAlignment="1">
      <alignment horizontal="center"/>
    </xf>
    <xf numFmtId="0" fontId="24" fillId="0" borderId="241" xfId="4" applyFont="1" applyFill="1" applyBorder="1" applyAlignment="1">
      <alignment horizontal="center"/>
    </xf>
    <xf numFmtId="0" fontId="25" fillId="18" borderId="36" xfId="4" applyFont="1" applyFill="1" applyBorder="1" applyAlignment="1">
      <alignment horizontal="left" vertical="center" shrinkToFit="1" readingOrder="2"/>
    </xf>
    <xf numFmtId="0" fontId="25" fillId="18" borderId="30" xfId="4" applyFont="1" applyFill="1" applyBorder="1" applyAlignment="1">
      <alignment horizontal="left" vertical="center" shrinkToFit="1" readingOrder="2"/>
    </xf>
    <xf numFmtId="0" fontId="25" fillId="18" borderId="35" xfId="4" applyFont="1" applyFill="1" applyBorder="1" applyAlignment="1">
      <alignment horizontal="left" vertical="center" shrinkToFit="1" readingOrder="2"/>
    </xf>
    <xf numFmtId="49" fontId="51" fillId="0" borderId="10" xfId="78" applyNumberFormat="1" applyFont="1" applyFill="1" applyBorder="1" applyAlignment="1">
      <alignment horizontal="center" vertical="center"/>
    </xf>
    <xf numFmtId="49" fontId="51" fillId="0" borderId="37" xfId="78" applyNumberFormat="1" applyFont="1" applyFill="1" applyBorder="1" applyAlignment="1">
      <alignment horizontal="center" vertical="center"/>
    </xf>
    <xf numFmtId="0" fontId="41" fillId="0" borderId="294" xfId="4" applyFont="1" applyFill="1" applyBorder="1" applyAlignment="1">
      <alignment horizontal="center" wrapText="1"/>
    </xf>
    <xf numFmtId="0" fontId="41" fillId="0" borderId="241" xfId="4" applyFont="1" applyFill="1" applyBorder="1" applyAlignment="1">
      <alignment horizontal="center" wrapText="1"/>
    </xf>
    <xf numFmtId="0" fontId="25" fillId="20" borderId="26" xfId="78" applyFont="1" applyFill="1" applyBorder="1" applyAlignment="1">
      <alignment horizontal="left" vertical="center"/>
    </xf>
    <xf numFmtId="0" fontId="25" fillId="20" borderId="6" xfId="78" applyFont="1" applyFill="1" applyBorder="1" applyAlignment="1">
      <alignment horizontal="left" vertical="center"/>
    </xf>
    <xf numFmtId="0" fontId="25" fillId="20" borderId="7" xfId="78" applyFont="1" applyFill="1" applyBorder="1" applyAlignment="1">
      <alignment horizontal="left" vertical="center"/>
    </xf>
    <xf numFmtId="0" fontId="25" fillId="20" borderId="19" xfId="78" applyFont="1" applyFill="1" applyBorder="1" applyAlignment="1">
      <alignment horizontal="left" vertical="center"/>
    </xf>
    <xf numFmtId="0" fontId="25" fillId="20" borderId="20" xfId="78" applyFont="1" applyFill="1" applyBorder="1" applyAlignment="1">
      <alignment horizontal="left" vertical="center"/>
    </xf>
    <xf numFmtId="0" fontId="25" fillId="20" borderId="34" xfId="78" applyFont="1" applyFill="1" applyBorder="1" applyAlignment="1">
      <alignment horizontal="left" vertical="center"/>
    </xf>
    <xf numFmtId="0" fontId="18" fillId="0" borderId="0" xfId="4" applyFont="1" applyFill="1" applyBorder="1" applyAlignment="1">
      <alignment horizontal="left" vertical="center" readingOrder="2"/>
    </xf>
    <xf numFmtId="0" fontId="18" fillId="0" borderId="2" xfId="4" applyFont="1" applyFill="1" applyBorder="1" applyAlignment="1">
      <alignment horizontal="left" vertical="center" readingOrder="2"/>
    </xf>
    <xf numFmtId="0" fontId="25" fillId="22" borderId="27" xfId="78" applyNumberFormat="1" applyFont="1" applyFill="1" applyBorder="1" applyAlignment="1">
      <alignment horizontal="center" vertical="center" readingOrder="2"/>
    </xf>
    <xf numFmtId="0" fontId="25" fillId="22" borderId="93" xfId="78" applyNumberFormat="1" applyFont="1" applyFill="1" applyBorder="1" applyAlignment="1">
      <alignment horizontal="center" vertical="center" readingOrder="2"/>
    </xf>
    <xf numFmtId="0" fontId="41" fillId="6" borderId="15" xfId="78" applyFont="1" applyFill="1" applyBorder="1" applyAlignment="1">
      <alignment horizontal="center" vertical="center" wrapText="1" readingOrder="1"/>
    </xf>
    <xf numFmtId="0" fontId="41" fillId="6" borderId="0" xfId="4" applyFont="1" applyFill="1" applyBorder="1" applyAlignment="1">
      <alignment horizontal="left" vertical="top" wrapText="1"/>
    </xf>
    <xf numFmtId="0" fontId="41" fillId="6" borderId="94" xfId="4" applyFont="1" applyFill="1" applyBorder="1" applyAlignment="1">
      <alignment horizontal="left" vertical="top" wrapText="1"/>
    </xf>
    <xf numFmtId="0" fontId="41" fillId="6" borderId="156" xfId="4" applyFont="1" applyFill="1" applyBorder="1" applyAlignment="1">
      <alignment horizontal="left" vertical="top" wrapText="1"/>
    </xf>
    <xf numFmtId="0" fontId="41" fillId="6" borderId="241" xfId="4" applyFont="1" applyFill="1" applyBorder="1" applyAlignment="1">
      <alignment horizontal="left" vertical="top" wrapText="1"/>
    </xf>
    <xf numFmtId="0" fontId="40" fillId="0" borderId="5" xfId="78" applyFont="1" applyFill="1" applyBorder="1" applyAlignment="1">
      <alignment horizontal="center" vertical="center" wrapText="1" readingOrder="2"/>
    </xf>
    <xf numFmtId="0" fontId="40" fillId="0" borderId="25" xfId="78" applyFont="1" applyFill="1" applyBorder="1" applyAlignment="1">
      <alignment horizontal="center" vertical="center" wrapText="1" readingOrder="2"/>
    </xf>
    <xf numFmtId="0" fontId="40" fillId="0" borderId="26" xfId="78" applyFont="1" applyFill="1" applyBorder="1" applyAlignment="1">
      <alignment horizontal="center" vertical="center" readingOrder="2"/>
    </xf>
    <xf numFmtId="0" fontId="40" fillId="0" borderId="7" xfId="78" applyFont="1" applyFill="1" applyBorder="1" applyAlignment="1">
      <alignment horizontal="center" vertical="center" readingOrder="2"/>
    </xf>
    <xf numFmtId="0" fontId="41" fillId="6" borderId="12" xfId="78" applyFont="1" applyFill="1" applyBorder="1" applyAlignment="1">
      <alignment vertical="top" wrapText="1" readingOrder="1"/>
    </xf>
    <xf numFmtId="0" fontId="41" fillId="6" borderId="15" xfId="78" applyFont="1" applyFill="1" applyBorder="1" applyAlignment="1">
      <alignment vertical="top" wrapText="1" readingOrder="1"/>
    </xf>
    <xf numFmtId="0" fontId="41" fillId="0" borderId="63" xfId="78" applyFont="1" applyFill="1" applyBorder="1" applyAlignment="1">
      <alignment vertical="top" wrapText="1" readingOrder="1"/>
    </xf>
    <xf numFmtId="0" fontId="41" fillId="0" borderId="77" xfId="78" applyFont="1" applyFill="1" applyBorder="1" applyAlignment="1">
      <alignment vertical="top" wrapText="1" readingOrder="1"/>
    </xf>
    <xf numFmtId="0" fontId="41" fillId="0" borderId="12" xfId="78" applyFont="1" applyFill="1" applyBorder="1" applyAlignment="1">
      <alignment vertical="top" wrapText="1" readingOrder="1"/>
    </xf>
    <xf numFmtId="0" fontId="41" fillId="0" borderId="15" xfId="78" applyFont="1" applyFill="1" applyBorder="1" applyAlignment="1">
      <alignment vertical="top" wrapText="1" readingOrder="1"/>
    </xf>
    <xf numFmtId="0" fontId="41" fillId="0" borderId="13" xfId="78" applyFont="1" applyFill="1" applyBorder="1" applyAlignment="1">
      <alignment vertical="top" wrapText="1" readingOrder="1"/>
    </xf>
    <xf numFmtId="0" fontId="108" fillId="0" borderId="15" xfId="78" applyFont="1" applyFill="1" applyBorder="1" applyAlignment="1">
      <alignment vertical="top" wrapText="1" readingOrder="1"/>
    </xf>
    <xf numFmtId="0" fontId="108" fillId="0" borderId="13" xfId="78" applyFont="1" applyFill="1" applyBorder="1" applyAlignment="1">
      <alignment vertical="top" wrapText="1" readingOrder="1"/>
    </xf>
    <xf numFmtId="0" fontId="21" fillId="0" borderId="0" xfId="78" applyFont="1" applyFill="1" applyBorder="1" applyAlignment="1">
      <alignment horizontal="left" vertical="center" shrinkToFit="1"/>
    </xf>
    <xf numFmtId="0" fontId="24" fillId="0" borderId="0" xfId="78" applyFont="1" applyFill="1" applyBorder="1" applyAlignment="1">
      <alignment horizontal="right" vertical="center" shrinkToFit="1" readingOrder="2"/>
    </xf>
    <xf numFmtId="0" fontId="41" fillId="0" borderId="63" xfId="78" applyFont="1" applyFill="1" applyBorder="1" applyAlignment="1">
      <alignment horizontal="left" vertical="top" wrapText="1" readingOrder="1"/>
    </xf>
    <xf numFmtId="0" fontId="41" fillId="0" borderId="77" xfId="78" applyFont="1" applyFill="1" applyBorder="1" applyAlignment="1">
      <alignment horizontal="left" vertical="top" wrapText="1" readingOrder="1"/>
    </xf>
    <xf numFmtId="0" fontId="41" fillId="0" borderId="23" xfId="78" applyFont="1" applyFill="1" applyBorder="1" applyAlignment="1">
      <alignment horizontal="left" vertical="top" wrapText="1" readingOrder="1"/>
    </xf>
    <xf numFmtId="0" fontId="41" fillId="0" borderId="25" xfId="78" applyFont="1" applyFill="1" applyBorder="1" applyAlignment="1">
      <alignment horizontal="left" vertical="top" wrapText="1" readingOrder="1"/>
    </xf>
    <xf numFmtId="0" fontId="32" fillId="0" borderId="27" xfId="78" applyNumberFormat="1" applyFont="1" applyFill="1" applyBorder="1" applyAlignment="1">
      <alignment horizontal="center" vertical="center" readingOrder="2"/>
    </xf>
    <xf numFmtId="0" fontId="32" fillId="0" borderId="93" xfId="78" applyNumberFormat="1" applyFont="1" applyFill="1" applyBorder="1" applyAlignment="1">
      <alignment horizontal="center" vertical="center" readingOrder="2"/>
    </xf>
    <xf numFmtId="0" fontId="41" fillId="0" borderId="173" xfId="78" applyFont="1" applyFill="1" applyBorder="1" applyAlignment="1">
      <alignment horizontal="left" vertical="top" wrapText="1" readingOrder="1"/>
    </xf>
    <xf numFmtId="0" fontId="41" fillId="0" borderId="104" xfId="78" applyFont="1" applyFill="1" applyBorder="1" applyAlignment="1">
      <alignment horizontal="left" vertical="top" wrapText="1" readingOrder="1"/>
    </xf>
    <xf numFmtId="0" fontId="40" fillId="0" borderId="31" xfId="78" applyFont="1" applyFill="1" applyBorder="1" applyAlignment="1">
      <alignment horizontal="center" vertical="center" readingOrder="2"/>
    </xf>
    <xf numFmtId="0" fontId="40" fillId="0" borderId="30" xfId="78" applyFont="1" applyFill="1" applyBorder="1" applyAlignment="1">
      <alignment horizontal="center" vertical="center" readingOrder="2"/>
    </xf>
    <xf numFmtId="0" fontId="40" fillId="0" borderId="32" xfId="78" applyFont="1" applyFill="1" applyBorder="1" applyAlignment="1">
      <alignment horizontal="center" vertical="center" readingOrder="2"/>
    </xf>
    <xf numFmtId="0" fontId="41" fillId="0" borderId="55" xfId="78" applyFont="1" applyFill="1" applyBorder="1" applyAlignment="1">
      <alignment horizontal="left" vertical="top" wrapText="1" readingOrder="1"/>
    </xf>
    <xf numFmtId="0" fontId="41" fillId="0" borderId="4" xfId="78" applyFont="1" applyFill="1" applyBorder="1" applyAlignment="1">
      <alignment horizontal="left" vertical="top" wrapText="1" readingOrder="1"/>
    </xf>
    <xf numFmtId="0" fontId="41" fillId="0" borderId="149" xfId="78" applyFont="1" applyFill="1" applyBorder="1" applyAlignment="1">
      <alignment horizontal="left" vertical="top" wrapText="1" readingOrder="1"/>
    </xf>
    <xf numFmtId="0" fontId="41" fillId="0" borderId="136" xfId="78" applyFont="1" applyFill="1" applyBorder="1" applyAlignment="1">
      <alignment horizontal="left" vertical="top" wrapText="1" readingOrder="1"/>
    </xf>
    <xf numFmtId="0" fontId="32" fillId="0" borderId="73" xfId="78" applyNumberFormat="1" applyFont="1" applyFill="1" applyBorder="1" applyAlignment="1">
      <alignment horizontal="center" vertical="center" readingOrder="2"/>
    </xf>
    <xf numFmtId="0" fontId="41" fillId="0" borderId="26" xfId="4" applyFont="1" applyFill="1" applyBorder="1" applyAlignment="1">
      <alignment horizontal="right"/>
    </xf>
    <xf numFmtId="0" fontId="41" fillId="0" borderId="7" xfId="4" applyFont="1" applyFill="1" applyBorder="1" applyAlignment="1">
      <alignment horizontal="right"/>
    </xf>
    <xf numFmtId="0" fontId="25" fillId="20" borderId="25" xfId="78" applyFont="1" applyFill="1" applyBorder="1" applyAlignment="1">
      <alignment horizontal="left" vertical="center"/>
    </xf>
    <xf numFmtId="0" fontId="111" fillId="0" borderId="50" xfId="78" applyFont="1" applyFill="1" applyBorder="1" applyAlignment="1">
      <alignment horizontal="center" vertical="center" wrapText="1" readingOrder="1"/>
    </xf>
    <xf numFmtId="0" fontId="111" fillId="0" borderId="15" xfId="78" applyFont="1" applyFill="1" applyBorder="1" applyAlignment="1">
      <alignment horizontal="center" vertical="center" wrapText="1" readingOrder="1"/>
    </xf>
    <xf numFmtId="0" fontId="41" fillId="6" borderId="20" xfId="4" applyFont="1" applyFill="1" applyBorder="1" applyAlignment="1">
      <alignment horizontal="left" vertical="top" wrapText="1"/>
    </xf>
    <xf numFmtId="0" fontId="41" fillId="6" borderId="102" xfId="4" applyFont="1" applyFill="1" applyBorder="1" applyAlignment="1">
      <alignment horizontal="left" vertical="top" wrapText="1"/>
    </xf>
    <xf numFmtId="0" fontId="41" fillId="6" borderId="46" xfId="4" applyFont="1" applyFill="1" applyBorder="1" applyAlignment="1">
      <alignment horizontal="left" vertical="top" wrapText="1"/>
    </xf>
    <xf numFmtId="0" fontId="41" fillId="6" borderId="95" xfId="4" applyFont="1" applyFill="1" applyBorder="1" applyAlignment="1">
      <alignment horizontal="left" vertical="top" wrapText="1"/>
    </xf>
    <xf numFmtId="0" fontId="24" fillId="0" borderId="43" xfId="78" applyFont="1" applyFill="1" applyBorder="1" applyAlignment="1">
      <alignment horizontal="center" vertical="center" wrapText="1" readingOrder="2"/>
    </xf>
    <xf numFmtId="0" fontId="24" fillId="0" borderId="39" xfId="78" applyFont="1" applyFill="1" applyBorder="1" applyAlignment="1">
      <alignment horizontal="center" vertical="center" wrapText="1" readingOrder="2"/>
    </xf>
    <xf numFmtId="0" fontId="24" fillId="0" borderId="10" xfId="78" applyFont="1" applyFill="1" applyBorder="1" applyAlignment="1">
      <alignment horizontal="center"/>
    </xf>
    <xf numFmtId="0" fontId="24" fillId="0" borderId="9" xfId="78" applyFont="1" applyFill="1" applyBorder="1" applyAlignment="1">
      <alignment horizontal="center"/>
    </xf>
    <xf numFmtId="0" fontId="24" fillId="6" borderId="27" xfId="78" applyFont="1" applyFill="1" applyBorder="1" applyAlignment="1">
      <alignment horizontal="center" vertical="center" readingOrder="2"/>
    </xf>
    <xf numFmtId="0" fontId="24" fillId="6" borderId="73" xfId="78" applyFont="1" applyFill="1" applyBorder="1" applyAlignment="1">
      <alignment horizontal="center" vertical="center" readingOrder="2"/>
    </xf>
    <xf numFmtId="0" fontId="24" fillId="6" borderId="29" xfId="78" applyFont="1" applyFill="1" applyBorder="1" applyAlignment="1">
      <alignment horizontal="center" vertical="center" readingOrder="2"/>
    </xf>
    <xf numFmtId="0" fontId="24" fillId="0" borderId="10" xfId="4" applyFont="1" applyFill="1" applyBorder="1" applyAlignment="1">
      <alignment horizontal="center" vertical="center" wrapText="1"/>
    </xf>
    <xf numFmtId="0" fontId="24" fillId="0" borderId="37" xfId="4" applyFont="1" applyFill="1" applyBorder="1" applyAlignment="1">
      <alignment horizontal="center" vertical="center" wrapText="1"/>
    </xf>
    <xf numFmtId="0" fontId="25" fillId="18" borderId="1" xfId="78" applyFont="1" applyFill="1" applyBorder="1" applyAlignment="1">
      <alignment horizontal="center" vertical="center" wrapText="1"/>
    </xf>
    <xf numFmtId="0" fontId="25" fillId="18" borderId="2" xfId="78" applyFont="1" applyFill="1" applyBorder="1" applyAlignment="1">
      <alignment horizontal="center" vertical="center" wrapText="1"/>
    </xf>
    <xf numFmtId="0" fontId="24" fillId="0" borderId="51" xfId="4" applyFont="1" applyFill="1" applyBorder="1" applyAlignment="1">
      <alignment horizontal="center" vertical="center" wrapText="1"/>
    </xf>
    <xf numFmtId="0" fontId="24" fillId="0" borderId="24" xfId="4" applyFont="1" applyFill="1" applyBorder="1" applyAlignment="1">
      <alignment horizontal="center" vertical="center" wrapText="1"/>
    </xf>
    <xf numFmtId="0" fontId="24" fillId="0" borderId="11" xfId="4" applyFont="1" applyFill="1" applyBorder="1" applyAlignment="1">
      <alignment horizontal="center" vertical="center" wrapText="1"/>
    </xf>
    <xf numFmtId="0" fontId="24" fillId="0" borderId="140" xfId="4" applyFont="1" applyFill="1" applyBorder="1" applyAlignment="1">
      <alignment horizontal="center" vertical="center" wrapText="1"/>
    </xf>
    <xf numFmtId="0" fontId="25" fillId="6" borderId="0" xfId="15" applyFont="1" applyFill="1" applyBorder="1" applyAlignment="1">
      <alignment horizontal="left" vertical="center" wrapText="1"/>
    </xf>
    <xf numFmtId="0" fontId="32" fillId="6" borderId="0" xfId="15" applyFont="1" applyFill="1" applyBorder="1" applyAlignment="1">
      <alignment horizontal="left" wrapText="1"/>
    </xf>
    <xf numFmtId="0" fontId="25" fillId="0" borderId="3" xfId="15" applyFont="1" applyFill="1" applyBorder="1" applyAlignment="1">
      <alignment horizontal="left" vertical="center" wrapText="1"/>
    </xf>
    <xf numFmtId="0" fontId="25" fillId="0" borderId="4" xfId="15" applyFont="1" applyFill="1" applyBorder="1" applyAlignment="1">
      <alignment horizontal="left" vertical="center" wrapText="1"/>
    </xf>
    <xf numFmtId="0" fontId="25" fillId="0" borderId="6" xfId="15" applyFont="1" applyFill="1" applyBorder="1" applyAlignment="1">
      <alignment horizontal="left" vertical="center" wrapText="1"/>
    </xf>
    <xf numFmtId="0" fontId="25" fillId="0" borderId="7" xfId="15" applyFont="1" applyFill="1" applyBorder="1" applyAlignment="1">
      <alignment horizontal="left" vertical="center" wrapText="1"/>
    </xf>
    <xf numFmtId="0" fontId="25" fillId="0" borderId="242" xfId="15" applyFont="1" applyFill="1" applyBorder="1" applyAlignment="1">
      <alignment horizontal="left" vertical="center" wrapText="1"/>
    </xf>
    <xf numFmtId="0" fontId="25" fillId="0" borderId="240" xfId="15" applyFont="1" applyFill="1" applyBorder="1" applyAlignment="1">
      <alignment horizontal="left" vertical="center" wrapText="1"/>
    </xf>
    <xf numFmtId="0" fontId="25" fillId="6" borderId="68" xfId="78" applyFont="1" applyFill="1" applyBorder="1" applyAlignment="1">
      <alignment horizontal="center" vertical="top" wrapText="1"/>
    </xf>
    <xf numFmtId="0" fontId="25" fillId="6" borderId="69" xfId="78" applyFont="1" applyFill="1" applyBorder="1" applyAlignment="1">
      <alignment horizontal="center" vertical="top" wrapText="1"/>
    </xf>
    <xf numFmtId="0" fontId="25" fillId="6" borderId="83" xfId="78" applyFont="1" applyFill="1" applyBorder="1" applyAlignment="1">
      <alignment horizontal="center" vertical="top" wrapText="1"/>
    </xf>
    <xf numFmtId="0" fontId="25" fillId="6" borderId="19" xfId="78" applyFont="1" applyFill="1" applyBorder="1" applyAlignment="1">
      <alignment horizontal="left" vertical="top" wrapText="1" readingOrder="1"/>
    </xf>
    <xf numFmtId="0" fontId="25" fillId="6" borderId="24" xfId="78" applyFont="1" applyFill="1" applyBorder="1" applyAlignment="1">
      <alignment horizontal="left" vertical="top" wrapText="1" readingOrder="1"/>
    </xf>
    <xf numFmtId="0" fontId="25" fillId="6" borderId="21" xfId="78" applyFont="1" applyFill="1" applyBorder="1" applyAlignment="1">
      <alignment horizontal="left" vertical="top" wrapText="1" readingOrder="1"/>
    </xf>
    <xf numFmtId="0" fontId="25" fillId="6" borderId="23" xfId="78" applyFont="1" applyFill="1" applyBorder="1" applyAlignment="1">
      <alignment horizontal="left" vertical="top" wrapText="1" readingOrder="1"/>
    </xf>
    <xf numFmtId="0" fontId="32" fillId="39" borderId="0" xfId="78" applyFont="1" applyFill="1" applyAlignment="1">
      <alignment horizontal="center" vertical="center" readingOrder="2"/>
    </xf>
    <xf numFmtId="0" fontId="32" fillId="39" borderId="242" xfId="78" applyFont="1" applyFill="1" applyBorder="1" applyAlignment="1">
      <alignment horizontal="center" vertical="center" readingOrder="2"/>
    </xf>
    <xf numFmtId="0" fontId="32" fillId="39" borderId="6" xfId="78" applyFont="1" applyFill="1" applyBorder="1" applyAlignment="1">
      <alignment horizontal="center" vertical="center" readingOrder="2"/>
    </xf>
    <xf numFmtId="0" fontId="24" fillId="6" borderId="21" xfId="78" applyFont="1" applyFill="1" applyBorder="1" applyAlignment="1">
      <alignment horizontal="center" vertical="top" wrapText="1" readingOrder="1"/>
    </xf>
    <xf numFmtId="0" fontId="24" fillId="6" borderId="23" xfId="78" applyFont="1" applyFill="1" applyBorder="1" applyAlignment="1">
      <alignment horizontal="center" vertical="top" wrapText="1" readingOrder="1"/>
    </xf>
    <xf numFmtId="0" fontId="25" fillId="0" borderId="19" xfId="78" applyFont="1" applyFill="1" applyBorder="1" applyAlignment="1">
      <alignment horizontal="left" vertical="top" wrapText="1" readingOrder="1"/>
    </xf>
    <xf numFmtId="0" fontId="25" fillId="0" borderId="24" xfId="78" applyFont="1" applyFill="1" applyBorder="1" applyAlignment="1">
      <alignment horizontal="left" vertical="top" wrapText="1" readingOrder="1"/>
    </xf>
    <xf numFmtId="0" fontId="25" fillId="0" borderId="21" xfId="78" applyFont="1" applyFill="1" applyBorder="1" applyAlignment="1">
      <alignment horizontal="left" vertical="top" wrapText="1" readingOrder="1"/>
    </xf>
    <xf numFmtId="0" fontId="25" fillId="0" borderId="23" xfId="78" applyFont="1" applyFill="1" applyBorder="1" applyAlignment="1">
      <alignment horizontal="left" vertical="top" wrapText="1" readingOrder="1"/>
    </xf>
    <xf numFmtId="0" fontId="24" fillId="0" borderId="21" xfId="78" applyFont="1" applyFill="1" applyBorder="1" applyAlignment="1">
      <alignment horizontal="center" vertical="top" wrapText="1" readingOrder="1"/>
    </xf>
    <xf numFmtId="0" fontId="24" fillId="0" borderId="23" xfId="78" applyFont="1" applyFill="1" applyBorder="1" applyAlignment="1">
      <alignment horizontal="center" vertical="top" wrapText="1" readingOrder="1"/>
    </xf>
    <xf numFmtId="0" fontId="25" fillId="6" borderId="242" xfId="15" applyFont="1" applyFill="1" applyBorder="1" applyAlignment="1">
      <alignment horizontal="left" vertical="center" wrapText="1"/>
    </xf>
    <xf numFmtId="0" fontId="25" fillId="6" borderId="240" xfId="15" applyFont="1" applyFill="1" applyBorder="1" applyAlignment="1">
      <alignment horizontal="left" vertical="center" wrapText="1"/>
    </xf>
    <xf numFmtId="0" fontId="25" fillId="6" borderId="6" xfId="15" applyFont="1" applyFill="1" applyBorder="1" applyAlignment="1">
      <alignment horizontal="left" vertical="center" wrapText="1"/>
    </xf>
    <xf numFmtId="0" fontId="25" fillId="6" borderId="7" xfId="15" applyFont="1" applyFill="1" applyBorder="1" applyAlignment="1">
      <alignment horizontal="left" vertical="center" wrapText="1"/>
    </xf>
    <xf numFmtId="0" fontId="21" fillId="0" borderId="0" xfId="78" applyFont="1" applyFill="1" applyBorder="1" applyAlignment="1">
      <alignment horizontal="left" vertical="center" wrapText="1" shrinkToFit="1"/>
    </xf>
    <xf numFmtId="0" fontId="40" fillId="0" borderId="68" xfId="78" applyFont="1" applyFill="1" applyBorder="1" applyAlignment="1">
      <alignment horizontal="left" vertical="top" wrapText="1" readingOrder="1"/>
    </xf>
    <xf numFmtId="0" fontId="40" fillId="0" borderId="69" xfId="78" applyFont="1" applyFill="1" applyBorder="1" applyAlignment="1">
      <alignment horizontal="left" vertical="top" wrapText="1" readingOrder="1"/>
    </xf>
    <xf numFmtId="0" fontId="25" fillId="20" borderId="31" xfId="78" applyFont="1" applyFill="1" applyBorder="1" applyAlignment="1">
      <alignment horizontal="left" vertical="center"/>
    </xf>
    <xf numFmtId="0" fontId="25" fillId="20" borderId="30" xfId="78" applyFont="1" applyFill="1" applyBorder="1" applyAlignment="1">
      <alignment horizontal="left" vertical="center"/>
    </xf>
    <xf numFmtId="0" fontId="25" fillId="20" borderId="10" xfId="78" applyFont="1" applyFill="1" applyBorder="1" applyAlignment="1">
      <alignment horizontal="left" vertical="center"/>
    </xf>
    <xf numFmtId="0" fontId="25" fillId="20" borderId="8" xfId="78" applyFont="1" applyFill="1" applyBorder="1" applyAlignment="1">
      <alignment horizontal="left" vertical="center"/>
    </xf>
    <xf numFmtId="0" fontId="25" fillId="20" borderId="9" xfId="78" applyFont="1" applyFill="1" applyBorder="1" applyAlignment="1">
      <alignment horizontal="left" vertical="center"/>
    </xf>
    <xf numFmtId="0" fontId="41" fillId="0" borderId="50" xfId="78" applyFont="1" applyFill="1" applyBorder="1" applyAlignment="1">
      <alignment horizontal="center" vertical="center" wrapText="1" readingOrder="1"/>
    </xf>
    <xf numFmtId="0" fontId="41" fillId="0" borderId="15" xfId="78" applyFont="1" applyFill="1" applyBorder="1" applyAlignment="1">
      <alignment horizontal="center" vertical="center" wrapText="1" readingOrder="1"/>
    </xf>
    <xf numFmtId="0" fontId="40" fillId="0" borderId="20" xfId="4" applyFont="1" applyFill="1" applyBorder="1" applyAlignment="1">
      <alignment horizontal="left" vertical="top" wrapText="1"/>
    </xf>
    <xf numFmtId="0" fontId="40" fillId="0" borderId="102" xfId="4" applyFont="1" applyFill="1" applyBorder="1" applyAlignment="1">
      <alignment horizontal="left" vertical="top" wrapText="1"/>
    </xf>
    <xf numFmtId="0" fontId="40" fillId="0" borderId="0" xfId="4" applyFont="1" applyFill="1" applyBorder="1" applyAlignment="1">
      <alignment horizontal="left" vertical="top" wrapText="1"/>
    </xf>
    <xf numFmtId="0" fontId="40" fillId="0" borderId="94" xfId="4" applyFont="1" applyFill="1" applyBorder="1" applyAlignment="1">
      <alignment horizontal="left" vertical="top" wrapText="1"/>
    </xf>
    <xf numFmtId="0" fontId="40" fillId="0" borderId="46" xfId="4" applyFont="1" applyFill="1" applyBorder="1" applyAlignment="1">
      <alignment horizontal="left" vertical="top" wrapText="1"/>
    </xf>
    <xf numFmtId="0" fontId="40" fillId="0" borderId="95" xfId="4" applyFont="1" applyFill="1" applyBorder="1" applyAlignment="1">
      <alignment horizontal="left" vertical="top" wrapText="1"/>
    </xf>
    <xf numFmtId="0" fontId="40" fillId="0" borderId="173" xfId="78" applyFont="1" applyFill="1" applyBorder="1" applyAlignment="1">
      <alignment horizontal="left" vertical="top" wrapText="1" readingOrder="1"/>
    </xf>
    <xf numFmtId="0" fontId="40" fillId="0" borderId="104" xfId="78" applyFont="1" applyFill="1" applyBorder="1" applyAlignment="1">
      <alignment horizontal="left" vertical="top" wrapText="1" readingOrder="1"/>
    </xf>
    <xf numFmtId="0" fontId="40" fillId="0" borderId="174" xfId="78" applyFont="1" applyFill="1" applyBorder="1" applyAlignment="1">
      <alignment horizontal="left" vertical="top" wrapText="1" readingOrder="1"/>
    </xf>
    <xf numFmtId="0" fontId="40" fillId="0" borderId="55" xfId="78" applyFont="1" applyFill="1" applyBorder="1" applyAlignment="1">
      <alignment horizontal="center" vertical="center" wrapText="1" readingOrder="1"/>
    </xf>
    <xf numFmtId="0" fontId="40" fillId="0" borderId="178" xfId="78" applyFont="1" applyFill="1" applyBorder="1" applyAlignment="1">
      <alignment horizontal="center" vertical="center" wrapText="1" readingOrder="1"/>
    </xf>
    <xf numFmtId="0" fontId="41" fillId="0" borderId="22" xfId="4" applyFont="1" applyFill="1" applyBorder="1" applyAlignment="1">
      <alignment horizontal="center"/>
    </xf>
    <xf numFmtId="0" fontId="41" fillId="0" borderId="341" xfId="4" applyFont="1" applyFill="1" applyBorder="1" applyAlignment="1">
      <alignment horizontal="center"/>
    </xf>
    <xf numFmtId="0" fontId="40" fillId="0" borderId="146" xfId="78" applyFont="1" applyFill="1" applyBorder="1" applyAlignment="1">
      <alignment horizontal="center" vertical="center" wrapText="1" readingOrder="1"/>
    </xf>
    <xf numFmtId="0" fontId="40" fillId="0" borderId="69" xfId="78" applyFont="1" applyFill="1" applyBorder="1" applyAlignment="1">
      <alignment horizontal="center" vertical="center" wrapText="1" readingOrder="1"/>
    </xf>
    <xf numFmtId="0" fontId="40" fillId="0" borderId="72" xfId="78" applyFont="1" applyFill="1" applyBorder="1" applyAlignment="1">
      <alignment horizontal="center" vertical="center" wrapText="1" readingOrder="1"/>
    </xf>
    <xf numFmtId="0" fontId="32" fillId="0" borderId="28" xfId="78" applyNumberFormat="1" applyFont="1" applyFill="1" applyBorder="1" applyAlignment="1">
      <alignment horizontal="center" vertical="center" readingOrder="2"/>
    </xf>
    <xf numFmtId="0" fontId="32" fillId="0" borderId="29" xfId="78" applyNumberFormat="1" applyFont="1" applyFill="1" applyBorder="1" applyAlignment="1">
      <alignment horizontal="center" vertical="center" readingOrder="2"/>
    </xf>
    <xf numFmtId="0" fontId="17" fillId="0" borderId="24" xfId="78" applyFont="1" applyFill="1" applyBorder="1" applyAlignment="1">
      <alignment horizontal="center" vertical="center" wrapText="1" readingOrder="1"/>
    </xf>
    <xf numFmtId="0" fontId="17" fillId="0" borderId="23" xfId="78" applyFont="1" applyFill="1" applyBorder="1" applyAlignment="1">
      <alignment horizontal="center" vertical="center" wrapText="1" readingOrder="1"/>
    </xf>
    <xf numFmtId="0" fontId="40" fillId="0" borderId="20" xfId="4" applyFont="1" applyFill="1" applyBorder="1" applyAlignment="1">
      <alignment horizontal="left" vertical="center" wrapText="1"/>
    </xf>
    <xf numFmtId="0" fontId="40" fillId="0" borderId="24" xfId="4" applyFont="1" applyFill="1" applyBorder="1" applyAlignment="1">
      <alignment horizontal="left" vertical="center" wrapText="1"/>
    </xf>
    <xf numFmtId="0" fontId="40" fillId="0" borderId="0" xfId="4" applyFont="1" applyFill="1" applyBorder="1" applyAlignment="1">
      <alignment horizontal="left" vertical="center" wrapText="1"/>
    </xf>
    <xf numFmtId="0" fontId="40" fillId="0" borderId="23" xfId="4" applyFont="1" applyFill="1" applyBorder="1" applyAlignment="1">
      <alignment horizontal="left" vertical="center" wrapText="1"/>
    </xf>
    <xf numFmtId="0" fontId="40" fillId="0" borderId="156" xfId="4" applyFont="1" applyFill="1" applyBorder="1" applyAlignment="1">
      <alignment horizontal="left" vertical="center" wrapText="1"/>
    </xf>
    <xf numFmtId="0" fontId="24" fillId="0" borderId="42" xfId="78" applyFont="1" applyFill="1" applyBorder="1" applyAlignment="1">
      <alignment horizontal="left" vertical="center" wrapText="1"/>
    </xf>
    <xf numFmtId="0" fontId="24" fillId="0" borderId="8" xfId="78" applyFont="1" applyFill="1" applyBorder="1" applyAlignment="1">
      <alignment horizontal="left" vertical="center" wrapText="1"/>
    </xf>
    <xf numFmtId="0" fontId="24" fillId="0" borderId="37" xfId="78" applyFont="1" applyFill="1" applyBorder="1" applyAlignment="1">
      <alignment horizontal="left" vertical="center" wrapText="1"/>
    </xf>
    <xf numFmtId="0" fontId="30" fillId="6" borderId="144" xfId="15" applyFont="1" applyFill="1" applyBorder="1" applyAlignment="1">
      <alignment horizontal="left" vertical="center" wrapText="1"/>
    </xf>
    <xf numFmtId="0" fontId="24" fillId="0" borderId="8" xfId="78" applyFont="1" applyFill="1" applyBorder="1" applyAlignment="1">
      <alignment horizontal="center" vertical="center" wrapText="1"/>
    </xf>
    <xf numFmtId="0" fontId="24" fillId="0" borderId="37" xfId="78" applyFont="1" applyFill="1" applyBorder="1" applyAlignment="1">
      <alignment horizontal="center" vertical="center" wrapText="1"/>
    </xf>
    <xf numFmtId="0" fontId="18" fillId="0" borderId="0" xfId="78" applyFont="1" applyFill="1" applyBorder="1" applyAlignment="1">
      <alignment horizontal="right" vertical="center" shrinkToFit="1"/>
    </xf>
    <xf numFmtId="0" fontId="32" fillId="13" borderId="27" xfId="78" applyFont="1" applyFill="1" applyBorder="1" applyAlignment="1">
      <alignment horizontal="center" vertical="center"/>
    </xf>
    <xf numFmtId="0" fontId="32" fillId="13" borderId="29" xfId="78" applyFont="1" applyFill="1" applyBorder="1" applyAlignment="1">
      <alignment horizontal="center" vertical="center"/>
    </xf>
    <xf numFmtId="0" fontId="25" fillId="0" borderId="19" xfId="78" applyFont="1" applyFill="1" applyBorder="1" applyAlignment="1">
      <alignment horizontal="center"/>
    </xf>
    <xf numFmtId="0" fontId="25" fillId="0" borderId="24" xfId="78" applyFont="1" applyFill="1" applyBorder="1" applyAlignment="1">
      <alignment horizontal="center"/>
    </xf>
    <xf numFmtId="0" fontId="25" fillId="0" borderId="22" xfId="78" applyFont="1" applyFill="1" applyBorder="1" applyAlignment="1">
      <alignment horizontal="center"/>
    </xf>
    <xf numFmtId="0" fontId="25" fillId="0" borderId="341" xfId="78" applyFont="1" applyFill="1" applyBorder="1" applyAlignment="1">
      <alignment horizontal="center"/>
    </xf>
    <xf numFmtId="0" fontId="32" fillId="13" borderId="27" xfId="78" applyFont="1" applyFill="1" applyBorder="1" applyAlignment="1">
      <alignment horizontal="center" readingOrder="2"/>
    </xf>
    <xf numFmtId="0" fontId="32" fillId="13" borderId="29" xfId="78" applyFont="1" applyFill="1" applyBorder="1" applyAlignment="1">
      <alignment horizontal="center" readingOrder="2"/>
    </xf>
    <xf numFmtId="0" fontId="25" fillId="0" borderId="27" xfId="78" applyFont="1" applyFill="1" applyBorder="1" applyAlignment="1">
      <alignment horizontal="left" vertical="center" wrapText="1"/>
    </xf>
    <xf numFmtId="0" fontId="25" fillId="0" borderId="28" xfId="78" applyFont="1" applyFill="1" applyBorder="1" applyAlignment="1">
      <alignment horizontal="left" vertical="center" wrapText="1"/>
    </xf>
    <xf numFmtId="0" fontId="25" fillId="0" borderId="29" xfId="78" applyFont="1" applyFill="1" applyBorder="1" applyAlignment="1">
      <alignment horizontal="left" vertical="center" wrapText="1"/>
    </xf>
    <xf numFmtId="0" fontId="25" fillId="0" borderId="21" xfId="78" applyFont="1" applyFill="1" applyBorder="1" applyAlignment="1">
      <alignment horizontal="left" vertical="center" wrapText="1"/>
    </xf>
    <xf numFmtId="0" fontId="25" fillId="0" borderId="0" xfId="78" applyFont="1" applyFill="1" applyBorder="1" applyAlignment="1">
      <alignment horizontal="left" vertical="center" wrapText="1"/>
    </xf>
    <xf numFmtId="0" fontId="25" fillId="0" borderId="23" xfId="78" applyFont="1" applyFill="1" applyBorder="1" applyAlignment="1">
      <alignment horizontal="left" vertical="center" wrapText="1"/>
    </xf>
    <xf numFmtId="0" fontId="25" fillId="0" borderId="22" xfId="78" applyFont="1" applyFill="1" applyBorder="1" applyAlignment="1">
      <alignment horizontal="left" vertical="center" wrapText="1"/>
    </xf>
    <xf numFmtId="0" fontId="25" fillId="0" borderId="97" xfId="78" applyFont="1" applyFill="1" applyBorder="1" applyAlignment="1">
      <alignment horizontal="left" vertical="center" wrapText="1"/>
    </xf>
    <xf numFmtId="0" fontId="25" fillId="0" borderId="110" xfId="78" applyFont="1" applyFill="1" applyBorder="1" applyAlignment="1">
      <alignment horizontal="left" vertical="center" wrapText="1"/>
    </xf>
    <xf numFmtId="0" fontId="117" fillId="6" borderId="0" xfId="15" applyFont="1" applyFill="1" applyBorder="1" applyAlignment="1">
      <alignment horizontal="left" vertical="top" wrapText="1"/>
    </xf>
    <xf numFmtId="0" fontId="24" fillId="0" borderId="55" xfId="78" applyFont="1" applyFill="1" applyBorder="1" applyAlignment="1">
      <alignment horizontal="left" vertical="center" wrapText="1"/>
    </xf>
    <xf numFmtId="0" fontId="24" fillId="0" borderId="3" xfId="78" applyFont="1" applyFill="1" applyBorder="1" applyAlignment="1">
      <alignment horizontal="left" vertical="center" wrapText="1"/>
    </xf>
    <xf numFmtId="0" fontId="24" fillId="0" borderId="140" xfId="78" applyFont="1" applyFill="1" applyBorder="1" applyAlignment="1">
      <alignment horizontal="left" vertical="center" wrapText="1"/>
    </xf>
    <xf numFmtId="0" fontId="63" fillId="39" borderId="27" xfId="78" applyFont="1" applyFill="1" applyBorder="1" applyAlignment="1">
      <alignment horizontal="center" vertical="center" readingOrder="2"/>
    </xf>
    <xf numFmtId="0" fontId="63" fillId="39" borderId="28" xfId="78" applyFont="1" applyFill="1" applyBorder="1" applyAlignment="1">
      <alignment horizontal="center" vertical="center" readingOrder="2"/>
    </xf>
    <xf numFmtId="0" fontId="63" fillId="39" borderId="29" xfId="78" applyFont="1" applyFill="1" applyBorder="1" applyAlignment="1">
      <alignment horizontal="center" vertical="center" readingOrder="2"/>
    </xf>
    <xf numFmtId="0" fontId="21" fillId="0" borderId="0" xfId="78" applyFont="1" applyFill="1" applyBorder="1" applyAlignment="1">
      <alignment horizontal="center" vertical="center" wrapText="1" shrinkToFit="1"/>
    </xf>
    <xf numFmtId="0" fontId="24" fillId="0" borderId="31" xfId="78" applyFont="1" applyFill="1" applyBorder="1" applyAlignment="1">
      <alignment horizontal="left" vertical="center" wrapText="1"/>
    </xf>
    <xf numFmtId="0" fontId="24" fillId="0" borderId="30" xfId="78" applyFont="1" applyFill="1" applyBorder="1" applyAlignment="1">
      <alignment horizontal="left" vertical="center" wrapText="1"/>
    </xf>
    <xf numFmtId="0" fontId="24" fillId="0" borderId="32" xfId="78" applyFont="1" applyFill="1" applyBorder="1" applyAlignment="1">
      <alignment horizontal="left" vertical="center" wrapText="1"/>
    </xf>
    <xf numFmtId="0" fontId="24" fillId="0" borderId="31" xfId="4" applyFont="1" applyFill="1" applyBorder="1" applyAlignment="1">
      <alignment horizontal="center" vertical="center" wrapText="1"/>
    </xf>
    <xf numFmtId="0" fontId="24" fillId="0" borderId="32" xfId="4" applyFont="1" applyFill="1" applyBorder="1" applyAlignment="1">
      <alignment horizontal="center" vertical="center" wrapText="1"/>
    </xf>
    <xf numFmtId="0" fontId="25" fillId="0" borderId="19" xfId="78" applyFont="1" applyFill="1" applyBorder="1" applyAlignment="1">
      <alignment horizontal="left" vertical="center" wrapText="1"/>
    </xf>
    <xf numFmtId="0" fontId="25" fillId="0" borderId="20" xfId="78" applyFont="1" applyFill="1" applyBorder="1" applyAlignment="1">
      <alignment horizontal="left" vertical="center" wrapText="1"/>
    </xf>
    <xf numFmtId="0" fontId="25" fillId="0" borderId="24" xfId="78" applyFont="1" applyFill="1" applyBorder="1" applyAlignment="1">
      <alignment horizontal="left" vertical="center" wrapText="1"/>
    </xf>
    <xf numFmtId="0" fontId="25" fillId="0" borderId="19" xfId="78" applyFont="1" applyFill="1" applyBorder="1" applyAlignment="1">
      <alignment horizontal="center" wrapText="1"/>
    </xf>
    <xf numFmtId="0" fontId="25" fillId="0" borderId="24" xfId="78" applyFont="1" applyFill="1" applyBorder="1" applyAlignment="1">
      <alignment horizontal="center" wrapText="1"/>
    </xf>
    <xf numFmtId="0" fontId="25" fillId="0" borderId="21" xfId="78" applyFont="1" applyFill="1" applyBorder="1" applyAlignment="1">
      <alignment horizontal="center" wrapText="1"/>
    </xf>
    <xf numFmtId="0" fontId="25" fillId="0" borderId="23" xfId="78" applyFont="1" applyFill="1" applyBorder="1" applyAlignment="1">
      <alignment horizontal="center" wrapText="1"/>
    </xf>
    <xf numFmtId="0" fontId="25" fillId="0" borderId="22" xfId="78" applyFont="1" applyFill="1" applyBorder="1" applyAlignment="1">
      <alignment horizontal="center" wrapText="1"/>
    </xf>
    <xf numFmtId="0" fontId="25" fillId="0" borderId="341" xfId="78" applyFont="1" applyFill="1" applyBorder="1" applyAlignment="1">
      <alignment horizontal="center" wrapText="1"/>
    </xf>
    <xf numFmtId="2" fontId="63" fillId="39" borderId="27" xfId="4" applyNumberFormat="1" applyFont="1" applyFill="1" applyBorder="1" applyAlignment="1">
      <alignment horizontal="center" vertical="center" readingOrder="2"/>
    </xf>
    <xf numFmtId="2" fontId="63" fillId="39" borderId="29" xfId="4" applyNumberFormat="1" applyFont="1" applyFill="1" applyBorder="1" applyAlignment="1">
      <alignment horizontal="center" vertical="center" readingOrder="2"/>
    </xf>
    <xf numFmtId="0" fontId="25" fillId="0" borderId="0" xfId="78" applyFont="1" applyFill="1" applyBorder="1" applyAlignment="1">
      <alignment horizontal="left" vertical="top" wrapText="1"/>
    </xf>
    <xf numFmtId="0" fontId="30" fillId="6" borderId="127" xfId="15" applyFont="1" applyFill="1" applyBorder="1" applyAlignment="1">
      <alignment horizontal="center" vertical="center" wrapText="1"/>
    </xf>
    <xf numFmtId="0" fontId="30" fillId="6" borderId="103" xfId="15" applyFont="1" applyFill="1" applyBorder="1" applyAlignment="1">
      <alignment horizontal="center" vertical="center" wrapText="1"/>
    </xf>
    <xf numFmtId="0" fontId="25" fillId="6" borderId="19" xfId="15" applyFont="1" applyFill="1" applyBorder="1" applyAlignment="1">
      <alignment horizontal="left" vertical="center" wrapText="1"/>
    </xf>
    <xf numFmtId="0" fontId="25" fillId="6" borderId="20" xfId="15" applyFont="1" applyFill="1" applyBorder="1" applyAlignment="1">
      <alignment horizontal="left" vertical="center" wrapText="1"/>
    </xf>
    <xf numFmtId="0" fontId="25" fillId="6" borderId="21" xfId="15" applyFont="1" applyFill="1" applyBorder="1" applyAlignment="1">
      <alignment horizontal="left" vertical="center" wrapText="1"/>
    </xf>
    <xf numFmtId="0" fontId="32" fillId="6" borderId="22" xfId="15" applyFont="1" applyFill="1" applyBorder="1" applyAlignment="1">
      <alignment horizontal="center" wrapText="1"/>
    </xf>
    <xf numFmtId="0" fontId="32" fillId="6" borderId="341" xfId="15" applyFont="1" applyFill="1" applyBorder="1" applyAlignment="1">
      <alignment horizontal="center" wrapText="1"/>
    </xf>
    <xf numFmtId="0" fontId="25" fillId="20" borderId="239" xfId="78" applyFont="1" applyFill="1" applyBorder="1" applyAlignment="1">
      <alignment horizontal="left" vertical="center"/>
    </xf>
    <xf numFmtId="0" fontId="19" fillId="0" borderId="355" xfId="78" applyFont="1" applyFill="1" applyBorder="1" applyAlignment="1">
      <alignment horizontal="left" vertical="top" wrapText="1" readingOrder="1"/>
    </xf>
    <xf numFmtId="0" fontId="19" fillId="0" borderId="356" xfId="78" applyFont="1" applyFill="1" applyBorder="1" applyAlignment="1">
      <alignment horizontal="left" vertical="top" wrapText="1" readingOrder="1"/>
    </xf>
    <xf numFmtId="0" fontId="25" fillId="20" borderId="1" xfId="78" applyFont="1" applyFill="1" applyBorder="1" applyAlignment="1">
      <alignment horizontal="left" vertical="center"/>
    </xf>
    <xf numFmtId="0" fontId="85" fillId="6" borderId="50" xfId="78" applyFont="1" applyFill="1" applyBorder="1" applyAlignment="1">
      <alignment horizontal="center" vertical="center" wrapText="1" readingOrder="1"/>
    </xf>
    <xf numFmtId="0" fontId="85" fillId="6" borderId="15" xfId="78" applyFont="1" applyFill="1" applyBorder="1" applyAlignment="1">
      <alignment horizontal="center" vertical="center" wrapText="1" readingOrder="1"/>
    </xf>
    <xf numFmtId="0" fontId="85" fillId="6" borderId="1" xfId="78" applyFont="1" applyFill="1" applyBorder="1" applyAlignment="1">
      <alignment horizontal="center" vertical="center" wrapText="1" readingOrder="1"/>
    </xf>
    <xf numFmtId="0" fontId="24" fillId="6" borderId="51" xfId="4" applyFont="1" applyFill="1" applyBorder="1" applyAlignment="1">
      <alignment horizontal="left" vertical="top" wrapText="1"/>
    </xf>
    <xf numFmtId="0" fontId="24" fillId="6" borderId="102" xfId="4" applyFont="1" applyFill="1" applyBorder="1" applyAlignment="1">
      <alignment horizontal="left" vertical="top" wrapText="1"/>
    </xf>
    <xf numFmtId="0" fontId="24" fillId="6" borderId="1" xfId="4" applyFont="1" applyFill="1" applyBorder="1" applyAlignment="1">
      <alignment horizontal="left" vertical="top" wrapText="1"/>
    </xf>
    <xf numFmtId="0" fontId="24" fillId="6" borderId="94" xfId="4" applyFont="1" applyFill="1" applyBorder="1" applyAlignment="1">
      <alignment horizontal="left" vertical="top" wrapText="1"/>
    </xf>
    <xf numFmtId="0" fontId="19" fillId="0" borderId="10" xfId="0" applyFont="1" applyFill="1" applyBorder="1" applyAlignment="1">
      <alignment horizontal="left" wrapText="1"/>
    </xf>
    <xf numFmtId="0" fontId="19" fillId="0" borderId="8" xfId="0" applyFont="1" applyFill="1" applyBorder="1" applyAlignment="1">
      <alignment horizontal="left" wrapText="1"/>
    </xf>
    <xf numFmtId="0" fontId="19" fillId="0" borderId="9" xfId="0" applyFont="1" applyFill="1" applyBorder="1" applyAlignment="1">
      <alignment horizontal="left" wrapText="1"/>
    </xf>
    <xf numFmtId="0" fontId="24" fillId="0" borderId="14" xfId="4" applyFont="1" applyFill="1" applyBorder="1" applyAlignment="1">
      <alignment horizontal="center" vertical="center" wrapText="1"/>
    </xf>
    <xf numFmtId="0" fontId="24" fillId="0" borderId="67" xfId="4" applyFont="1" applyFill="1" applyBorder="1" applyAlignment="1">
      <alignment horizontal="center" vertical="center" wrapText="1"/>
    </xf>
    <xf numFmtId="0" fontId="19" fillId="0" borderId="40" xfId="0" applyFont="1" applyFill="1" applyBorder="1" applyAlignment="1">
      <alignment horizontal="left" wrapText="1"/>
    </xf>
    <xf numFmtId="0" fontId="19" fillId="0" borderId="38" xfId="0" applyFont="1" applyFill="1" applyBorder="1" applyAlignment="1">
      <alignment horizontal="left" wrapText="1"/>
    </xf>
    <xf numFmtId="0" fontId="19" fillId="0" borderId="39" xfId="0" applyFont="1" applyFill="1" applyBorder="1" applyAlignment="1">
      <alignment horizontal="left" wrapText="1"/>
    </xf>
    <xf numFmtId="0" fontId="24" fillId="0" borderId="6" xfId="4" applyFont="1" applyFill="1" applyBorder="1" applyAlignment="1">
      <alignment horizontal="center" vertical="center" wrapText="1"/>
    </xf>
    <xf numFmtId="0" fontId="24" fillId="0" borderId="25" xfId="4" applyFont="1" applyFill="1" applyBorder="1" applyAlignment="1">
      <alignment horizontal="center" vertical="center" wrapText="1"/>
    </xf>
    <xf numFmtId="0" fontId="19" fillId="0" borderId="36" xfId="0" applyFont="1" applyFill="1" applyBorder="1" applyAlignment="1">
      <alignment horizontal="left" wrapText="1"/>
    </xf>
    <xf numFmtId="0" fontId="19" fillId="0" borderId="30" xfId="0" applyFont="1" applyFill="1" applyBorder="1" applyAlignment="1">
      <alignment horizontal="left" wrapText="1"/>
    </xf>
    <xf numFmtId="0" fontId="19" fillId="0" borderId="35" xfId="0" applyFont="1" applyFill="1" applyBorder="1" applyAlignment="1">
      <alignment horizontal="left" wrapText="1"/>
    </xf>
    <xf numFmtId="0" fontId="24" fillId="0" borderId="13" xfId="4" applyFont="1" applyFill="1" applyBorder="1" applyAlignment="1">
      <alignment horizontal="center" vertical="center" wrapText="1"/>
    </xf>
    <xf numFmtId="0" fontId="24" fillId="0" borderId="80" xfId="4" applyFont="1" applyFill="1" applyBorder="1" applyAlignment="1">
      <alignment horizontal="center" vertical="center" wrapText="1"/>
    </xf>
    <xf numFmtId="0" fontId="19" fillId="0" borderId="36" xfId="0" applyFont="1" applyFill="1" applyBorder="1" applyAlignment="1">
      <alignment horizontal="left" vertical="top" wrapText="1"/>
    </xf>
    <xf numFmtId="0" fontId="19" fillId="0" borderId="30" xfId="0" applyFont="1" applyFill="1" applyBorder="1" applyAlignment="1">
      <alignment horizontal="left" vertical="top" wrapText="1"/>
    </xf>
    <xf numFmtId="0" fontId="19" fillId="0" borderId="35" xfId="0" applyFont="1" applyFill="1" applyBorder="1" applyAlignment="1">
      <alignment horizontal="left" vertical="top" wrapText="1"/>
    </xf>
    <xf numFmtId="0" fontId="19" fillId="6" borderId="10" xfId="0" applyFont="1" applyFill="1" applyBorder="1" applyAlignment="1">
      <alignment horizontal="left" vertical="top" wrapText="1"/>
    </xf>
    <xf numFmtId="0" fontId="19" fillId="6" borderId="8" xfId="0" applyFont="1" applyFill="1" applyBorder="1" applyAlignment="1">
      <alignment horizontal="left" vertical="top" wrapText="1"/>
    </xf>
    <xf numFmtId="0" fontId="19" fillId="6" borderId="9" xfId="0" applyFont="1" applyFill="1" applyBorder="1" applyAlignment="1">
      <alignment horizontal="left" vertical="top" wrapText="1"/>
    </xf>
    <xf numFmtId="0" fontId="19" fillId="6" borderId="1" xfId="0" applyFont="1" applyFill="1" applyBorder="1" applyAlignment="1">
      <alignment horizontal="left" vertical="top"/>
    </xf>
    <xf numFmtId="0" fontId="19" fillId="6" borderId="0" xfId="0" applyFont="1" applyFill="1" applyBorder="1" applyAlignment="1">
      <alignment horizontal="left" vertical="top"/>
    </xf>
    <xf numFmtId="0" fontId="19" fillId="6" borderId="2" xfId="0" applyFont="1" applyFill="1" applyBorder="1" applyAlignment="1">
      <alignment horizontal="left" vertical="top"/>
    </xf>
    <xf numFmtId="0" fontId="25" fillId="0" borderId="40" xfId="78" applyFont="1" applyFill="1" applyBorder="1" applyAlignment="1">
      <alignment horizontal="center"/>
    </xf>
    <xf numFmtId="0" fontId="25" fillId="0" borderId="41" xfId="78" applyFont="1" applyFill="1" applyBorder="1" applyAlignment="1">
      <alignment horizontal="center"/>
    </xf>
    <xf numFmtId="0" fontId="32" fillId="13" borderId="31" xfId="15" applyFont="1" applyFill="1" applyBorder="1" applyAlignment="1">
      <alignment horizontal="center" vertical="center" wrapText="1"/>
    </xf>
    <xf numFmtId="0" fontId="32" fillId="13" borderId="32" xfId="15" applyFont="1" applyFill="1" applyBorder="1" applyAlignment="1">
      <alignment horizontal="center" vertical="center" wrapText="1"/>
    </xf>
    <xf numFmtId="0" fontId="32" fillId="13" borderId="30" xfId="15" applyFont="1" applyFill="1" applyBorder="1" applyAlignment="1">
      <alignment horizontal="center" vertical="center" wrapText="1"/>
    </xf>
    <xf numFmtId="0" fontId="25" fillId="6" borderId="40" xfId="78" applyFont="1" applyFill="1" applyBorder="1" applyAlignment="1">
      <alignment horizontal="left" vertical="center" wrapText="1"/>
    </xf>
    <xf numFmtId="0" fontId="25" fillId="6" borderId="38" xfId="78" applyFont="1" applyFill="1" applyBorder="1" applyAlignment="1">
      <alignment horizontal="left" vertical="center" wrapText="1"/>
    </xf>
    <xf numFmtId="0" fontId="130" fillId="0" borderId="0" xfId="78" applyFont="1" applyFill="1" applyBorder="1" applyAlignment="1">
      <alignment horizontal="left" vertical="center" shrinkToFit="1"/>
    </xf>
    <xf numFmtId="0" fontId="25" fillId="6" borderId="19" xfId="78" applyFont="1" applyFill="1" applyBorder="1" applyAlignment="1">
      <alignment horizontal="left" vertical="center" wrapText="1"/>
    </xf>
    <xf numFmtId="0" fontId="25" fillId="6" borderId="20" xfId="78" applyFont="1" applyFill="1" applyBorder="1" applyAlignment="1">
      <alignment horizontal="left" vertical="center" wrapText="1"/>
    </xf>
    <xf numFmtId="0" fontId="25" fillId="6" borderId="22" xfId="78" applyFont="1" applyFill="1" applyBorder="1" applyAlignment="1">
      <alignment horizontal="left" vertical="center" wrapText="1"/>
    </xf>
    <xf numFmtId="0" fontId="25" fillId="6" borderId="97" xfId="78" applyFont="1" applyFill="1" applyBorder="1" applyAlignment="1">
      <alignment horizontal="left" vertical="center" wrapText="1"/>
    </xf>
    <xf numFmtId="0" fontId="32" fillId="13" borderId="27" xfId="15" applyFont="1" applyFill="1" applyBorder="1" applyAlignment="1">
      <alignment horizontal="center" vertical="center" wrapText="1"/>
    </xf>
    <xf numFmtId="0" fontId="32" fillId="13" borderId="28" xfId="15" applyFont="1" applyFill="1" applyBorder="1" applyAlignment="1">
      <alignment horizontal="center" vertical="center" wrapText="1"/>
    </xf>
    <xf numFmtId="0" fontId="32" fillId="13" borderId="29" xfId="15" applyFont="1" applyFill="1" applyBorder="1" applyAlignment="1">
      <alignment horizontal="center" vertical="center" wrapText="1"/>
    </xf>
    <xf numFmtId="0" fontId="25" fillId="0" borderId="109" xfId="78" applyFont="1" applyFill="1" applyBorder="1" applyAlignment="1">
      <alignment horizontal="center" vertical="center"/>
    </xf>
    <xf numFmtId="0" fontId="25" fillId="0" borderId="110" xfId="78" applyFont="1" applyFill="1" applyBorder="1" applyAlignment="1">
      <alignment horizontal="center" vertical="center"/>
    </xf>
    <xf numFmtId="0" fontId="17" fillId="0" borderId="151" xfId="180" applyFont="1" applyFill="1" applyBorder="1" applyAlignment="1">
      <alignment horizontal="center"/>
    </xf>
    <xf numFmtId="0" fontId="17" fillId="0" borderId="120" xfId="180" applyFont="1" applyFill="1" applyBorder="1" applyAlignment="1">
      <alignment horizontal="center"/>
    </xf>
    <xf numFmtId="0" fontId="17" fillId="0" borderId="152" xfId="180" applyFont="1" applyFill="1" applyBorder="1" applyAlignment="1">
      <alignment horizontal="center"/>
    </xf>
    <xf numFmtId="0" fontId="17" fillId="0" borderId="14" xfId="180" applyFont="1" applyFill="1" applyBorder="1" applyAlignment="1">
      <alignment horizontal="center"/>
    </xf>
    <xf numFmtId="0" fontId="17" fillId="0" borderId="10" xfId="180" applyFont="1" applyFill="1" applyBorder="1" applyAlignment="1">
      <alignment horizontal="center"/>
    </xf>
    <xf numFmtId="0" fontId="17" fillId="0" borderId="67" xfId="180" applyFont="1" applyFill="1" applyBorder="1" applyAlignment="1">
      <alignment horizontal="center"/>
    </xf>
    <xf numFmtId="0" fontId="17" fillId="0" borderId="153" xfId="180" applyFont="1" applyFill="1" applyBorder="1" applyAlignment="1">
      <alignment horizontal="center"/>
    </xf>
    <xf numFmtId="0" fontId="17" fillId="0" borderId="16" xfId="180" applyFont="1" applyFill="1" applyBorder="1" applyAlignment="1">
      <alignment horizontal="center"/>
    </xf>
    <xf numFmtId="0" fontId="17" fillId="0" borderId="154" xfId="180" applyFont="1" applyFill="1" applyBorder="1" applyAlignment="1">
      <alignment horizontal="center"/>
    </xf>
    <xf numFmtId="0" fontId="17" fillId="0" borderId="13" xfId="180" applyFont="1" applyFill="1" applyBorder="1" applyAlignment="1">
      <alignment horizontal="center"/>
    </xf>
    <xf numFmtId="0" fontId="17" fillId="0" borderId="5" xfId="180" applyFont="1" applyFill="1" applyBorder="1" applyAlignment="1">
      <alignment horizontal="center"/>
    </xf>
    <xf numFmtId="0" fontId="17" fillId="0" borderId="80" xfId="180" applyFont="1" applyFill="1" applyBorder="1" applyAlignment="1">
      <alignment horizontal="center"/>
    </xf>
    <xf numFmtId="0" fontId="17" fillId="0" borderId="49" xfId="180" applyFont="1" applyFill="1" applyBorder="1" applyAlignment="1">
      <alignment horizontal="center"/>
    </xf>
    <xf numFmtId="0" fontId="17" fillId="0" borderId="40" xfId="180" applyFont="1" applyFill="1" applyBorder="1" applyAlignment="1">
      <alignment horizontal="center"/>
    </xf>
    <xf numFmtId="0" fontId="17" fillId="0" borderId="75" xfId="180" applyFont="1" applyFill="1" applyBorder="1" applyAlignment="1">
      <alignment horizontal="center"/>
    </xf>
    <xf numFmtId="0" fontId="17" fillId="0" borderId="12" xfId="180" applyFont="1" applyFill="1" applyBorder="1" applyAlignment="1">
      <alignment horizontal="center"/>
    </xf>
    <xf numFmtId="0" fontId="17" fillId="0" borderId="11" xfId="180" applyFont="1" applyFill="1" applyBorder="1" applyAlignment="1">
      <alignment horizontal="center"/>
    </xf>
    <xf numFmtId="0" fontId="17" fillId="0" borderId="63" xfId="180" applyFont="1" applyFill="1" applyBorder="1" applyAlignment="1">
      <alignment horizontal="center"/>
    </xf>
    <xf numFmtId="0" fontId="41" fillId="0" borderId="52" xfId="180" applyFont="1" applyFill="1" applyBorder="1" applyAlignment="1">
      <alignment horizontal="center" vertical="top" wrapText="1"/>
    </xf>
    <xf numFmtId="0" fontId="41" fillId="0" borderId="53" xfId="180" applyFont="1" applyFill="1" applyBorder="1" applyAlignment="1">
      <alignment horizontal="center" vertical="top" wrapText="1"/>
    </xf>
    <xf numFmtId="0" fontId="41" fillId="0" borderId="64" xfId="180" applyFont="1" applyFill="1" applyBorder="1" applyAlignment="1">
      <alignment horizontal="center" vertical="top" wrapText="1"/>
    </xf>
    <xf numFmtId="0" fontId="41" fillId="0" borderId="242" xfId="180" applyFont="1" applyFill="1" applyBorder="1" applyAlignment="1">
      <alignment horizontal="left" vertical="top" wrapText="1"/>
    </xf>
    <xf numFmtId="0" fontId="31" fillId="0" borderId="4" xfId="180" applyFont="1" applyBorder="1" applyAlignment="1">
      <alignment horizontal="left" vertical="top" wrapText="1"/>
    </xf>
    <xf numFmtId="0" fontId="31" fillId="0" borderId="0" xfId="180" applyFont="1" applyBorder="1" applyAlignment="1">
      <alignment horizontal="left" vertical="top" wrapText="1"/>
    </xf>
    <xf numFmtId="0" fontId="31" fillId="0" borderId="2" xfId="180" applyFont="1" applyBorder="1" applyAlignment="1">
      <alignment horizontal="left" vertical="top" wrapText="1"/>
    </xf>
    <xf numFmtId="0" fontId="41" fillId="0" borderId="11" xfId="180" applyFont="1" applyFill="1" applyBorder="1" applyAlignment="1">
      <alignment horizontal="left" vertical="top" wrapText="1"/>
    </xf>
    <xf numFmtId="0" fontId="41" fillId="0" borderId="3" xfId="180" applyFont="1" applyFill="1" applyBorder="1" applyAlignment="1">
      <alignment horizontal="left" vertical="top" wrapText="1"/>
    </xf>
    <xf numFmtId="0" fontId="31" fillId="0" borderId="1" xfId="180" applyFont="1" applyBorder="1" applyAlignment="1">
      <alignment horizontal="left" vertical="top" wrapText="1"/>
    </xf>
    <xf numFmtId="0" fontId="41" fillId="0" borderId="71" xfId="180" applyFont="1" applyFill="1" applyBorder="1" applyAlignment="1">
      <alignment horizontal="left" vertical="center" wrapText="1"/>
    </xf>
    <xf numFmtId="0" fontId="31" fillId="0" borderId="48" xfId="180" applyFont="1" applyBorder="1" applyAlignment="1">
      <alignment horizontal="left" vertical="center" wrapText="1"/>
    </xf>
    <xf numFmtId="0" fontId="31" fillId="0" borderId="1" xfId="180" applyFont="1" applyFill="1" applyBorder="1" applyAlignment="1">
      <alignment horizontal="left" vertical="center" wrapText="1"/>
    </xf>
    <xf numFmtId="0" fontId="31" fillId="0" borderId="0" xfId="180" applyFont="1" applyAlignment="1">
      <alignment horizontal="left" vertical="center" wrapText="1"/>
    </xf>
    <xf numFmtId="0" fontId="31" fillId="0" borderId="138" xfId="180" applyFont="1" applyFill="1" applyBorder="1" applyAlignment="1">
      <alignment horizontal="left" vertical="center" wrapText="1"/>
    </xf>
    <xf numFmtId="0" fontId="31" fillId="0" borderId="145" xfId="180" applyFont="1" applyBorder="1" applyAlignment="1">
      <alignment horizontal="left" vertical="center" wrapText="1"/>
    </xf>
    <xf numFmtId="0" fontId="40" fillId="0" borderId="12" xfId="180" applyFont="1" applyFill="1" applyBorder="1" applyAlignment="1">
      <alignment horizontal="center" vertical="center" wrapText="1"/>
    </xf>
    <xf numFmtId="0" fontId="31" fillId="0" borderId="15" xfId="180" applyFont="1" applyBorder="1" applyAlignment="1"/>
    <xf numFmtId="0" fontId="31" fillId="0" borderId="13" xfId="180" applyFont="1" applyBorder="1" applyAlignment="1"/>
    <xf numFmtId="0" fontId="41" fillId="0" borderId="38" xfId="180" applyFont="1" applyFill="1" applyBorder="1" applyAlignment="1">
      <alignment horizontal="center" vertical="center"/>
    </xf>
    <xf numFmtId="0" fontId="41" fillId="0" borderId="41" xfId="180" applyFont="1" applyFill="1" applyBorder="1" applyAlignment="1">
      <alignment horizontal="center" vertical="center"/>
    </xf>
    <xf numFmtId="0" fontId="17" fillId="6" borderId="44" xfId="180" applyFont="1" applyFill="1" applyBorder="1" applyAlignment="1">
      <alignment horizontal="center"/>
    </xf>
    <xf numFmtId="0" fontId="17" fillId="6" borderId="36" xfId="180" applyFont="1" applyFill="1" applyBorder="1" applyAlignment="1">
      <alignment horizontal="center"/>
    </xf>
    <xf numFmtId="0" fontId="17" fillId="6" borderId="65" xfId="180" applyFont="1" applyFill="1" applyBorder="1" applyAlignment="1">
      <alignment horizontal="center"/>
    </xf>
    <xf numFmtId="0" fontId="41" fillId="0" borderId="239" xfId="180" applyFont="1" applyFill="1" applyBorder="1" applyAlignment="1">
      <alignment horizontal="left" vertical="top" wrapText="1"/>
    </xf>
    <xf numFmtId="0" fontId="41" fillId="0" borderId="240" xfId="180" applyFont="1" applyFill="1" applyBorder="1" applyAlignment="1">
      <alignment horizontal="left" vertical="top" wrapText="1"/>
    </xf>
    <xf numFmtId="0" fontId="41" fillId="0" borderId="239" xfId="180" applyFont="1" applyFill="1" applyBorder="1" applyAlignment="1">
      <alignment horizontal="center" vertical="top"/>
    </xf>
    <xf numFmtId="0" fontId="41" fillId="0" borderId="240" xfId="180" applyFont="1" applyFill="1" applyBorder="1" applyAlignment="1">
      <alignment horizontal="center" vertical="top"/>
    </xf>
    <xf numFmtId="0" fontId="41" fillId="0" borderId="1" xfId="180" applyFont="1" applyFill="1" applyBorder="1" applyAlignment="1">
      <alignment horizontal="center" vertical="top"/>
    </xf>
    <xf numFmtId="0" fontId="41" fillId="0" borderId="178" xfId="180" applyFont="1" applyFill="1" applyBorder="1" applyAlignment="1">
      <alignment horizontal="center" vertical="top"/>
    </xf>
    <xf numFmtId="0" fontId="41" fillId="0" borderId="23" xfId="180" applyFont="1" applyFill="1" applyBorder="1" applyAlignment="1">
      <alignment horizontal="center" vertical="top"/>
    </xf>
    <xf numFmtId="0" fontId="41" fillId="0" borderId="2" xfId="180" applyFont="1" applyFill="1" applyBorder="1" applyAlignment="1">
      <alignment horizontal="center" vertical="center"/>
    </xf>
    <xf numFmtId="0" fontId="41" fillId="0" borderId="292" xfId="180" applyFont="1" applyFill="1" applyBorder="1" applyAlignment="1">
      <alignment horizontal="center" vertical="center"/>
    </xf>
    <xf numFmtId="166" fontId="32" fillId="13" borderId="36" xfId="180" applyNumberFormat="1" applyFont="1" applyFill="1" applyBorder="1" applyAlignment="1">
      <alignment horizontal="center" vertical="center"/>
    </xf>
    <xf numFmtId="166" fontId="32" fillId="13" borderId="32" xfId="180" applyNumberFormat="1" applyFont="1" applyFill="1" applyBorder="1" applyAlignment="1">
      <alignment horizontal="center" vertical="center"/>
    </xf>
    <xf numFmtId="166" fontId="32" fillId="13" borderId="31" xfId="180" applyNumberFormat="1" applyFont="1" applyFill="1" applyBorder="1" applyAlignment="1">
      <alignment horizontal="center" vertical="center"/>
    </xf>
    <xf numFmtId="166" fontId="32" fillId="13" borderId="35" xfId="180" applyNumberFormat="1" applyFont="1" applyFill="1" applyBorder="1" applyAlignment="1">
      <alignment horizontal="center" vertical="center"/>
    </xf>
    <xf numFmtId="166" fontId="32" fillId="13" borderId="30" xfId="180" applyNumberFormat="1" applyFont="1" applyFill="1" applyBorder="1" applyAlignment="1">
      <alignment horizontal="center" vertical="center"/>
    </xf>
    <xf numFmtId="0" fontId="41" fillId="0" borderId="420" xfId="15" applyFont="1" applyFill="1" applyBorder="1" applyAlignment="1">
      <alignment horizontal="left" vertical="center" wrapText="1"/>
    </xf>
    <xf numFmtId="0" fontId="41" fillId="0" borderId="420" xfId="180" applyFont="1" applyFill="1" applyBorder="1" applyAlignment="1">
      <alignment horizontal="left" vertical="center"/>
    </xf>
    <xf numFmtId="0" fontId="40" fillId="0" borderId="20" xfId="180" applyFont="1" applyFill="1" applyBorder="1" applyAlignment="1">
      <alignment horizontal="center" vertical="center" wrapText="1"/>
    </xf>
    <xf numFmtId="0" fontId="41" fillId="0" borderId="23" xfId="180" applyFont="1" applyFill="1" applyBorder="1" applyAlignment="1">
      <alignment horizontal="right" vertical="center" wrapText="1"/>
    </xf>
    <xf numFmtId="0" fontId="41" fillId="6" borderId="8" xfId="180" applyFont="1" applyFill="1" applyBorder="1" applyAlignment="1">
      <alignment horizontal="center" vertical="center" wrapText="1"/>
    </xf>
    <xf numFmtId="0" fontId="41" fillId="6" borderId="37" xfId="180" applyFont="1" applyFill="1" applyBorder="1" applyAlignment="1">
      <alignment horizontal="center" vertical="center" wrapText="1"/>
    </xf>
    <xf numFmtId="0" fontId="41" fillId="0" borderId="242" xfId="180" applyFont="1" applyFill="1" applyBorder="1" applyAlignment="1">
      <alignment horizontal="center" vertical="center" wrapText="1"/>
    </xf>
    <xf numFmtId="0" fontId="41" fillId="0" borderId="178" xfId="180" applyFont="1" applyFill="1" applyBorder="1" applyAlignment="1">
      <alignment horizontal="center" vertical="center" wrapText="1"/>
    </xf>
    <xf numFmtId="0" fontId="41" fillId="0" borderId="6" xfId="180" applyFont="1" applyFill="1" applyBorder="1" applyAlignment="1">
      <alignment horizontal="center" vertical="center" wrapText="1"/>
    </xf>
    <xf numFmtId="0" fontId="41" fillId="0" borderId="25" xfId="180" applyFont="1" applyFill="1" applyBorder="1" applyAlignment="1">
      <alignment horizontal="center" vertical="center" wrapText="1"/>
    </xf>
    <xf numFmtId="0" fontId="41" fillId="0" borderId="331" xfId="15" applyFont="1" applyBorder="1" applyAlignment="1">
      <alignment horizontal="left" vertical="center" wrapText="1"/>
    </xf>
    <xf numFmtId="0" fontId="41" fillId="0" borderId="362" xfId="15" applyFont="1" applyBorder="1" applyAlignment="1">
      <alignment horizontal="left" vertical="center" wrapText="1"/>
    </xf>
    <xf numFmtId="0" fontId="41" fillId="0" borderId="420" xfId="15" applyFont="1" applyBorder="1" applyAlignment="1">
      <alignment horizontal="left" vertical="center" wrapText="1"/>
    </xf>
    <xf numFmtId="0" fontId="41" fillId="0" borderId="420" xfId="15" applyFont="1" applyFill="1" applyBorder="1" applyAlignment="1">
      <alignment horizontal="left" vertical="center" wrapText="1"/>
    </xf>
    <xf numFmtId="0" fontId="41" fillId="0" borderId="331" xfId="15" applyFont="1" applyFill="1" applyBorder="1" applyAlignment="1">
      <alignment horizontal="left" vertical="center" wrapText="1"/>
    </xf>
    <xf numFmtId="0" fontId="41" fillId="0" borderId="362" xfId="15" applyFont="1" applyFill="1" applyBorder="1" applyAlignment="1">
      <alignment horizontal="left" vertical="center" wrapText="1"/>
    </xf>
    <xf numFmtId="0" fontId="24" fillId="0" borderId="420" xfId="180" applyFont="1" applyFill="1" applyBorder="1" applyAlignment="1">
      <alignment vertical="center"/>
    </xf>
    <xf numFmtId="165" fontId="41" fillId="0" borderId="420" xfId="180" applyNumberFormat="1" applyFont="1" applyFill="1" applyBorder="1" applyAlignment="1">
      <alignment horizontal="right" vertical="center"/>
    </xf>
    <xf numFmtId="0" fontId="32" fillId="0" borderId="21" xfId="180" applyFont="1" applyFill="1" applyBorder="1" applyAlignment="1">
      <alignment horizontal="left" vertical="center"/>
    </xf>
  </cellXfs>
  <cellStyles count="683">
    <cellStyle name="20% - Accent1 2" xfId="182"/>
    <cellStyle name="20% - Accent2 2" xfId="183"/>
    <cellStyle name="20% - Accent3 2" xfId="184"/>
    <cellStyle name="20% - Accent4 2" xfId="185"/>
    <cellStyle name="20% - Accent5 2" xfId="186"/>
    <cellStyle name="20% - Accent6 2" xfId="187"/>
    <cellStyle name="40% - Accent1 2" xfId="188"/>
    <cellStyle name="40% - Accent2 2" xfId="189"/>
    <cellStyle name="40% - Accent3 2" xfId="190"/>
    <cellStyle name="40% - Accent4 2" xfId="191"/>
    <cellStyle name="40% - Accent5 2" xfId="192"/>
    <cellStyle name="40% - Accent6 2" xfId="193"/>
    <cellStyle name="60% - Accent1 2" xfId="194"/>
    <cellStyle name="60% - Accent2 2" xfId="195"/>
    <cellStyle name="60% - Accent3 2" xfId="196"/>
    <cellStyle name="60% - Accent4 2" xfId="197"/>
    <cellStyle name="60% - Accent5 2" xfId="198"/>
    <cellStyle name="60% - Accent6 2" xfId="199"/>
    <cellStyle name="Accent1 2" xfId="200"/>
    <cellStyle name="Accent2 2" xfId="201"/>
    <cellStyle name="Accent3 2" xfId="202"/>
    <cellStyle name="Accent4 2" xfId="203"/>
    <cellStyle name="Accent5 2" xfId="204"/>
    <cellStyle name="Accent6 2" xfId="205"/>
    <cellStyle name="Answer Codes" xfId="8"/>
    <cellStyle name="Ausgabe 2" xfId="9"/>
    <cellStyle name="Ausgabe 2 2" xfId="630"/>
    <cellStyle name="Bad 2" xfId="206"/>
    <cellStyle name="Berechnung 2" xfId="10"/>
    <cellStyle name="Berechnung 2 2" xfId="631"/>
    <cellStyle name="Berekening" xfId="92"/>
    <cellStyle name="Berekening 2" xfId="651"/>
    <cellStyle name="Calculation 2" xfId="207"/>
    <cellStyle name="Calculation 2 2" xfId="208"/>
    <cellStyle name="Calculation 2 2 2" xfId="209"/>
    <cellStyle name="Calculation 2 2 2 2" xfId="210"/>
    <cellStyle name="Calculation 2 2 2 2 2" xfId="211"/>
    <cellStyle name="Calculation 2 2 2 2 3" xfId="212"/>
    <cellStyle name="Calculation 2 2 2 3" xfId="213"/>
    <cellStyle name="Calculation 2 2 2 4" xfId="214"/>
    <cellStyle name="Calculation 2 2 3" xfId="215"/>
    <cellStyle name="Calculation 2 2 3 2" xfId="216"/>
    <cellStyle name="Calculation 2 2 3 3" xfId="217"/>
    <cellStyle name="Calculation 2 2 4" xfId="218"/>
    <cellStyle name="Calculation 2 2 5" xfId="219"/>
    <cellStyle name="Calculation 2 3" xfId="220"/>
    <cellStyle name="Calculation 2 3 2" xfId="221"/>
    <cellStyle name="Calculation 2 3 2 2" xfId="222"/>
    <cellStyle name="Calculation 2 3 2 2 2" xfId="223"/>
    <cellStyle name="Calculation 2 3 2 2 3" xfId="224"/>
    <cellStyle name="Calculation 2 3 2 3" xfId="225"/>
    <cellStyle name="Calculation 2 3 2 4" xfId="226"/>
    <cellStyle name="Calculation 2 3 3" xfId="227"/>
    <cellStyle name="Calculation 2 3 3 2" xfId="228"/>
    <cellStyle name="Calculation 2 3 3 3" xfId="229"/>
    <cellStyle name="Calculation 2 3 4" xfId="230"/>
    <cellStyle name="Calculation 2 3 5" xfId="231"/>
    <cellStyle name="Calculation 2 4" xfId="232"/>
    <cellStyle name="Calculation 2 4 2" xfId="233"/>
    <cellStyle name="Calculation 2 4 2 2" xfId="234"/>
    <cellStyle name="Calculation 2 4 2 2 2" xfId="235"/>
    <cellStyle name="Calculation 2 4 2 2 3" xfId="236"/>
    <cellStyle name="Calculation 2 4 2 3" xfId="237"/>
    <cellStyle name="Calculation 2 4 2 4" xfId="238"/>
    <cellStyle name="Calculation 2 4 3" xfId="239"/>
    <cellStyle name="Calculation 2 4 3 2" xfId="240"/>
    <cellStyle name="Calculation 2 4 3 3" xfId="241"/>
    <cellStyle name="Calculation 2 4 4" xfId="242"/>
    <cellStyle name="Calculation 2 4 5" xfId="243"/>
    <cellStyle name="Calculation 2 5" xfId="244"/>
    <cellStyle name="Calculation 2 5 2" xfId="245"/>
    <cellStyle name="Calculation 2 5 2 2" xfId="246"/>
    <cellStyle name="Calculation 2 5 2 2 2" xfId="247"/>
    <cellStyle name="Calculation 2 5 2 2 3" xfId="248"/>
    <cellStyle name="Calculation 2 5 2 3" xfId="249"/>
    <cellStyle name="Calculation 2 5 2 4" xfId="250"/>
    <cellStyle name="Calculation 2 5 3" xfId="251"/>
    <cellStyle name="Calculation 2 5 3 2" xfId="252"/>
    <cellStyle name="Calculation 2 5 3 3" xfId="253"/>
    <cellStyle name="Calculation 2 5 4" xfId="254"/>
    <cellStyle name="Calculation 2 5 5" xfId="255"/>
    <cellStyle name="Calculation 2 6" xfId="256"/>
    <cellStyle name="Calculation 2 6 2" xfId="257"/>
    <cellStyle name="Calculation 2 6 2 2" xfId="258"/>
    <cellStyle name="Calculation 2 6 2 2 2" xfId="259"/>
    <cellStyle name="Calculation 2 6 2 2 3" xfId="260"/>
    <cellStyle name="Calculation 2 6 2 3" xfId="261"/>
    <cellStyle name="Calculation 2 6 2 4" xfId="262"/>
    <cellStyle name="Calculation 2 6 3" xfId="263"/>
    <cellStyle name="Calculation 2 6 3 2" xfId="264"/>
    <cellStyle name="Calculation 2 6 3 3" xfId="265"/>
    <cellStyle name="Calculation 2 6 4" xfId="266"/>
    <cellStyle name="Calculation 2 6 5" xfId="267"/>
    <cellStyle name="Calculation 2 7" xfId="268"/>
    <cellStyle name="Calculation 2 7 2" xfId="269"/>
    <cellStyle name="Calculation 2 7 2 2" xfId="270"/>
    <cellStyle name="Calculation 2 7 2 2 2" xfId="271"/>
    <cellStyle name="Calculation 2 7 2 2 3" xfId="272"/>
    <cellStyle name="Calculation 2 7 2 3" xfId="273"/>
    <cellStyle name="Calculation 2 7 2 4" xfId="274"/>
    <cellStyle name="Calculation 2 7 3" xfId="275"/>
    <cellStyle name="Calculation 2 7 3 2" xfId="276"/>
    <cellStyle name="Calculation 2 7 3 3" xfId="277"/>
    <cellStyle name="Calculation 2 7 4" xfId="278"/>
    <cellStyle name="Calculation 2 7 5" xfId="279"/>
    <cellStyle name="Check Cell 2" xfId="280"/>
    <cellStyle name="Comma 2" xfId="79"/>
    <cellStyle name="Controlecel" xfId="93"/>
    <cellStyle name="Eingabe 2" xfId="11"/>
    <cellStyle name="Eingabe 2 2" xfId="632"/>
    <cellStyle name="Ergebnis 2" xfId="12"/>
    <cellStyle name="Ergebnis 2 2" xfId="633"/>
    <cellStyle name="Excel Built-in Normal" xfId="94"/>
    <cellStyle name="Explanatory Text 2" xfId="281"/>
    <cellStyle name="Gekoppelde cel" xfId="95"/>
    <cellStyle name="Goed" xfId="96"/>
    <cellStyle name="Good 2" xfId="282"/>
    <cellStyle name="Heading 1 2" xfId="283"/>
    <cellStyle name="Heading 2 2" xfId="284"/>
    <cellStyle name="Heading 3 2" xfId="285"/>
    <cellStyle name="Heading 4 2" xfId="286"/>
    <cellStyle name="Input 2" xfId="287"/>
    <cellStyle name="Input 2 2" xfId="288"/>
    <cellStyle name="Input 2 2 2" xfId="289"/>
    <cellStyle name="Input 2 2 2 2" xfId="290"/>
    <cellStyle name="Input 2 2 2 2 2" xfId="291"/>
    <cellStyle name="Input 2 2 2 2 3" xfId="292"/>
    <cellStyle name="Input 2 2 2 3" xfId="293"/>
    <cellStyle name="Input 2 2 2 4" xfId="294"/>
    <cellStyle name="Input 2 2 3" xfId="295"/>
    <cellStyle name="Input 2 2 3 2" xfId="296"/>
    <cellStyle name="Input 2 2 3 3" xfId="297"/>
    <cellStyle name="Input 2 2 4" xfId="298"/>
    <cellStyle name="Input 2 2 5" xfId="299"/>
    <cellStyle name="Input 2 3" xfId="300"/>
    <cellStyle name="Input 2 3 2" xfId="301"/>
    <cellStyle name="Input 2 3 2 2" xfId="302"/>
    <cellStyle name="Input 2 3 2 2 2" xfId="303"/>
    <cellStyle name="Input 2 3 2 2 3" xfId="304"/>
    <cellStyle name="Input 2 3 2 3" xfId="305"/>
    <cellStyle name="Input 2 3 2 4" xfId="306"/>
    <cellStyle name="Input 2 3 3" xfId="307"/>
    <cellStyle name="Input 2 3 3 2" xfId="308"/>
    <cellStyle name="Input 2 3 3 3" xfId="309"/>
    <cellStyle name="Input 2 3 4" xfId="310"/>
    <cellStyle name="Input 2 3 5" xfId="311"/>
    <cellStyle name="Input 2 4" xfId="312"/>
    <cellStyle name="Input 2 4 2" xfId="313"/>
    <cellStyle name="Input 2 4 2 2" xfId="314"/>
    <cellStyle name="Input 2 4 2 2 2" xfId="315"/>
    <cellStyle name="Input 2 4 2 2 3" xfId="316"/>
    <cellStyle name="Input 2 4 2 3" xfId="317"/>
    <cellStyle name="Input 2 4 2 4" xfId="318"/>
    <cellStyle name="Input 2 4 3" xfId="319"/>
    <cellStyle name="Input 2 4 3 2" xfId="320"/>
    <cellStyle name="Input 2 4 3 3" xfId="321"/>
    <cellStyle name="Input 2 4 4" xfId="322"/>
    <cellStyle name="Input 2 4 5" xfId="323"/>
    <cellStyle name="Input 2 5" xfId="324"/>
    <cellStyle name="Input 2 5 2" xfId="325"/>
    <cellStyle name="Input 2 5 2 2" xfId="326"/>
    <cellStyle name="Input 2 5 2 2 2" xfId="327"/>
    <cellStyle name="Input 2 5 2 2 3" xfId="328"/>
    <cellStyle name="Input 2 5 2 3" xfId="329"/>
    <cellStyle name="Input 2 5 2 4" xfId="330"/>
    <cellStyle name="Input 2 5 3" xfId="331"/>
    <cellStyle name="Input 2 5 3 2" xfId="332"/>
    <cellStyle name="Input 2 5 3 3" xfId="333"/>
    <cellStyle name="Input 2 5 4" xfId="334"/>
    <cellStyle name="Input 2 5 5" xfId="335"/>
    <cellStyle name="Input 2 6" xfId="336"/>
    <cellStyle name="Input 2 6 2" xfId="337"/>
    <cellStyle name="Input 2 6 2 2" xfId="338"/>
    <cellStyle name="Input 2 6 2 2 2" xfId="339"/>
    <cellStyle name="Input 2 6 2 2 3" xfId="340"/>
    <cellStyle name="Input 2 6 2 3" xfId="341"/>
    <cellStyle name="Input 2 6 2 4" xfId="342"/>
    <cellStyle name="Input 2 6 3" xfId="343"/>
    <cellStyle name="Input 2 6 3 2" xfId="344"/>
    <cellStyle name="Input 2 6 3 3" xfId="345"/>
    <cellStyle name="Input 2 6 4" xfId="346"/>
    <cellStyle name="Input 2 6 5" xfId="347"/>
    <cellStyle name="Input 2 7" xfId="348"/>
    <cellStyle name="Input 2 7 2" xfId="349"/>
    <cellStyle name="Input 2 7 2 2" xfId="350"/>
    <cellStyle name="Input 2 7 2 2 2" xfId="351"/>
    <cellStyle name="Input 2 7 2 2 3" xfId="352"/>
    <cellStyle name="Input 2 7 2 3" xfId="353"/>
    <cellStyle name="Input 2 7 2 4" xfId="354"/>
    <cellStyle name="Input 2 7 3" xfId="355"/>
    <cellStyle name="Input 2 7 3 2" xfId="356"/>
    <cellStyle name="Input 2 7 3 3" xfId="357"/>
    <cellStyle name="Input 2 7 4" xfId="358"/>
    <cellStyle name="Input 2 7 5" xfId="359"/>
    <cellStyle name="Invoer" xfId="97"/>
    <cellStyle name="Invoer 2" xfId="652"/>
    <cellStyle name="Kop 1" xfId="98"/>
    <cellStyle name="Kop 2" xfId="99"/>
    <cellStyle name="Kop 3" xfId="100"/>
    <cellStyle name="Kop 4" xfId="101"/>
    <cellStyle name="Linked Cell 2" xfId="360"/>
    <cellStyle name="Module title" xfId="13"/>
    <cellStyle name="Neutraal" xfId="102"/>
    <cellStyle name="Neutral 2" xfId="361"/>
    <cellStyle name="Normal" xfId="0" builtinId="0"/>
    <cellStyle name="Normal 10" xfId="14"/>
    <cellStyle name="Normal 10 2" xfId="89"/>
    <cellStyle name="Normal 10 2 2" xfId="103"/>
    <cellStyle name="Normal 10 2 2 2" xfId="104"/>
    <cellStyle name="Normal 10 2 3" xfId="105"/>
    <cellStyle name="Normal 10 3" xfId="180"/>
    <cellStyle name="Normal 11" xfId="15"/>
    <cellStyle name="Normal 11 2" xfId="106"/>
    <cellStyle name="Normal 11 2 2" xfId="107"/>
    <cellStyle name="Normal 11 3" xfId="108"/>
    <cellStyle name="Normal 11 4" xfId="109"/>
    <cellStyle name="Normal 12" xfId="16"/>
    <cellStyle name="Normal 13" xfId="17"/>
    <cellStyle name="Normal 13 2" xfId="110"/>
    <cellStyle name="Normal 14" xfId="18"/>
    <cellStyle name="Normal 14 2" xfId="111"/>
    <cellStyle name="Normal 14 2 2" xfId="653"/>
    <cellStyle name="Normal 14 3" xfId="634"/>
    <cellStyle name="Normal 15" xfId="76"/>
    <cellStyle name="Normal 15 2" xfId="112"/>
    <cellStyle name="Normal 15 2 2" xfId="654"/>
    <cellStyle name="Normal 15 3" xfId="649"/>
    <cellStyle name="Normal 16" xfId="77"/>
    <cellStyle name="Normal 16 2" xfId="172"/>
    <cellStyle name="Normal 16 2 2" xfId="173"/>
    <cellStyle name="Normal 16 2 2 2" xfId="671"/>
    <cellStyle name="Normal 16 2 3" xfId="670"/>
    <cellStyle name="Normal 16 3" xfId="650"/>
    <cellStyle name="Normal 17" xfId="90"/>
    <cellStyle name="Normal 18" xfId="91"/>
    <cellStyle name="Normal 18 2" xfId="113"/>
    <cellStyle name="Normal 19" xfId="174"/>
    <cellStyle name="Normal 19 2" xfId="672"/>
    <cellStyle name="Normal 2" xfId="3"/>
    <cellStyle name="Normal 2 2" xfId="19"/>
    <cellStyle name="Normal 2 2 2" xfId="80"/>
    <cellStyle name="Normal 2 3" xfId="81"/>
    <cellStyle name="Normal 2 4" xfId="82"/>
    <cellStyle name="Normal 2_Book1" xfId="83"/>
    <cellStyle name="Normal 20" xfId="175"/>
    <cellStyle name="Normal 20 2" xfId="673"/>
    <cellStyle name="Normal 21" xfId="176"/>
    <cellStyle name="Normal 21 2" xfId="178"/>
    <cellStyle name="Normal 21 2 2" xfId="624"/>
    <cellStyle name="Normal 21 2 2 2" xfId="626"/>
    <cellStyle name="Normal 21 2 2 2 2" xfId="627"/>
    <cellStyle name="Normal 21 2 2 2 2 2" xfId="628"/>
    <cellStyle name="Normal 21 2 2 2 2 2 2" xfId="682"/>
    <cellStyle name="Normal 21 2 2 2 2 3" xfId="681"/>
    <cellStyle name="Normal 21 2 2 2 3" xfId="680"/>
    <cellStyle name="Normal 21 2 2 3" xfId="678"/>
    <cellStyle name="Normal 21 2 3" xfId="676"/>
    <cellStyle name="Normal 21 3" xfId="674"/>
    <cellStyle name="Normal 22" xfId="177"/>
    <cellStyle name="Normal 22 2" xfId="625"/>
    <cellStyle name="Normal 22 2 2" xfId="679"/>
    <cellStyle name="Normal 22 3" xfId="675"/>
    <cellStyle name="Normal 3" xfId="5"/>
    <cellStyle name="Normal 3 2" xfId="20"/>
    <cellStyle name="Normal 3 2 2" xfId="21"/>
    <cellStyle name="Normal 3 2 2 2" xfId="114"/>
    <cellStyle name="Normal 3 2 2 2 2" xfId="115"/>
    <cellStyle name="Normal 3 2 2 2 2 2" xfId="116"/>
    <cellStyle name="Normal 3 2 2 2 2 2 2" xfId="117"/>
    <cellStyle name="Normal 3 2 2 2 2 3" xfId="118"/>
    <cellStyle name="Normal 3 2 2 2 3" xfId="119"/>
    <cellStyle name="Normal 3 2 2 2 3 2" xfId="120"/>
    <cellStyle name="Normal 3 2 2 2 4" xfId="121"/>
    <cellStyle name="Normal 3 2 2 3" xfId="122"/>
    <cellStyle name="Normal 3 2 2 3 2" xfId="123"/>
    <cellStyle name="Normal 3 2 2 3 2 2" xfId="124"/>
    <cellStyle name="Normal 3 2 2 3 3" xfId="125"/>
    <cellStyle name="Normal 3 2 2 4" xfId="126"/>
    <cellStyle name="Normal 3 2 2 4 2" xfId="127"/>
    <cellStyle name="Normal 3 2 2 5" xfId="128"/>
    <cellStyle name="Normal 3 2 3" xfId="22"/>
    <cellStyle name="Normal 3 2 3 2" xfId="129"/>
    <cellStyle name="Normal 3 2 3 2 2" xfId="130"/>
    <cellStyle name="Normal 3 2 3 2 2 2" xfId="131"/>
    <cellStyle name="Normal 3 2 3 2 3" xfId="132"/>
    <cellStyle name="Normal 3 2 3 3" xfId="133"/>
    <cellStyle name="Normal 3 2 3 3 2" xfId="134"/>
    <cellStyle name="Normal 3 2 3 4" xfId="135"/>
    <cellStyle name="Normal 3 2 4" xfId="136"/>
    <cellStyle name="Normal 3 2 4 2" xfId="137"/>
    <cellStyle name="Normal 3 2 4 2 2" xfId="138"/>
    <cellStyle name="Normal 3 2 4 3" xfId="139"/>
    <cellStyle name="Normal 3 2 5" xfId="140"/>
    <cellStyle name="Normal 3 2 5 2" xfId="141"/>
    <cellStyle name="Normal 3 2 6" xfId="142"/>
    <cellStyle name="Normal 3 2 7" xfId="143"/>
    <cellStyle name="Normal 3 3" xfId="23"/>
    <cellStyle name="Normal 3 4" xfId="24"/>
    <cellStyle name="Normal 3 5" xfId="25"/>
    <cellStyle name="Normal 3_teach WB lap" xfId="26"/>
    <cellStyle name="Normal 4" xfId="1"/>
    <cellStyle name="Normal 4 10" xfId="27"/>
    <cellStyle name="Normal 4 10 2" xfId="144"/>
    <cellStyle name="Normal 4 10 2 2" xfId="655"/>
    <cellStyle name="Normal 4 10 3" xfId="635"/>
    <cellStyle name="Normal 4 11" xfId="28"/>
    <cellStyle name="Normal 4 11 2" xfId="145"/>
    <cellStyle name="Normal 4 11 2 2" xfId="656"/>
    <cellStyle name="Normal 4 11 3" xfId="636"/>
    <cellStyle name="Normal 4 2" xfId="29"/>
    <cellStyle name="Normal 4 3" xfId="30"/>
    <cellStyle name="Normal 4 3 2" xfId="146"/>
    <cellStyle name="Normal 4 3 2 2" xfId="657"/>
    <cellStyle name="Normal 4 3 3" xfId="637"/>
    <cellStyle name="Normal 4 4" xfId="31"/>
    <cellStyle name="Normal 4 4 2" xfId="147"/>
    <cellStyle name="Normal 4 4 2 2" xfId="658"/>
    <cellStyle name="Normal 4 4 3" xfId="638"/>
    <cellStyle name="Normal 4 5" xfId="32"/>
    <cellStyle name="Normal 4 5 2" xfId="148"/>
    <cellStyle name="Normal 4 5 2 2" xfId="659"/>
    <cellStyle name="Normal 4 5 3" xfId="639"/>
    <cellStyle name="Normal 4 6" xfId="33"/>
    <cellStyle name="Normal 4 6 2" xfId="34"/>
    <cellStyle name="Normal 4 6 2 2" xfId="149"/>
    <cellStyle name="Normal 4 6 2 2 2" xfId="660"/>
    <cellStyle name="Normal 4 6 2 3" xfId="641"/>
    <cellStyle name="Normal 4 6 3" xfId="150"/>
    <cellStyle name="Normal 4 6 3 2" xfId="661"/>
    <cellStyle name="Normal 4 6 4" xfId="640"/>
    <cellStyle name="Normal 4 7" xfId="35"/>
    <cellStyle name="Normal 4 7 2" xfId="151"/>
    <cellStyle name="Normal 4 7 2 2" xfId="662"/>
    <cellStyle name="Normal 4 7 3" xfId="642"/>
    <cellStyle name="Normal 4 8" xfId="36"/>
    <cellStyle name="Normal 4 8 2" xfId="152"/>
    <cellStyle name="Normal 4 8 2 2" xfId="663"/>
    <cellStyle name="Normal 4 8 3" xfId="643"/>
    <cellStyle name="Normal 4 9" xfId="37"/>
    <cellStyle name="Normal 4 9 2" xfId="153"/>
    <cellStyle name="Normal 4 9 2 2" xfId="664"/>
    <cellStyle name="Normal 4 9 3" xfId="644"/>
    <cellStyle name="Normal 5" xfId="6"/>
    <cellStyle name="Normal 5 2" xfId="38"/>
    <cellStyle name="Normal 5 3" xfId="154"/>
    <cellStyle name="Normal 5 3 2" xfId="665"/>
    <cellStyle name="Normal 5 4" xfId="629"/>
    <cellStyle name="Normal 6" xfId="39"/>
    <cellStyle name="Normal 6 2" xfId="40"/>
    <cellStyle name="Normal 6 3" xfId="179"/>
    <cellStyle name="Normal 6 3 2" xfId="677"/>
    <cellStyle name="Normal 7" xfId="41"/>
    <cellStyle name="Normal 7 2" xfId="42"/>
    <cellStyle name="Normal 7 2 2" xfId="362"/>
    <cellStyle name="Normal 7 3" xfId="363"/>
    <cellStyle name="Normal 7 3 2" xfId="364"/>
    <cellStyle name="Normal 7 3 2 2" xfId="365"/>
    <cellStyle name="Normal 7 3 2 2 2" xfId="366"/>
    <cellStyle name="Normal 7 3 2 3" xfId="367"/>
    <cellStyle name="Normal 7 3 3" xfId="368"/>
    <cellStyle name="Normal 7 3 3 2" xfId="369"/>
    <cellStyle name="Normal 7 3 4" xfId="370"/>
    <cellStyle name="Normal 7 4" xfId="371"/>
    <cellStyle name="Normal 7 4 2" xfId="372"/>
    <cellStyle name="Normal 7 4 2 2" xfId="373"/>
    <cellStyle name="Normal 7 4 3" xfId="374"/>
    <cellStyle name="Normal 7 5" xfId="375"/>
    <cellStyle name="Normal 7 5 2" xfId="376"/>
    <cellStyle name="Normal 7 6" xfId="377"/>
    <cellStyle name="Normal 8" xfId="43"/>
    <cellStyle name="Normal 8 2" xfId="44"/>
    <cellStyle name="Normal 8 2 2" xfId="378"/>
    <cellStyle name="Normal 8 2 2 2" xfId="379"/>
    <cellStyle name="Normal 8 2 2 2 2" xfId="380"/>
    <cellStyle name="Normal 8 2 2 3" xfId="381"/>
    <cellStyle name="Normal 8 2 3" xfId="382"/>
    <cellStyle name="Normal 8 2 3 2" xfId="383"/>
    <cellStyle name="Normal 8 2 4" xfId="384"/>
    <cellStyle name="Normal 8 3" xfId="385"/>
    <cellStyle name="Normal 8 3 2" xfId="386"/>
    <cellStyle name="Normal 8 3 2 2" xfId="387"/>
    <cellStyle name="Normal 8 3 3" xfId="388"/>
    <cellStyle name="Normal 8 4" xfId="389"/>
    <cellStyle name="Normal 8 4 2" xfId="390"/>
    <cellStyle name="Normal 8 5" xfId="391"/>
    <cellStyle name="Normal 9" xfId="45"/>
    <cellStyle name="Normal 9 2" xfId="46"/>
    <cellStyle name="Normal 9 2 2" xfId="47"/>
    <cellStyle name="Normal 9 2 2 2" xfId="155"/>
    <cellStyle name="Normal 9 2 2 2 2" xfId="392"/>
    <cellStyle name="Normal 9 2 2 3" xfId="393"/>
    <cellStyle name="Normal 9 2 2 4" xfId="646"/>
    <cellStyle name="Normal 9 2 3" xfId="156"/>
    <cellStyle name="Normal 9 2 3 2" xfId="394"/>
    <cellStyle name="Normal 9 2 4" xfId="395"/>
    <cellStyle name="Normal 9 2 5" xfId="645"/>
    <cellStyle name="Normal 9 3" xfId="157"/>
    <cellStyle name="Normal 9 3 2" xfId="158"/>
    <cellStyle name="Normal 9 3 2 2" xfId="396"/>
    <cellStyle name="Normal 9 3 3" xfId="397"/>
    <cellStyle name="Normal 9 4" xfId="159"/>
    <cellStyle name="Normal 9 4 2" xfId="398"/>
    <cellStyle name="Normal 9 5" xfId="399"/>
    <cellStyle name="Normal_final HBS_Yemen 2-5-04(2a)" xfId="2"/>
    <cellStyle name="Normal_HBS_Yemen V01" xfId="4"/>
    <cellStyle name="Normal_INDIV INCOME" xfId="181"/>
    <cellStyle name="Normal_Sheet1 2" xfId="171"/>
    <cellStyle name="Normale_Final LSMS HH ENGLISH QUEST" xfId="48"/>
    <cellStyle name="Note 2" xfId="400"/>
    <cellStyle name="Note 2 2" xfId="401"/>
    <cellStyle name="Note 2 2 2" xfId="402"/>
    <cellStyle name="Note 2 2 2 2" xfId="403"/>
    <cellStyle name="Note 2 2 2 2 2" xfId="404"/>
    <cellStyle name="Note 2 2 2 2 3" xfId="405"/>
    <cellStyle name="Note 2 2 2 3" xfId="406"/>
    <cellStyle name="Note 2 2 2 4" xfId="407"/>
    <cellStyle name="Note 2 2 3" xfId="408"/>
    <cellStyle name="Note 2 2 3 2" xfId="409"/>
    <cellStyle name="Note 2 2 3 3" xfId="410"/>
    <cellStyle name="Note 2 2 4" xfId="411"/>
    <cellStyle name="Note 2 2 5" xfId="412"/>
    <cellStyle name="Note 2 3" xfId="413"/>
    <cellStyle name="Note 2 3 2" xfId="414"/>
    <cellStyle name="Note 2 3 2 2" xfId="415"/>
    <cellStyle name="Note 2 3 2 2 2" xfId="416"/>
    <cellStyle name="Note 2 3 2 2 3" xfId="417"/>
    <cellStyle name="Note 2 3 2 3" xfId="418"/>
    <cellStyle name="Note 2 3 2 4" xfId="419"/>
    <cellStyle name="Note 2 3 3" xfId="420"/>
    <cellStyle name="Note 2 3 3 2" xfId="421"/>
    <cellStyle name="Note 2 3 3 3" xfId="422"/>
    <cellStyle name="Note 2 3 4" xfId="423"/>
    <cellStyle name="Note 2 3 5" xfId="424"/>
    <cellStyle name="Note 2 4" xfId="425"/>
    <cellStyle name="Note 2 4 2" xfId="426"/>
    <cellStyle name="Note 2 4 2 2" xfId="427"/>
    <cellStyle name="Note 2 4 2 2 2" xfId="428"/>
    <cellStyle name="Note 2 4 2 2 3" xfId="429"/>
    <cellStyle name="Note 2 4 2 3" xfId="430"/>
    <cellStyle name="Note 2 4 2 4" xfId="431"/>
    <cellStyle name="Note 2 4 3" xfId="432"/>
    <cellStyle name="Note 2 4 3 2" xfId="433"/>
    <cellStyle name="Note 2 4 3 3" xfId="434"/>
    <cellStyle name="Note 2 4 4" xfId="435"/>
    <cellStyle name="Note 2 4 5" xfId="436"/>
    <cellStyle name="Note 2 5" xfId="437"/>
    <cellStyle name="Note 2 5 2" xfId="438"/>
    <cellStyle name="Note 2 5 2 2" xfId="439"/>
    <cellStyle name="Note 2 5 2 2 2" xfId="440"/>
    <cellStyle name="Note 2 5 2 2 3" xfId="441"/>
    <cellStyle name="Note 2 5 2 3" xfId="442"/>
    <cellStyle name="Note 2 5 2 4" xfId="443"/>
    <cellStyle name="Note 2 5 3" xfId="444"/>
    <cellStyle name="Note 2 5 3 2" xfId="445"/>
    <cellStyle name="Note 2 5 3 3" xfId="446"/>
    <cellStyle name="Note 2 5 4" xfId="447"/>
    <cellStyle name="Note 2 5 5" xfId="448"/>
    <cellStyle name="Note 2 6" xfId="449"/>
    <cellStyle name="Note 2 6 2" xfId="450"/>
    <cellStyle name="Note 2 6 2 2" xfId="451"/>
    <cellStyle name="Note 2 6 2 2 2" xfId="452"/>
    <cellStyle name="Note 2 6 2 2 3" xfId="453"/>
    <cellStyle name="Note 2 6 2 3" xfId="454"/>
    <cellStyle name="Note 2 6 2 4" xfId="455"/>
    <cellStyle name="Note 2 6 3" xfId="456"/>
    <cellStyle name="Note 2 6 3 2" xfId="457"/>
    <cellStyle name="Note 2 6 3 3" xfId="458"/>
    <cellStyle name="Note 2 6 4" xfId="459"/>
    <cellStyle name="Note 2 6 5" xfId="460"/>
    <cellStyle name="Note 2 7" xfId="461"/>
    <cellStyle name="Note 2 7 2" xfId="462"/>
    <cellStyle name="Note 2 7 2 2" xfId="463"/>
    <cellStyle name="Note 2 7 2 2 2" xfId="464"/>
    <cellStyle name="Note 2 7 2 2 3" xfId="465"/>
    <cellStyle name="Note 2 7 2 3" xfId="466"/>
    <cellStyle name="Note 2 7 2 4" xfId="467"/>
    <cellStyle name="Note 2 7 3" xfId="468"/>
    <cellStyle name="Note 2 7 3 2" xfId="469"/>
    <cellStyle name="Note 2 7 3 3" xfId="470"/>
    <cellStyle name="Note 2 7 4" xfId="471"/>
    <cellStyle name="Note 2 7 5" xfId="472"/>
    <cellStyle name="Note 2 8" xfId="473"/>
    <cellStyle name="Note 2 8 2" xfId="474"/>
    <cellStyle name="Note 2 8 3" xfId="475"/>
    <cellStyle name="Notitie" xfId="160"/>
    <cellStyle name="Notitie 2" xfId="666"/>
    <cellStyle name="Notiz 2" xfId="49"/>
    <cellStyle name="Notiz 2 2" xfId="647"/>
    <cellStyle name="Ongeldig" xfId="161"/>
    <cellStyle name="Output 2" xfId="476"/>
    <cellStyle name="Output 2 2" xfId="477"/>
    <cellStyle name="Output 2 2 2" xfId="478"/>
    <cellStyle name="Output 2 2 2 2" xfId="479"/>
    <cellStyle name="Output 2 2 2 2 2" xfId="480"/>
    <cellStyle name="Output 2 2 2 2 3" xfId="481"/>
    <cellStyle name="Output 2 2 2 3" xfId="482"/>
    <cellStyle name="Output 2 2 2 4" xfId="483"/>
    <cellStyle name="Output 2 2 3" xfId="484"/>
    <cellStyle name="Output 2 2 3 2" xfId="485"/>
    <cellStyle name="Output 2 2 3 3" xfId="486"/>
    <cellStyle name="Output 2 2 4" xfId="487"/>
    <cellStyle name="Output 2 2 5" xfId="488"/>
    <cellStyle name="Output 2 3" xfId="489"/>
    <cellStyle name="Output 2 3 2" xfId="490"/>
    <cellStyle name="Output 2 3 2 2" xfId="491"/>
    <cellStyle name="Output 2 3 2 2 2" xfId="492"/>
    <cellStyle name="Output 2 3 2 2 3" xfId="493"/>
    <cellStyle name="Output 2 3 2 3" xfId="494"/>
    <cellStyle name="Output 2 3 2 4" xfId="495"/>
    <cellStyle name="Output 2 3 3" xfId="496"/>
    <cellStyle name="Output 2 3 3 2" xfId="497"/>
    <cellStyle name="Output 2 3 3 3" xfId="498"/>
    <cellStyle name="Output 2 3 4" xfId="499"/>
    <cellStyle name="Output 2 3 5" xfId="500"/>
    <cellStyle name="Output 2 4" xfId="501"/>
    <cellStyle name="Output 2 4 2" xfId="502"/>
    <cellStyle name="Output 2 4 2 2" xfId="503"/>
    <cellStyle name="Output 2 4 2 2 2" xfId="504"/>
    <cellStyle name="Output 2 4 2 2 3" xfId="505"/>
    <cellStyle name="Output 2 4 2 3" xfId="506"/>
    <cellStyle name="Output 2 4 2 4" xfId="507"/>
    <cellStyle name="Output 2 4 3" xfId="508"/>
    <cellStyle name="Output 2 4 3 2" xfId="509"/>
    <cellStyle name="Output 2 4 3 3" xfId="510"/>
    <cellStyle name="Output 2 4 4" xfId="511"/>
    <cellStyle name="Output 2 4 5" xfId="512"/>
    <cellStyle name="Output 2 5" xfId="513"/>
    <cellStyle name="Output 2 5 2" xfId="514"/>
    <cellStyle name="Output 2 5 2 2" xfId="515"/>
    <cellStyle name="Output 2 5 2 2 2" xfId="516"/>
    <cellStyle name="Output 2 5 2 2 3" xfId="517"/>
    <cellStyle name="Output 2 5 2 3" xfId="518"/>
    <cellStyle name="Output 2 5 2 4" xfId="519"/>
    <cellStyle name="Output 2 5 3" xfId="520"/>
    <cellStyle name="Output 2 5 3 2" xfId="521"/>
    <cellStyle name="Output 2 5 3 3" xfId="522"/>
    <cellStyle name="Output 2 5 4" xfId="523"/>
    <cellStyle name="Output 2 5 5" xfId="524"/>
    <cellStyle name="Output 2 6" xfId="525"/>
    <cellStyle name="Output 2 6 2" xfId="526"/>
    <cellStyle name="Output 2 6 2 2" xfId="527"/>
    <cellStyle name="Output 2 6 2 2 2" xfId="528"/>
    <cellStyle name="Output 2 6 2 2 3" xfId="529"/>
    <cellStyle name="Output 2 6 2 3" xfId="530"/>
    <cellStyle name="Output 2 6 2 4" xfId="531"/>
    <cellStyle name="Output 2 6 3" xfId="532"/>
    <cellStyle name="Output 2 6 3 2" xfId="533"/>
    <cellStyle name="Output 2 6 3 3" xfId="534"/>
    <cellStyle name="Output 2 6 4" xfId="535"/>
    <cellStyle name="Output 2 6 5" xfId="536"/>
    <cellStyle name="Output 2 7" xfId="537"/>
    <cellStyle name="Output 2 7 2" xfId="538"/>
    <cellStyle name="Output 2 7 2 2" xfId="539"/>
    <cellStyle name="Output 2 7 2 2 2" xfId="540"/>
    <cellStyle name="Output 2 7 2 2 3" xfId="541"/>
    <cellStyle name="Output 2 7 2 3" xfId="542"/>
    <cellStyle name="Output 2 7 2 4" xfId="543"/>
    <cellStyle name="Output 2 7 3" xfId="544"/>
    <cellStyle name="Output 2 7 3 2" xfId="545"/>
    <cellStyle name="Output 2 7 3 3" xfId="546"/>
    <cellStyle name="Output 2 7 4" xfId="547"/>
    <cellStyle name="Output 2 7 5" xfId="548"/>
    <cellStyle name="Percent 2" xfId="162"/>
    <cellStyle name="Percent 3" xfId="163"/>
    <cellStyle name="Questions &amp; instructions" xfId="50"/>
    <cellStyle name="Questions &amp; instructions 10" xfId="51"/>
    <cellStyle name="Questions &amp; instructions 11" xfId="52"/>
    <cellStyle name="Questions &amp; instructions 12" xfId="53"/>
    <cellStyle name="Questions &amp; instructions 13" xfId="54"/>
    <cellStyle name="Questions &amp; instructions 2" xfId="55"/>
    <cellStyle name="Questions &amp; instructions 3" xfId="56"/>
    <cellStyle name="Questions &amp; instructions 4" xfId="57"/>
    <cellStyle name="Questions &amp; instructions 5" xfId="58"/>
    <cellStyle name="Questions &amp; instructions 6" xfId="59"/>
    <cellStyle name="Questions &amp; instructions 7" xfId="60"/>
    <cellStyle name="Questions &amp; instructions 8" xfId="61"/>
    <cellStyle name="Questions &amp; instructions 9" xfId="62"/>
    <cellStyle name="Standaard_qualitative_risk_questions_v_1.2" xfId="164"/>
    <cellStyle name="Standard 2" xfId="7"/>
    <cellStyle name="Standard 2 2" xfId="63"/>
    <cellStyle name="Standard 3" xfId="64"/>
    <cellStyle name="Standard 3 2" xfId="65"/>
    <cellStyle name="Standard 4" xfId="66"/>
    <cellStyle name="Standard 4 2" xfId="165"/>
    <cellStyle name="Standard 4 2 2" xfId="667"/>
    <cellStyle name="Standard 4 3" xfId="648"/>
    <cellStyle name="Style 1" xfId="84"/>
    <cellStyle name="Suppl Instructions" xfId="67"/>
    <cellStyle name="Suppl Instructions 2" xfId="68"/>
    <cellStyle name="Suppl Instructions 3" xfId="69"/>
    <cellStyle name="Suppl Instructions 4" xfId="70"/>
    <cellStyle name="Suppl Instructions 5" xfId="71"/>
    <cellStyle name="Suppl Instructions 6" xfId="72"/>
    <cellStyle name="Suppl Instructions 7" xfId="73"/>
    <cellStyle name="Suppl Instructions 8" xfId="74"/>
    <cellStyle name="Suppl Instructions 9" xfId="75"/>
    <cellStyle name="Titel" xfId="166"/>
    <cellStyle name="Title 2" xfId="549"/>
    <cellStyle name="Totaal" xfId="167"/>
    <cellStyle name="Totaal 2" xfId="668"/>
    <cellStyle name="Total 2" xfId="550"/>
    <cellStyle name="Total 2 2" xfId="551"/>
    <cellStyle name="Total 2 2 2" xfId="552"/>
    <cellStyle name="Total 2 2 2 2" xfId="553"/>
    <cellStyle name="Total 2 2 2 2 2" xfId="554"/>
    <cellStyle name="Total 2 2 2 2 3" xfId="555"/>
    <cellStyle name="Total 2 2 2 3" xfId="556"/>
    <cellStyle name="Total 2 2 2 4" xfId="557"/>
    <cellStyle name="Total 2 2 3" xfId="558"/>
    <cellStyle name="Total 2 2 3 2" xfId="559"/>
    <cellStyle name="Total 2 2 3 3" xfId="560"/>
    <cellStyle name="Total 2 2 4" xfId="561"/>
    <cellStyle name="Total 2 2 5" xfId="562"/>
    <cellStyle name="Total 2 3" xfId="563"/>
    <cellStyle name="Total 2 3 2" xfId="564"/>
    <cellStyle name="Total 2 3 2 2" xfId="565"/>
    <cellStyle name="Total 2 3 2 2 2" xfId="566"/>
    <cellStyle name="Total 2 3 2 2 3" xfId="567"/>
    <cellStyle name="Total 2 3 2 3" xfId="568"/>
    <cellStyle name="Total 2 3 2 4" xfId="569"/>
    <cellStyle name="Total 2 3 3" xfId="570"/>
    <cellStyle name="Total 2 3 3 2" xfId="571"/>
    <cellStyle name="Total 2 3 3 3" xfId="572"/>
    <cellStyle name="Total 2 3 4" xfId="573"/>
    <cellStyle name="Total 2 3 5" xfId="574"/>
    <cellStyle name="Total 2 4" xfId="575"/>
    <cellStyle name="Total 2 4 2" xfId="576"/>
    <cellStyle name="Total 2 4 2 2" xfId="577"/>
    <cellStyle name="Total 2 4 2 2 2" xfId="578"/>
    <cellStyle name="Total 2 4 2 2 3" xfId="579"/>
    <cellStyle name="Total 2 4 2 3" xfId="580"/>
    <cellStyle name="Total 2 4 2 4" xfId="581"/>
    <cellStyle name="Total 2 4 3" xfId="582"/>
    <cellStyle name="Total 2 4 3 2" xfId="583"/>
    <cellStyle name="Total 2 4 3 3" xfId="584"/>
    <cellStyle name="Total 2 4 4" xfId="585"/>
    <cellStyle name="Total 2 4 5" xfId="586"/>
    <cellStyle name="Total 2 5" xfId="587"/>
    <cellStyle name="Total 2 5 2" xfId="588"/>
    <cellStyle name="Total 2 5 2 2" xfId="589"/>
    <cellStyle name="Total 2 5 2 2 2" xfId="590"/>
    <cellStyle name="Total 2 5 2 2 3" xfId="591"/>
    <cellStyle name="Total 2 5 2 3" xfId="592"/>
    <cellStyle name="Total 2 5 2 4" xfId="593"/>
    <cellStyle name="Total 2 5 3" xfId="594"/>
    <cellStyle name="Total 2 5 3 2" xfId="595"/>
    <cellStyle name="Total 2 5 3 3" xfId="596"/>
    <cellStyle name="Total 2 5 4" xfId="597"/>
    <cellStyle name="Total 2 5 5" xfId="598"/>
    <cellStyle name="Total 2 6" xfId="599"/>
    <cellStyle name="Total 2 6 2" xfId="600"/>
    <cellStyle name="Total 2 6 2 2" xfId="601"/>
    <cellStyle name="Total 2 6 2 2 2" xfId="602"/>
    <cellStyle name="Total 2 6 2 2 3" xfId="603"/>
    <cellStyle name="Total 2 6 2 3" xfId="604"/>
    <cellStyle name="Total 2 6 2 4" xfId="605"/>
    <cellStyle name="Total 2 6 3" xfId="606"/>
    <cellStyle name="Total 2 6 3 2" xfId="607"/>
    <cellStyle name="Total 2 6 3 3" xfId="608"/>
    <cellStyle name="Total 2 6 4" xfId="609"/>
    <cellStyle name="Total 2 6 5" xfId="610"/>
    <cellStyle name="Total 2 7" xfId="611"/>
    <cellStyle name="Total 2 7 2" xfId="612"/>
    <cellStyle name="Total 2 7 2 2" xfId="613"/>
    <cellStyle name="Total 2 7 2 2 2" xfId="614"/>
    <cellStyle name="Total 2 7 2 2 3" xfId="615"/>
    <cellStyle name="Total 2 7 2 3" xfId="616"/>
    <cellStyle name="Total 2 7 2 4" xfId="617"/>
    <cellStyle name="Total 2 7 3" xfId="618"/>
    <cellStyle name="Total 2 7 3 2" xfId="619"/>
    <cellStyle name="Total 2 7 3 3" xfId="620"/>
    <cellStyle name="Total 2 7 4" xfId="621"/>
    <cellStyle name="Total 2 7 5" xfId="622"/>
    <cellStyle name="Uitvoer" xfId="168"/>
    <cellStyle name="Uitvoer 2" xfId="669"/>
    <cellStyle name="Verklarende tekst" xfId="169"/>
    <cellStyle name="Waarschuwingstekst" xfId="170"/>
    <cellStyle name="Warning Text 2" xfId="623"/>
    <cellStyle name="عادي_Book2" xfId="85"/>
    <cellStyle name="عادي_استمارة الإنفاق 2" xfId="78"/>
    <cellStyle name="عملة [0]_استمارة الإنفاق" xfId="86"/>
    <cellStyle name="عملة_استمارة الإنفاق" xfId="87"/>
    <cellStyle name="نمط 1" xfId="8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123825</xdr:colOff>
      <xdr:row>5</xdr:row>
      <xdr:rowOff>0</xdr:rowOff>
    </xdr:from>
    <xdr:to>
      <xdr:col>7</xdr:col>
      <xdr:colOff>85725</xdr:colOff>
      <xdr:row>6</xdr:row>
      <xdr:rowOff>67733</xdr:rowOff>
    </xdr:to>
    <xdr:sp macro="" textlink="">
      <xdr:nvSpPr>
        <xdr:cNvPr id="3074" name="Text Box 5"/>
        <xdr:cNvSpPr txBox="1">
          <a:spLocks noChangeArrowheads="1"/>
        </xdr:cNvSpPr>
      </xdr:nvSpPr>
      <xdr:spPr bwMode="auto">
        <a:xfrm flipH="1">
          <a:off x="2009775" y="2343150"/>
          <a:ext cx="104775" cy="228600"/>
        </a:xfrm>
        <a:prstGeom prst="rect">
          <a:avLst/>
        </a:prstGeom>
        <a:noFill/>
        <a:ln w="9525">
          <a:noFill/>
          <a:miter lim="800000"/>
          <a:headEnd/>
          <a:tailEnd/>
        </a:ln>
      </xdr:spPr>
    </xdr:sp>
    <xdr:clientData/>
  </xdr:twoCellAnchor>
  <xdr:twoCellAnchor editAs="oneCell">
    <xdr:from>
      <xdr:col>6</xdr:col>
      <xdr:colOff>123825</xdr:colOff>
      <xdr:row>5</xdr:row>
      <xdr:rowOff>0</xdr:rowOff>
    </xdr:from>
    <xdr:to>
      <xdr:col>7</xdr:col>
      <xdr:colOff>85725</xdr:colOff>
      <xdr:row>6</xdr:row>
      <xdr:rowOff>67733</xdr:rowOff>
    </xdr:to>
    <xdr:sp macro="" textlink="">
      <xdr:nvSpPr>
        <xdr:cNvPr id="3076" name="Text Box 7"/>
        <xdr:cNvSpPr txBox="1">
          <a:spLocks noChangeArrowheads="1"/>
        </xdr:cNvSpPr>
      </xdr:nvSpPr>
      <xdr:spPr bwMode="auto">
        <a:xfrm flipH="1">
          <a:off x="2009775" y="2343150"/>
          <a:ext cx="104775" cy="228600"/>
        </a:xfrm>
        <a:prstGeom prst="rect">
          <a:avLst/>
        </a:prstGeom>
        <a:noFill/>
        <a:ln w="9525">
          <a:noFill/>
          <a:miter lim="800000"/>
          <a:headEnd/>
          <a:tailEnd/>
        </a:ln>
      </xdr:spPr>
    </xdr:sp>
    <xdr:clientData/>
  </xdr:twoCellAnchor>
  <xdr:twoCellAnchor editAs="oneCell">
    <xdr:from>
      <xdr:col>6</xdr:col>
      <xdr:colOff>123825</xdr:colOff>
      <xdr:row>5</xdr:row>
      <xdr:rowOff>0</xdr:rowOff>
    </xdr:from>
    <xdr:to>
      <xdr:col>7</xdr:col>
      <xdr:colOff>85725</xdr:colOff>
      <xdr:row>6</xdr:row>
      <xdr:rowOff>67733</xdr:rowOff>
    </xdr:to>
    <xdr:sp macro="" textlink="">
      <xdr:nvSpPr>
        <xdr:cNvPr id="3077" name="Text Box 8"/>
        <xdr:cNvSpPr txBox="1">
          <a:spLocks noChangeArrowheads="1"/>
        </xdr:cNvSpPr>
      </xdr:nvSpPr>
      <xdr:spPr bwMode="auto">
        <a:xfrm flipH="1">
          <a:off x="2009775" y="2343150"/>
          <a:ext cx="104775" cy="228600"/>
        </a:xfrm>
        <a:prstGeom prst="rect">
          <a:avLst/>
        </a:prstGeom>
        <a:noFill/>
        <a:ln w="9525">
          <a:noFill/>
          <a:miter lim="800000"/>
          <a:headEnd/>
          <a:tailEnd/>
        </a:ln>
      </xdr:spPr>
    </xdr:sp>
    <xdr:clientData/>
  </xdr:twoCellAnchor>
  <xdr:twoCellAnchor editAs="oneCell">
    <xdr:from>
      <xdr:col>6</xdr:col>
      <xdr:colOff>123825</xdr:colOff>
      <xdr:row>5</xdr:row>
      <xdr:rowOff>0</xdr:rowOff>
    </xdr:from>
    <xdr:to>
      <xdr:col>7</xdr:col>
      <xdr:colOff>85725</xdr:colOff>
      <xdr:row>6</xdr:row>
      <xdr:rowOff>67733</xdr:rowOff>
    </xdr:to>
    <xdr:sp macro="" textlink="">
      <xdr:nvSpPr>
        <xdr:cNvPr id="3078" name="Text Box 9"/>
        <xdr:cNvSpPr txBox="1">
          <a:spLocks noChangeArrowheads="1"/>
        </xdr:cNvSpPr>
      </xdr:nvSpPr>
      <xdr:spPr bwMode="auto">
        <a:xfrm flipH="1">
          <a:off x="2009775" y="2343150"/>
          <a:ext cx="104775" cy="228600"/>
        </a:xfrm>
        <a:prstGeom prst="rect">
          <a:avLst/>
        </a:prstGeom>
        <a:noFill/>
        <a:ln w="9525">
          <a:noFill/>
          <a:miter lim="800000"/>
          <a:headEnd/>
          <a:tailEnd/>
        </a:ln>
      </xdr:spPr>
    </xdr:sp>
    <xdr:clientData/>
  </xdr:twoCellAnchor>
  <xdr:twoCellAnchor editAs="oneCell">
    <xdr:from>
      <xdr:col>6</xdr:col>
      <xdr:colOff>123825</xdr:colOff>
      <xdr:row>5</xdr:row>
      <xdr:rowOff>0</xdr:rowOff>
    </xdr:from>
    <xdr:to>
      <xdr:col>7</xdr:col>
      <xdr:colOff>85725</xdr:colOff>
      <xdr:row>6</xdr:row>
      <xdr:rowOff>67733</xdr:rowOff>
    </xdr:to>
    <xdr:sp macro="" textlink="">
      <xdr:nvSpPr>
        <xdr:cNvPr id="3079" name="Text Box 10"/>
        <xdr:cNvSpPr txBox="1">
          <a:spLocks noChangeArrowheads="1"/>
        </xdr:cNvSpPr>
      </xdr:nvSpPr>
      <xdr:spPr bwMode="auto">
        <a:xfrm flipH="1">
          <a:off x="2009775" y="2343150"/>
          <a:ext cx="104775" cy="228600"/>
        </a:xfrm>
        <a:prstGeom prst="rect">
          <a:avLst/>
        </a:prstGeom>
        <a:noFill/>
        <a:ln w="9525">
          <a:noFill/>
          <a:miter lim="800000"/>
          <a:headEnd/>
          <a:tailEnd/>
        </a:ln>
      </xdr:spPr>
    </xdr:sp>
    <xdr:clientData/>
  </xdr:twoCellAnchor>
  <xdr:twoCellAnchor editAs="oneCell">
    <xdr:from>
      <xdr:col>6</xdr:col>
      <xdr:colOff>123825</xdr:colOff>
      <xdr:row>5</xdr:row>
      <xdr:rowOff>0</xdr:rowOff>
    </xdr:from>
    <xdr:to>
      <xdr:col>7</xdr:col>
      <xdr:colOff>85725</xdr:colOff>
      <xdr:row>6</xdr:row>
      <xdr:rowOff>67733</xdr:rowOff>
    </xdr:to>
    <xdr:sp macro="" textlink="">
      <xdr:nvSpPr>
        <xdr:cNvPr id="3080" name="Text Box 11"/>
        <xdr:cNvSpPr txBox="1">
          <a:spLocks noChangeArrowheads="1"/>
        </xdr:cNvSpPr>
      </xdr:nvSpPr>
      <xdr:spPr bwMode="auto">
        <a:xfrm flipH="1">
          <a:off x="2009775" y="2343150"/>
          <a:ext cx="104775" cy="228600"/>
        </a:xfrm>
        <a:prstGeom prst="rect">
          <a:avLst/>
        </a:prstGeom>
        <a:noFill/>
        <a:ln w="9525">
          <a:noFill/>
          <a:miter lim="800000"/>
          <a:headEnd/>
          <a:tailEnd/>
        </a:ln>
      </xdr:spPr>
    </xdr:sp>
    <xdr:clientData/>
  </xdr:twoCellAnchor>
  <xdr:twoCellAnchor editAs="oneCell">
    <xdr:from>
      <xdr:col>6</xdr:col>
      <xdr:colOff>123825</xdr:colOff>
      <xdr:row>5</xdr:row>
      <xdr:rowOff>0</xdr:rowOff>
    </xdr:from>
    <xdr:to>
      <xdr:col>7</xdr:col>
      <xdr:colOff>85725</xdr:colOff>
      <xdr:row>6</xdr:row>
      <xdr:rowOff>67733</xdr:rowOff>
    </xdr:to>
    <xdr:sp macro="" textlink="">
      <xdr:nvSpPr>
        <xdr:cNvPr id="3081" name="Text Box 12"/>
        <xdr:cNvSpPr txBox="1">
          <a:spLocks noChangeArrowheads="1"/>
        </xdr:cNvSpPr>
      </xdr:nvSpPr>
      <xdr:spPr bwMode="auto">
        <a:xfrm flipH="1">
          <a:off x="2009775" y="2343150"/>
          <a:ext cx="104775" cy="228600"/>
        </a:xfrm>
        <a:prstGeom prst="rect">
          <a:avLst/>
        </a:prstGeom>
        <a:noFill/>
        <a:ln w="9525">
          <a:noFill/>
          <a:miter lim="800000"/>
          <a:headEnd/>
          <a:tailEnd/>
        </a:ln>
      </xdr:spPr>
    </xdr:sp>
    <xdr:clientData/>
  </xdr:twoCellAnchor>
  <xdr:twoCellAnchor editAs="oneCell">
    <xdr:from>
      <xdr:col>6</xdr:col>
      <xdr:colOff>123825</xdr:colOff>
      <xdr:row>5</xdr:row>
      <xdr:rowOff>0</xdr:rowOff>
    </xdr:from>
    <xdr:to>
      <xdr:col>7</xdr:col>
      <xdr:colOff>85725</xdr:colOff>
      <xdr:row>6</xdr:row>
      <xdr:rowOff>67733</xdr:rowOff>
    </xdr:to>
    <xdr:sp macro="" textlink="">
      <xdr:nvSpPr>
        <xdr:cNvPr id="3082" name="Text Box 13"/>
        <xdr:cNvSpPr txBox="1">
          <a:spLocks noChangeArrowheads="1"/>
        </xdr:cNvSpPr>
      </xdr:nvSpPr>
      <xdr:spPr bwMode="auto">
        <a:xfrm flipH="1">
          <a:off x="2009775" y="2343150"/>
          <a:ext cx="104775" cy="228600"/>
        </a:xfrm>
        <a:prstGeom prst="rect">
          <a:avLst/>
        </a:prstGeom>
        <a:noFill/>
        <a:ln w="9525">
          <a:no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4097" name="Line 1"/>
        <xdr:cNvSpPr>
          <a:spLocks noChangeShapeType="1"/>
        </xdr:cNvSpPr>
      </xdr:nvSpPr>
      <xdr:spPr bwMode="auto">
        <a:xfrm flipH="1">
          <a:off x="0" y="0"/>
          <a:ext cx="0" cy="0"/>
        </a:xfrm>
        <a:prstGeom prst="line">
          <a:avLst/>
        </a:prstGeom>
        <a:noFill/>
        <a:ln w="9525">
          <a:solidFill>
            <a:srgbClr val="FF6600"/>
          </a:solidFill>
          <a:prstDash val="dash"/>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27</xdr:col>
      <xdr:colOff>342901</xdr:colOff>
      <xdr:row>0</xdr:row>
      <xdr:rowOff>38100</xdr:rowOff>
    </xdr:from>
    <xdr:to>
      <xdr:col>29</xdr:col>
      <xdr:colOff>123825</xdr:colOff>
      <xdr:row>1</xdr:row>
      <xdr:rowOff>180975</xdr:rowOff>
    </xdr:to>
    <xdr:sp macro="" textlink="">
      <xdr:nvSpPr>
        <xdr:cNvPr id="5" name="Oval 6461"/>
        <xdr:cNvSpPr>
          <a:spLocks noChangeArrowheads="1"/>
        </xdr:cNvSpPr>
      </xdr:nvSpPr>
      <xdr:spPr bwMode="auto">
        <a:xfrm>
          <a:off x="12973051" y="38100"/>
          <a:ext cx="504824" cy="333375"/>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1</a:t>
          </a:r>
        </a:p>
      </xdr:txBody>
    </xdr:sp>
    <xdr:clientData/>
  </xdr:twoCellAnchor>
  <xdr:twoCellAnchor>
    <xdr:from>
      <xdr:col>58</xdr:col>
      <xdr:colOff>619126</xdr:colOff>
      <xdr:row>0</xdr:row>
      <xdr:rowOff>19050</xdr:rowOff>
    </xdr:from>
    <xdr:to>
      <xdr:col>59</xdr:col>
      <xdr:colOff>180975</xdr:colOff>
      <xdr:row>1</xdr:row>
      <xdr:rowOff>133350</xdr:rowOff>
    </xdr:to>
    <xdr:sp macro="" textlink="">
      <xdr:nvSpPr>
        <xdr:cNvPr id="7" name="Oval 6461"/>
        <xdr:cNvSpPr>
          <a:spLocks noChangeArrowheads="1"/>
        </xdr:cNvSpPr>
      </xdr:nvSpPr>
      <xdr:spPr bwMode="auto">
        <a:xfrm>
          <a:off x="22669501" y="19050"/>
          <a:ext cx="466724" cy="30480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2</a:t>
          </a:r>
        </a:p>
      </xdr:txBody>
    </xdr:sp>
    <xdr:clientData/>
  </xdr:twoCellAnchor>
  <xdr:twoCellAnchor>
    <xdr:from>
      <xdr:col>72</xdr:col>
      <xdr:colOff>685800</xdr:colOff>
      <xdr:row>0</xdr:row>
      <xdr:rowOff>0</xdr:rowOff>
    </xdr:from>
    <xdr:to>
      <xdr:col>74</xdr:col>
      <xdr:colOff>38099</xdr:colOff>
      <xdr:row>0</xdr:row>
      <xdr:rowOff>219075</xdr:rowOff>
    </xdr:to>
    <xdr:sp macro="" textlink="">
      <xdr:nvSpPr>
        <xdr:cNvPr id="8" name="Oval 6461"/>
        <xdr:cNvSpPr>
          <a:spLocks noChangeArrowheads="1"/>
        </xdr:cNvSpPr>
      </xdr:nvSpPr>
      <xdr:spPr bwMode="auto">
        <a:xfrm>
          <a:off x="32194500" y="0"/>
          <a:ext cx="342899" cy="219075"/>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3</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0</xdr:colOff>
      <xdr:row>1</xdr:row>
      <xdr:rowOff>19050</xdr:rowOff>
    </xdr:from>
    <xdr:to>
      <xdr:col>14</xdr:col>
      <xdr:colOff>57149</xdr:colOff>
      <xdr:row>2</xdr:row>
      <xdr:rowOff>0</xdr:rowOff>
    </xdr:to>
    <xdr:sp macro="" textlink="">
      <xdr:nvSpPr>
        <xdr:cNvPr id="2" name="Oval 6461"/>
        <xdr:cNvSpPr>
          <a:spLocks noChangeArrowheads="1"/>
        </xdr:cNvSpPr>
      </xdr:nvSpPr>
      <xdr:spPr bwMode="auto">
        <a:xfrm>
          <a:off x="6181725" y="219075"/>
          <a:ext cx="342899" cy="219075"/>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4</a:t>
          </a:r>
        </a:p>
      </xdr:txBody>
    </xdr:sp>
    <xdr:clientData/>
  </xdr:twoCellAnchor>
  <xdr:twoCellAnchor>
    <xdr:from>
      <xdr:col>13</xdr:col>
      <xdr:colOff>19050</xdr:colOff>
      <xdr:row>68</xdr:row>
      <xdr:rowOff>19050</xdr:rowOff>
    </xdr:from>
    <xdr:to>
      <xdr:col>14</xdr:col>
      <xdr:colOff>76199</xdr:colOff>
      <xdr:row>69</xdr:row>
      <xdr:rowOff>85725</xdr:rowOff>
    </xdr:to>
    <xdr:sp macro="" textlink="">
      <xdr:nvSpPr>
        <xdr:cNvPr id="3" name="Oval 6461"/>
        <xdr:cNvSpPr>
          <a:spLocks noChangeArrowheads="1"/>
        </xdr:cNvSpPr>
      </xdr:nvSpPr>
      <xdr:spPr bwMode="auto">
        <a:xfrm>
          <a:off x="6200775" y="9715500"/>
          <a:ext cx="342899" cy="219075"/>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5</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192641</xdr:colOff>
      <xdr:row>0</xdr:row>
      <xdr:rowOff>67237</xdr:rowOff>
    </xdr:from>
    <xdr:to>
      <xdr:col>15</xdr:col>
      <xdr:colOff>4456</xdr:colOff>
      <xdr:row>1</xdr:row>
      <xdr:rowOff>10704</xdr:rowOff>
    </xdr:to>
    <xdr:sp macro="" textlink="">
      <xdr:nvSpPr>
        <xdr:cNvPr id="2" name="Oval 6461"/>
        <xdr:cNvSpPr>
          <a:spLocks noChangeArrowheads="1"/>
        </xdr:cNvSpPr>
      </xdr:nvSpPr>
      <xdr:spPr bwMode="auto">
        <a:xfrm>
          <a:off x="6143090" y="67237"/>
          <a:ext cx="239905" cy="178916"/>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6</a:t>
          </a:r>
        </a:p>
      </xdr:txBody>
    </xdr:sp>
    <xdr:clientData/>
  </xdr:twoCellAnchor>
  <xdr:twoCellAnchor>
    <xdr:from>
      <xdr:col>14</xdr:col>
      <xdr:colOff>192641</xdr:colOff>
      <xdr:row>62</xdr:row>
      <xdr:rowOff>44822</xdr:rowOff>
    </xdr:from>
    <xdr:to>
      <xdr:col>15</xdr:col>
      <xdr:colOff>4456</xdr:colOff>
      <xdr:row>63</xdr:row>
      <xdr:rowOff>74915</xdr:rowOff>
    </xdr:to>
    <xdr:sp macro="" textlink="">
      <xdr:nvSpPr>
        <xdr:cNvPr id="3" name="Oval 6461"/>
        <xdr:cNvSpPr>
          <a:spLocks noChangeArrowheads="1"/>
        </xdr:cNvSpPr>
      </xdr:nvSpPr>
      <xdr:spPr bwMode="auto">
        <a:xfrm>
          <a:off x="6143090" y="9741058"/>
          <a:ext cx="239905" cy="222733"/>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7</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247650</xdr:colOff>
      <xdr:row>0</xdr:row>
      <xdr:rowOff>85725</xdr:rowOff>
    </xdr:from>
    <xdr:to>
      <xdr:col>15</xdr:col>
      <xdr:colOff>590549</xdr:colOff>
      <xdr:row>1</xdr:row>
      <xdr:rowOff>9525</xdr:rowOff>
    </xdr:to>
    <xdr:sp macro="" textlink="">
      <xdr:nvSpPr>
        <xdr:cNvPr id="2" name="Oval 6461"/>
        <xdr:cNvSpPr>
          <a:spLocks noChangeArrowheads="1"/>
        </xdr:cNvSpPr>
      </xdr:nvSpPr>
      <xdr:spPr bwMode="auto">
        <a:xfrm>
          <a:off x="8858250" y="85725"/>
          <a:ext cx="342899" cy="219075"/>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8</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29</xdr:col>
      <xdr:colOff>0</xdr:colOff>
      <xdr:row>0</xdr:row>
      <xdr:rowOff>0</xdr:rowOff>
    </xdr:from>
    <xdr:to>
      <xdr:col>30</xdr:col>
      <xdr:colOff>152399</xdr:colOff>
      <xdr:row>0</xdr:row>
      <xdr:rowOff>219075</xdr:rowOff>
    </xdr:to>
    <xdr:sp macro="" textlink="">
      <xdr:nvSpPr>
        <xdr:cNvPr id="2" name="Oval 6461"/>
        <xdr:cNvSpPr>
          <a:spLocks noChangeArrowheads="1"/>
        </xdr:cNvSpPr>
      </xdr:nvSpPr>
      <xdr:spPr bwMode="auto">
        <a:xfrm>
          <a:off x="6067425" y="0"/>
          <a:ext cx="342899" cy="219075"/>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9</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23</xdr:col>
      <xdr:colOff>3174</xdr:colOff>
      <xdr:row>0</xdr:row>
      <xdr:rowOff>95251</xdr:rowOff>
    </xdr:from>
    <xdr:to>
      <xdr:col>25</xdr:col>
      <xdr:colOff>10582</xdr:colOff>
      <xdr:row>2</xdr:row>
      <xdr:rowOff>153459</xdr:rowOff>
    </xdr:to>
    <xdr:sp macro="" textlink="">
      <xdr:nvSpPr>
        <xdr:cNvPr id="2" name="Oval 6461"/>
        <xdr:cNvSpPr>
          <a:spLocks noChangeArrowheads="1"/>
        </xdr:cNvSpPr>
      </xdr:nvSpPr>
      <xdr:spPr bwMode="auto">
        <a:xfrm flipH="1">
          <a:off x="6183841" y="412751"/>
          <a:ext cx="388408" cy="343958"/>
        </a:xfrm>
        <a:prstGeom prst="ellipse">
          <a:avLst/>
        </a:prstGeom>
        <a:solidFill>
          <a:schemeClr val="accent5">
            <a:lumMod val="40000"/>
            <a:lumOff val="60000"/>
          </a:schemeClr>
        </a:solidFill>
        <a:ln w="9525" algn="ctr">
          <a:solidFill>
            <a:srgbClr val="000000"/>
          </a:solidFill>
          <a:round/>
          <a:headEnd/>
          <a:tailEnd/>
        </a:ln>
        <a:effectLst>
          <a:glow rad="635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200" b="1" i="0" strike="noStrike">
              <a:solidFill>
                <a:srgbClr val="000000"/>
              </a:solidFill>
              <a:latin typeface="Times New Roman"/>
              <a:cs typeface="Times New Roman"/>
            </a:rPr>
            <a:t>10</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18</xdr:col>
      <xdr:colOff>390525</xdr:colOff>
      <xdr:row>0</xdr:row>
      <xdr:rowOff>28575</xdr:rowOff>
    </xdr:from>
    <xdr:to>
      <xdr:col>19</xdr:col>
      <xdr:colOff>180974</xdr:colOff>
      <xdr:row>1</xdr:row>
      <xdr:rowOff>0</xdr:rowOff>
    </xdr:to>
    <xdr:sp macro="" textlink="">
      <xdr:nvSpPr>
        <xdr:cNvPr id="5" name="Oval 6461"/>
        <xdr:cNvSpPr>
          <a:spLocks noChangeArrowheads="1"/>
        </xdr:cNvSpPr>
      </xdr:nvSpPr>
      <xdr:spPr bwMode="auto">
        <a:xfrm>
          <a:off x="9553575" y="28575"/>
          <a:ext cx="342899" cy="219075"/>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11</a:t>
          </a:r>
        </a:p>
      </xdr:txBody>
    </xdr:sp>
    <xdr:clientData/>
  </xdr:twoCellAnchor>
  <xdr:twoCellAnchor>
    <xdr:from>
      <xdr:col>40</xdr:col>
      <xdr:colOff>0</xdr:colOff>
      <xdr:row>0</xdr:row>
      <xdr:rowOff>0</xdr:rowOff>
    </xdr:from>
    <xdr:to>
      <xdr:col>40</xdr:col>
      <xdr:colOff>342899</xdr:colOff>
      <xdr:row>0</xdr:row>
      <xdr:rowOff>219075</xdr:rowOff>
    </xdr:to>
    <xdr:sp macro="" textlink="">
      <xdr:nvSpPr>
        <xdr:cNvPr id="6" name="Oval 6461"/>
        <xdr:cNvSpPr>
          <a:spLocks noChangeArrowheads="1"/>
        </xdr:cNvSpPr>
      </xdr:nvSpPr>
      <xdr:spPr bwMode="auto">
        <a:xfrm>
          <a:off x="19364325" y="0"/>
          <a:ext cx="342899" cy="219075"/>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12</a:t>
          </a:r>
        </a:p>
      </xdr:txBody>
    </xdr:sp>
    <xdr:clientData/>
  </xdr:twoCellAnchor>
  <xdr:twoCellAnchor>
    <xdr:from>
      <xdr:col>52</xdr:col>
      <xdr:colOff>1095376</xdr:colOff>
      <xdr:row>0</xdr:row>
      <xdr:rowOff>0</xdr:rowOff>
    </xdr:from>
    <xdr:to>
      <xdr:col>53</xdr:col>
      <xdr:colOff>476250</xdr:colOff>
      <xdr:row>0</xdr:row>
      <xdr:rowOff>238125</xdr:rowOff>
    </xdr:to>
    <xdr:sp macro="" textlink="">
      <xdr:nvSpPr>
        <xdr:cNvPr id="7" name="Oval 6461"/>
        <xdr:cNvSpPr>
          <a:spLocks noChangeArrowheads="1"/>
        </xdr:cNvSpPr>
      </xdr:nvSpPr>
      <xdr:spPr bwMode="auto">
        <a:xfrm>
          <a:off x="28622626" y="0"/>
          <a:ext cx="504824" cy="238125"/>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13</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17</xdr:col>
      <xdr:colOff>0</xdr:colOff>
      <xdr:row>14</xdr:row>
      <xdr:rowOff>142875</xdr:rowOff>
    </xdr:from>
    <xdr:to>
      <xdr:col>17</xdr:col>
      <xdr:colOff>0</xdr:colOff>
      <xdr:row>24</xdr:row>
      <xdr:rowOff>0</xdr:rowOff>
    </xdr:to>
    <xdr:sp macro="" textlink="">
      <xdr:nvSpPr>
        <xdr:cNvPr id="2" name="Text Box 8"/>
        <xdr:cNvSpPr txBox="1">
          <a:spLocks noChangeArrowheads="1"/>
        </xdr:cNvSpPr>
      </xdr:nvSpPr>
      <xdr:spPr bwMode="auto">
        <a:xfrm>
          <a:off x="6877050" y="2228850"/>
          <a:ext cx="0" cy="1685925"/>
        </a:xfrm>
        <a:prstGeom prst="rect">
          <a:avLst/>
        </a:prstGeom>
        <a:solidFill>
          <a:srgbClr val="FFFF99"/>
        </a:solidFill>
        <a:ln w="9525">
          <a:noFill/>
          <a:miter lim="800000"/>
          <a:headEnd/>
          <a:tailEnd/>
        </a:ln>
      </xdr:spPr>
      <xdr:txBody>
        <a:bodyPr vertOverflow="clip" wrap="square" lIns="0" tIns="45720" rIns="0" bIns="45720" anchor="t" upright="1"/>
        <a:lstStyle/>
        <a:p>
          <a:pPr algn="l" rtl="1">
            <a:defRPr sz="1000"/>
          </a:pPr>
          <a:r>
            <a:rPr lang="en-GB" sz="900" b="0" i="0" strike="noStrike">
              <a:solidFill>
                <a:srgbClr val="000000"/>
              </a:solidFill>
              <a:latin typeface="Times New Roman"/>
              <a:cs typeface="Times New Roman"/>
            </a:rPr>
            <a:t>1. Married</a:t>
          </a:r>
        </a:p>
        <a:p>
          <a:pPr algn="l" rtl="1">
            <a:defRPr sz="1000"/>
          </a:pPr>
          <a:endParaRPr lang="en-GB" sz="900" b="0" i="0" strike="noStrike">
            <a:solidFill>
              <a:srgbClr val="000000"/>
            </a:solidFill>
            <a:latin typeface="Times New Roman"/>
            <a:cs typeface="Times New Roman"/>
          </a:endParaRPr>
        </a:p>
        <a:p>
          <a:pPr algn="l" rtl="1">
            <a:defRPr sz="1000"/>
          </a:pPr>
          <a:r>
            <a:rPr lang="en-GB" sz="900" b="0" i="0" strike="noStrike">
              <a:solidFill>
                <a:srgbClr val="000000"/>
              </a:solidFill>
              <a:latin typeface="Times New Roman"/>
              <a:cs typeface="Times New Roman"/>
            </a:rPr>
            <a:t>2. Divorced, separated</a:t>
          </a:r>
          <a:r>
            <a:rPr lang="en-GB" sz="900" b="1" i="0" strike="noStrike">
              <a:solidFill>
                <a:srgbClr val="000000"/>
              </a:solidFill>
              <a:latin typeface="Times New Roman"/>
              <a:cs typeface="Times New Roman"/>
            </a:rPr>
            <a:t>&gt;&gt;1.7 </a:t>
          </a:r>
        </a:p>
        <a:p>
          <a:pPr algn="l" rtl="1">
            <a:defRPr sz="1000"/>
          </a:pPr>
          <a:endParaRPr lang="en-GB" sz="900" b="0" i="0" strike="noStrike">
            <a:solidFill>
              <a:srgbClr val="000000"/>
            </a:solidFill>
            <a:latin typeface="Times New Roman"/>
            <a:cs typeface="Times New Roman"/>
          </a:endParaRPr>
        </a:p>
        <a:p>
          <a:pPr algn="l" rtl="1">
            <a:defRPr sz="1000"/>
          </a:pPr>
          <a:r>
            <a:rPr lang="en-GB" sz="900" b="0" i="0" strike="noStrike">
              <a:solidFill>
                <a:srgbClr val="000000"/>
              </a:solidFill>
              <a:latin typeface="Times New Roman"/>
              <a:cs typeface="Times New Roman"/>
            </a:rPr>
            <a:t>3. Widow/ widower</a:t>
          </a:r>
          <a:r>
            <a:rPr lang="en-GB" sz="900" b="1" i="0" strike="noStrike">
              <a:solidFill>
                <a:srgbClr val="000000"/>
              </a:solidFill>
              <a:latin typeface="Times New Roman"/>
              <a:cs typeface="Times New Roman"/>
            </a:rPr>
            <a:t>&gt;&gt;1.7 </a:t>
          </a:r>
        </a:p>
        <a:p>
          <a:pPr algn="l" rtl="1">
            <a:defRPr sz="1000"/>
          </a:pPr>
          <a:endParaRPr lang="en-GB" sz="900" b="0" i="0" strike="noStrike">
            <a:solidFill>
              <a:srgbClr val="000000"/>
            </a:solidFill>
            <a:latin typeface="Times New Roman"/>
            <a:cs typeface="Times New Roman"/>
          </a:endParaRPr>
        </a:p>
        <a:p>
          <a:pPr algn="l" rtl="1">
            <a:defRPr sz="1000"/>
          </a:pPr>
          <a:r>
            <a:rPr lang="en-GB" sz="900" b="0" i="0" strike="noStrike">
              <a:solidFill>
                <a:srgbClr val="000000"/>
              </a:solidFill>
              <a:latin typeface="Times New Roman"/>
              <a:cs typeface="Times New Roman"/>
            </a:rPr>
            <a:t>4. Never married</a:t>
          </a:r>
        </a:p>
        <a:p>
          <a:pPr algn="l" rtl="1">
            <a:defRPr sz="1000"/>
          </a:pPr>
          <a:r>
            <a:rPr lang="en-GB" sz="900" b="0" i="0" strike="noStrike">
              <a:solidFill>
                <a:srgbClr val="000000"/>
              </a:solidFill>
              <a:latin typeface="Times New Roman"/>
              <a:cs typeface="Times New Roman"/>
            </a:rPr>
            <a:t> but engaged </a:t>
          </a:r>
          <a:r>
            <a:rPr lang="en-GB" sz="900" b="1" i="0" strike="noStrike">
              <a:solidFill>
                <a:srgbClr val="000000"/>
              </a:solidFill>
              <a:latin typeface="Times New Roman"/>
              <a:cs typeface="Times New Roman"/>
            </a:rPr>
            <a:t>&gt;&gt;1.7</a:t>
          </a:r>
          <a:endParaRPr lang="en-GB" sz="900" b="0" i="0" strike="noStrike">
            <a:solidFill>
              <a:srgbClr val="000000"/>
            </a:solidFill>
            <a:latin typeface="Times New Roman"/>
            <a:cs typeface="Times New Roman"/>
          </a:endParaRPr>
        </a:p>
        <a:p>
          <a:pPr algn="l" rtl="1">
            <a:defRPr sz="1000"/>
          </a:pPr>
          <a:r>
            <a:rPr lang="en-GB" sz="900" b="0" i="0" strike="noStrike">
              <a:solidFill>
                <a:srgbClr val="000000"/>
              </a:solidFill>
              <a:latin typeface="Times New Roman"/>
              <a:cs typeface="Times New Roman"/>
            </a:rPr>
            <a:t>5. Never married,                       </a:t>
          </a:r>
          <a:r>
            <a:rPr lang="en-GB" sz="900" b="0" i="0" u="sng" strike="noStrike">
              <a:solidFill>
                <a:srgbClr val="000000"/>
              </a:solidFill>
              <a:latin typeface="Times New Roman"/>
              <a:cs typeface="Times New Roman"/>
            </a:rPr>
            <a:t>not</a:t>
          </a:r>
          <a:r>
            <a:rPr lang="en-GB" sz="900" b="0" i="0" strike="noStrike">
              <a:solidFill>
                <a:srgbClr val="000000"/>
              </a:solidFill>
              <a:latin typeface="Times New Roman"/>
              <a:cs typeface="Times New Roman"/>
            </a:rPr>
            <a:t> engaged</a:t>
          </a:r>
          <a:r>
            <a:rPr lang="en-GB" sz="900" b="1" i="0" strike="noStrike">
              <a:solidFill>
                <a:srgbClr val="000000"/>
              </a:solidFill>
              <a:latin typeface="Times New Roman"/>
              <a:cs typeface="Times New Roman"/>
            </a:rPr>
            <a:t>&gt;&gt;1.7</a:t>
          </a:r>
        </a:p>
      </xdr:txBody>
    </xdr:sp>
    <xdr:clientData/>
  </xdr:twoCellAnchor>
  <xdr:twoCellAnchor editAs="oneCell">
    <xdr:from>
      <xdr:col>2</xdr:col>
      <xdr:colOff>0</xdr:colOff>
      <xdr:row>11</xdr:row>
      <xdr:rowOff>0</xdr:rowOff>
    </xdr:from>
    <xdr:to>
      <xdr:col>2</xdr:col>
      <xdr:colOff>190500</xdr:colOff>
      <xdr:row>11</xdr:row>
      <xdr:rowOff>23622</xdr:rowOff>
    </xdr:to>
    <xdr:pic>
      <xdr:nvPicPr>
        <xdr:cNvPr id="3"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885825" y="1781175"/>
          <a:ext cx="190500" cy="133350"/>
        </a:xfrm>
        <a:prstGeom prst="rect">
          <a:avLst/>
        </a:prstGeom>
        <a:noFill/>
        <a:ln w="9525">
          <a:noFill/>
          <a:miter lim="800000"/>
          <a:headEnd/>
          <a:tailEnd/>
        </a:ln>
      </xdr:spPr>
    </xdr:pic>
    <xdr:clientData/>
  </xdr:twoCellAnchor>
  <xdr:twoCellAnchor editAs="oneCell">
    <xdr:from>
      <xdr:col>4</xdr:col>
      <xdr:colOff>0</xdr:colOff>
      <xdr:row>12</xdr:row>
      <xdr:rowOff>0</xdr:rowOff>
    </xdr:from>
    <xdr:to>
      <xdr:col>4</xdr:col>
      <xdr:colOff>190500</xdr:colOff>
      <xdr:row>12</xdr:row>
      <xdr:rowOff>26670</xdr:rowOff>
    </xdr:to>
    <xdr:pic>
      <xdr:nvPicPr>
        <xdr:cNvPr id="4"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1514475" y="1933575"/>
          <a:ext cx="190500" cy="133350"/>
        </a:xfrm>
        <a:prstGeom prst="rect">
          <a:avLst/>
        </a:prstGeom>
        <a:noFill/>
        <a:ln w="9525">
          <a:noFill/>
          <a:miter lim="800000"/>
          <a:headEnd/>
          <a:tailEnd/>
        </a:ln>
      </xdr:spPr>
    </xdr:pic>
    <xdr:clientData/>
  </xdr:twoCellAnchor>
  <xdr:twoCellAnchor editAs="oneCell">
    <xdr:from>
      <xdr:col>6</xdr:col>
      <xdr:colOff>0</xdr:colOff>
      <xdr:row>11</xdr:row>
      <xdr:rowOff>0</xdr:rowOff>
    </xdr:from>
    <xdr:to>
      <xdr:col>6</xdr:col>
      <xdr:colOff>190500</xdr:colOff>
      <xdr:row>11</xdr:row>
      <xdr:rowOff>23622</xdr:rowOff>
    </xdr:to>
    <xdr:pic>
      <xdr:nvPicPr>
        <xdr:cNvPr id="5"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2219325" y="1781175"/>
          <a:ext cx="190500" cy="133350"/>
        </a:xfrm>
        <a:prstGeom prst="rect">
          <a:avLst/>
        </a:prstGeom>
        <a:noFill/>
        <a:ln w="9525">
          <a:noFill/>
          <a:miter lim="800000"/>
          <a:headEnd/>
          <a:tailEnd/>
        </a:ln>
      </xdr:spPr>
    </xdr:pic>
    <xdr:clientData/>
  </xdr:twoCellAnchor>
  <xdr:twoCellAnchor editAs="oneCell">
    <xdr:from>
      <xdr:col>12</xdr:col>
      <xdr:colOff>0</xdr:colOff>
      <xdr:row>11</xdr:row>
      <xdr:rowOff>0</xdr:rowOff>
    </xdr:from>
    <xdr:to>
      <xdr:col>12</xdr:col>
      <xdr:colOff>190500</xdr:colOff>
      <xdr:row>11</xdr:row>
      <xdr:rowOff>23622</xdr:rowOff>
    </xdr:to>
    <xdr:pic>
      <xdr:nvPicPr>
        <xdr:cNvPr id="6"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4124325" y="1781175"/>
          <a:ext cx="190500" cy="133350"/>
        </a:xfrm>
        <a:prstGeom prst="rect">
          <a:avLst/>
        </a:prstGeom>
        <a:noFill/>
        <a:ln w="9525">
          <a:noFill/>
          <a:miter lim="800000"/>
          <a:headEnd/>
          <a:tailEnd/>
        </a:ln>
      </xdr:spPr>
    </xdr:pic>
    <xdr:clientData/>
  </xdr:twoCellAnchor>
  <xdr:twoCellAnchor editAs="oneCell">
    <xdr:from>
      <xdr:col>17</xdr:col>
      <xdr:colOff>0</xdr:colOff>
      <xdr:row>18</xdr:row>
      <xdr:rowOff>0</xdr:rowOff>
    </xdr:from>
    <xdr:to>
      <xdr:col>17</xdr:col>
      <xdr:colOff>190500</xdr:colOff>
      <xdr:row>18</xdr:row>
      <xdr:rowOff>23622</xdr:rowOff>
    </xdr:to>
    <xdr:pic>
      <xdr:nvPicPr>
        <xdr:cNvPr id="7"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6877050" y="2543175"/>
          <a:ext cx="190500" cy="133350"/>
        </a:xfrm>
        <a:prstGeom prst="rect">
          <a:avLst/>
        </a:prstGeom>
        <a:noFill/>
        <a:ln w="9525">
          <a:noFill/>
          <a:miter lim="800000"/>
          <a:headEnd/>
          <a:tailEnd/>
        </a:ln>
      </xdr:spPr>
    </xdr:pic>
    <xdr:clientData/>
  </xdr:twoCellAnchor>
  <xdr:twoCellAnchor editAs="oneCell">
    <xdr:from>
      <xdr:col>4</xdr:col>
      <xdr:colOff>0</xdr:colOff>
      <xdr:row>11</xdr:row>
      <xdr:rowOff>0</xdr:rowOff>
    </xdr:from>
    <xdr:to>
      <xdr:col>4</xdr:col>
      <xdr:colOff>190500</xdr:colOff>
      <xdr:row>11</xdr:row>
      <xdr:rowOff>23622</xdr:rowOff>
    </xdr:to>
    <xdr:pic>
      <xdr:nvPicPr>
        <xdr:cNvPr id="8"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1514475" y="1781175"/>
          <a:ext cx="190500" cy="133350"/>
        </a:xfrm>
        <a:prstGeom prst="rect">
          <a:avLst/>
        </a:prstGeom>
        <a:noFill/>
        <a:ln w="9525">
          <a:noFill/>
          <a:miter lim="800000"/>
          <a:headEnd/>
          <a:tailEnd/>
        </a:ln>
      </xdr:spPr>
    </xdr:pic>
    <xdr:clientData/>
  </xdr:twoCellAnchor>
  <xdr:twoCellAnchor editAs="oneCell">
    <xdr:from>
      <xdr:col>6</xdr:col>
      <xdr:colOff>0</xdr:colOff>
      <xdr:row>11</xdr:row>
      <xdr:rowOff>0</xdr:rowOff>
    </xdr:from>
    <xdr:to>
      <xdr:col>6</xdr:col>
      <xdr:colOff>190500</xdr:colOff>
      <xdr:row>11</xdr:row>
      <xdr:rowOff>23622</xdr:rowOff>
    </xdr:to>
    <xdr:pic>
      <xdr:nvPicPr>
        <xdr:cNvPr id="9"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2219325" y="1781175"/>
          <a:ext cx="190500" cy="133350"/>
        </a:xfrm>
        <a:prstGeom prst="rect">
          <a:avLst/>
        </a:prstGeom>
        <a:noFill/>
        <a:ln w="9525">
          <a:noFill/>
          <a:miter lim="800000"/>
          <a:headEnd/>
          <a:tailEnd/>
        </a:ln>
      </xdr:spPr>
    </xdr:pic>
    <xdr:clientData/>
  </xdr:twoCellAnchor>
  <xdr:twoCellAnchor editAs="oneCell">
    <xdr:from>
      <xdr:col>12</xdr:col>
      <xdr:colOff>0</xdr:colOff>
      <xdr:row>12</xdr:row>
      <xdr:rowOff>0</xdr:rowOff>
    </xdr:from>
    <xdr:to>
      <xdr:col>12</xdr:col>
      <xdr:colOff>190500</xdr:colOff>
      <xdr:row>12</xdr:row>
      <xdr:rowOff>26670</xdr:rowOff>
    </xdr:to>
    <xdr:pic>
      <xdr:nvPicPr>
        <xdr:cNvPr id="10"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4124325" y="1933575"/>
          <a:ext cx="190500" cy="133350"/>
        </a:xfrm>
        <a:prstGeom prst="rect">
          <a:avLst/>
        </a:prstGeom>
        <a:noFill/>
        <a:ln w="9525">
          <a:noFill/>
          <a:miter lim="800000"/>
          <a:headEnd/>
          <a:tailEnd/>
        </a:ln>
      </xdr:spPr>
    </xdr:pic>
    <xdr:clientData/>
  </xdr:twoCellAnchor>
  <xdr:twoCellAnchor editAs="oneCell">
    <xdr:from>
      <xdr:col>12</xdr:col>
      <xdr:colOff>0</xdr:colOff>
      <xdr:row>11</xdr:row>
      <xdr:rowOff>0</xdr:rowOff>
    </xdr:from>
    <xdr:to>
      <xdr:col>12</xdr:col>
      <xdr:colOff>190500</xdr:colOff>
      <xdr:row>11</xdr:row>
      <xdr:rowOff>23622</xdr:rowOff>
    </xdr:to>
    <xdr:pic>
      <xdr:nvPicPr>
        <xdr:cNvPr id="11"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4124325" y="1781175"/>
          <a:ext cx="190500" cy="133350"/>
        </a:xfrm>
        <a:prstGeom prst="rect">
          <a:avLst/>
        </a:prstGeom>
        <a:noFill/>
        <a:ln w="9525">
          <a:noFill/>
          <a:miter lim="800000"/>
          <a:headEnd/>
          <a:tailEnd/>
        </a:ln>
      </xdr:spPr>
    </xdr:pic>
    <xdr:clientData/>
  </xdr:twoCellAnchor>
  <xdr:twoCellAnchor editAs="oneCell">
    <xdr:from>
      <xdr:col>14</xdr:col>
      <xdr:colOff>0</xdr:colOff>
      <xdr:row>10</xdr:row>
      <xdr:rowOff>0</xdr:rowOff>
    </xdr:from>
    <xdr:to>
      <xdr:col>14</xdr:col>
      <xdr:colOff>190500</xdr:colOff>
      <xdr:row>10</xdr:row>
      <xdr:rowOff>26670</xdr:rowOff>
    </xdr:to>
    <xdr:pic>
      <xdr:nvPicPr>
        <xdr:cNvPr id="12"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4876800" y="1628775"/>
          <a:ext cx="190500" cy="133350"/>
        </a:xfrm>
        <a:prstGeom prst="rect">
          <a:avLst/>
        </a:prstGeom>
        <a:noFill/>
        <a:ln w="9525">
          <a:noFill/>
          <a:miter lim="800000"/>
          <a:headEnd/>
          <a:tailEnd/>
        </a:ln>
      </xdr:spPr>
    </xdr:pic>
    <xdr:clientData/>
  </xdr:twoCellAnchor>
  <xdr:twoCellAnchor editAs="oneCell">
    <xdr:from>
      <xdr:col>17</xdr:col>
      <xdr:colOff>0</xdr:colOff>
      <xdr:row>18</xdr:row>
      <xdr:rowOff>0</xdr:rowOff>
    </xdr:from>
    <xdr:to>
      <xdr:col>17</xdr:col>
      <xdr:colOff>190500</xdr:colOff>
      <xdr:row>18</xdr:row>
      <xdr:rowOff>23622</xdr:rowOff>
    </xdr:to>
    <xdr:pic>
      <xdr:nvPicPr>
        <xdr:cNvPr id="13"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6877050" y="2695575"/>
          <a:ext cx="190500" cy="133350"/>
        </a:xfrm>
        <a:prstGeom prst="rect">
          <a:avLst/>
        </a:prstGeom>
        <a:noFill/>
        <a:ln w="9525">
          <a:noFill/>
          <a:miter lim="800000"/>
          <a:headEnd/>
          <a:tailEnd/>
        </a:ln>
      </xdr:spPr>
    </xdr:pic>
    <xdr:clientData/>
  </xdr:twoCellAnchor>
  <xdr:twoCellAnchor editAs="oneCell">
    <xdr:from>
      <xdr:col>8</xdr:col>
      <xdr:colOff>0</xdr:colOff>
      <xdr:row>11</xdr:row>
      <xdr:rowOff>0</xdr:rowOff>
    </xdr:from>
    <xdr:to>
      <xdr:col>8</xdr:col>
      <xdr:colOff>180975</xdr:colOff>
      <xdr:row>11</xdr:row>
      <xdr:rowOff>23622</xdr:rowOff>
    </xdr:to>
    <xdr:pic>
      <xdr:nvPicPr>
        <xdr:cNvPr id="14"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2914650" y="1781175"/>
          <a:ext cx="180975" cy="133350"/>
        </a:xfrm>
        <a:prstGeom prst="rect">
          <a:avLst/>
        </a:prstGeom>
        <a:noFill/>
        <a:ln w="9525">
          <a:noFill/>
          <a:miter lim="800000"/>
          <a:headEnd/>
          <a:tailEnd/>
        </a:ln>
      </xdr:spPr>
    </xdr:pic>
    <xdr:clientData/>
  </xdr:twoCellAnchor>
  <xdr:twoCellAnchor editAs="oneCell">
    <xdr:from>
      <xdr:col>8</xdr:col>
      <xdr:colOff>0</xdr:colOff>
      <xdr:row>11</xdr:row>
      <xdr:rowOff>0</xdr:rowOff>
    </xdr:from>
    <xdr:to>
      <xdr:col>8</xdr:col>
      <xdr:colOff>180975</xdr:colOff>
      <xdr:row>11</xdr:row>
      <xdr:rowOff>23622</xdr:rowOff>
    </xdr:to>
    <xdr:pic>
      <xdr:nvPicPr>
        <xdr:cNvPr id="15"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2914650" y="1781175"/>
          <a:ext cx="180975" cy="133350"/>
        </a:xfrm>
        <a:prstGeom prst="rect">
          <a:avLst/>
        </a:prstGeom>
        <a:noFill/>
        <a:ln w="9525">
          <a:noFill/>
          <a:miter lim="800000"/>
          <a:headEnd/>
          <a:tailEnd/>
        </a:ln>
      </xdr:spPr>
    </xdr:pic>
    <xdr:clientData/>
  </xdr:twoCellAnchor>
  <xdr:twoCellAnchor editAs="oneCell">
    <xdr:from>
      <xdr:col>10</xdr:col>
      <xdr:colOff>0</xdr:colOff>
      <xdr:row>11</xdr:row>
      <xdr:rowOff>0</xdr:rowOff>
    </xdr:from>
    <xdr:to>
      <xdr:col>10</xdr:col>
      <xdr:colOff>180975</xdr:colOff>
      <xdr:row>11</xdr:row>
      <xdr:rowOff>23622</xdr:rowOff>
    </xdr:to>
    <xdr:pic>
      <xdr:nvPicPr>
        <xdr:cNvPr id="16"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3514725" y="1781175"/>
          <a:ext cx="180975" cy="133350"/>
        </a:xfrm>
        <a:prstGeom prst="rect">
          <a:avLst/>
        </a:prstGeom>
        <a:noFill/>
        <a:ln w="9525">
          <a:noFill/>
          <a:miter lim="800000"/>
          <a:headEnd/>
          <a:tailEnd/>
        </a:ln>
      </xdr:spPr>
    </xdr:pic>
    <xdr:clientData/>
  </xdr:twoCellAnchor>
  <xdr:twoCellAnchor editAs="oneCell">
    <xdr:from>
      <xdr:col>10</xdr:col>
      <xdr:colOff>0</xdr:colOff>
      <xdr:row>11</xdr:row>
      <xdr:rowOff>0</xdr:rowOff>
    </xdr:from>
    <xdr:to>
      <xdr:col>10</xdr:col>
      <xdr:colOff>180975</xdr:colOff>
      <xdr:row>11</xdr:row>
      <xdr:rowOff>23622</xdr:rowOff>
    </xdr:to>
    <xdr:pic>
      <xdr:nvPicPr>
        <xdr:cNvPr id="17"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3514725" y="1781175"/>
          <a:ext cx="180975" cy="133350"/>
        </a:xfrm>
        <a:prstGeom prst="rect">
          <a:avLst/>
        </a:prstGeom>
        <a:noFill/>
        <a:ln w="9525">
          <a:noFill/>
          <a:miter lim="800000"/>
          <a:headEnd/>
          <a:tailEnd/>
        </a:ln>
      </xdr:spPr>
    </xdr:pic>
    <xdr:clientData/>
  </xdr:twoCellAnchor>
  <xdr:twoCellAnchor editAs="oneCell">
    <xdr:from>
      <xdr:col>4</xdr:col>
      <xdr:colOff>0</xdr:colOff>
      <xdr:row>15</xdr:row>
      <xdr:rowOff>0</xdr:rowOff>
    </xdr:from>
    <xdr:to>
      <xdr:col>4</xdr:col>
      <xdr:colOff>190500</xdr:colOff>
      <xdr:row>15</xdr:row>
      <xdr:rowOff>26670</xdr:rowOff>
    </xdr:to>
    <xdr:pic>
      <xdr:nvPicPr>
        <xdr:cNvPr id="18"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1514475" y="2390775"/>
          <a:ext cx="190500" cy="133350"/>
        </a:xfrm>
        <a:prstGeom prst="rect">
          <a:avLst/>
        </a:prstGeom>
        <a:noFill/>
        <a:ln w="9525">
          <a:noFill/>
          <a:miter lim="800000"/>
          <a:headEnd/>
          <a:tailEnd/>
        </a:ln>
      </xdr:spPr>
    </xdr:pic>
    <xdr:clientData/>
  </xdr:twoCellAnchor>
  <xdr:twoCellAnchor editAs="oneCell">
    <xdr:from>
      <xdr:col>17</xdr:col>
      <xdr:colOff>0</xdr:colOff>
      <xdr:row>12</xdr:row>
      <xdr:rowOff>0</xdr:rowOff>
    </xdr:from>
    <xdr:to>
      <xdr:col>17</xdr:col>
      <xdr:colOff>190500</xdr:colOff>
      <xdr:row>12</xdr:row>
      <xdr:rowOff>26670</xdr:rowOff>
    </xdr:to>
    <xdr:pic>
      <xdr:nvPicPr>
        <xdr:cNvPr id="19"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6877050" y="1628775"/>
          <a:ext cx="190500" cy="133350"/>
        </a:xfrm>
        <a:prstGeom prst="rect">
          <a:avLst/>
        </a:prstGeom>
        <a:noFill/>
        <a:ln w="9525">
          <a:noFill/>
          <a:miter lim="800000"/>
          <a:headEnd/>
          <a:tailEnd/>
        </a:ln>
      </xdr:spPr>
    </xdr:pic>
    <xdr:clientData/>
  </xdr:twoCellAnchor>
  <xdr:twoCellAnchor editAs="oneCell">
    <xdr:from>
      <xdr:col>17</xdr:col>
      <xdr:colOff>0</xdr:colOff>
      <xdr:row>13</xdr:row>
      <xdr:rowOff>0</xdr:rowOff>
    </xdr:from>
    <xdr:to>
      <xdr:col>17</xdr:col>
      <xdr:colOff>190500</xdr:colOff>
      <xdr:row>13</xdr:row>
      <xdr:rowOff>23622</xdr:rowOff>
    </xdr:to>
    <xdr:pic>
      <xdr:nvPicPr>
        <xdr:cNvPr id="20"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6877050" y="1781175"/>
          <a:ext cx="190500" cy="133350"/>
        </a:xfrm>
        <a:prstGeom prst="rect">
          <a:avLst/>
        </a:prstGeom>
        <a:noFill/>
        <a:ln w="9525">
          <a:noFill/>
          <a:miter lim="800000"/>
          <a:headEnd/>
          <a:tailEnd/>
        </a:ln>
      </xdr:spPr>
    </xdr:pic>
    <xdr:clientData/>
  </xdr:twoCellAnchor>
  <xdr:twoCellAnchor editAs="oneCell">
    <xdr:from>
      <xdr:col>17</xdr:col>
      <xdr:colOff>0</xdr:colOff>
      <xdr:row>16</xdr:row>
      <xdr:rowOff>0</xdr:rowOff>
    </xdr:from>
    <xdr:to>
      <xdr:col>17</xdr:col>
      <xdr:colOff>190500</xdr:colOff>
      <xdr:row>16</xdr:row>
      <xdr:rowOff>23622</xdr:rowOff>
    </xdr:to>
    <xdr:pic>
      <xdr:nvPicPr>
        <xdr:cNvPr id="22"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6877050" y="2543175"/>
          <a:ext cx="190500" cy="133350"/>
        </a:xfrm>
        <a:prstGeom prst="rect">
          <a:avLst/>
        </a:prstGeom>
        <a:noFill/>
        <a:ln w="9525">
          <a:noFill/>
          <a:miter lim="800000"/>
          <a:headEnd/>
          <a:tailEnd/>
        </a:ln>
      </xdr:spPr>
    </xdr:pic>
    <xdr:clientData/>
  </xdr:twoCellAnchor>
  <xdr:twoCellAnchor editAs="oneCell">
    <xdr:from>
      <xdr:col>17</xdr:col>
      <xdr:colOff>0</xdr:colOff>
      <xdr:row>17</xdr:row>
      <xdr:rowOff>0</xdr:rowOff>
    </xdr:from>
    <xdr:to>
      <xdr:col>17</xdr:col>
      <xdr:colOff>190500</xdr:colOff>
      <xdr:row>17</xdr:row>
      <xdr:rowOff>23622</xdr:rowOff>
    </xdr:to>
    <xdr:pic>
      <xdr:nvPicPr>
        <xdr:cNvPr id="23" name="Picture 1" hidden="1"/>
        <xdr:cNvPicPr>
          <a:picLocks noGrp="1" noChangeAspect="1" noChangeArrowheads="1"/>
        </xdr:cNvPicPr>
      </xdr:nvPicPr>
      <xdr:blipFill>
        <a:blip xmlns:r="http://schemas.openxmlformats.org/officeDocument/2006/relationships" r:embed="rId1" cstate="print"/>
        <a:srcRect/>
        <a:stretch>
          <a:fillRect/>
        </a:stretch>
      </xdr:blipFill>
      <xdr:spPr bwMode="auto">
        <a:xfrm>
          <a:off x="6877050" y="2695575"/>
          <a:ext cx="190500" cy="133350"/>
        </a:xfrm>
        <a:prstGeom prst="rect">
          <a:avLst/>
        </a:prstGeom>
        <a:noFill/>
        <a:ln w="9525">
          <a:noFill/>
          <a:miter lim="800000"/>
          <a:headEnd/>
          <a:tailEnd/>
        </a:ln>
      </xdr:spPr>
    </xdr:pic>
    <xdr:clientData/>
  </xdr:twoCellAnchor>
  <xdr:twoCellAnchor>
    <xdr:from>
      <xdr:col>21</xdr:col>
      <xdr:colOff>190500</xdr:colOff>
      <xdr:row>0</xdr:row>
      <xdr:rowOff>0</xdr:rowOff>
    </xdr:from>
    <xdr:to>
      <xdr:col>21</xdr:col>
      <xdr:colOff>533399</xdr:colOff>
      <xdr:row>0</xdr:row>
      <xdr:rowOff>219075</xdr:rowOff>
    </xdr:to>
    <xdr:sp macro="" textlink="">
      <xdr:nvSpPr>
        <xdr:cNvPr id="24" name="Oval 6461"/>
        <xdr:cNvSpPr>
          <a:spLocks noChangeArrowheads="1"/>
        </xdr:cNvSpPr>
      </xdr:nvSpPr>
      <xdr:spPr bwMode="auto">
        <a:xfrm>
          <a:off x="8943975" y="0"/>
          <a:ext cx="342899" cy="219075"/>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14</a:t>
          </a:r>
        </a:p>
      </xdr:txBody>
    </xdr:sp>
    <xdr:clientData/>
  </xdr:twoCellAnchor>
  <xdr:twoCellAnchor>
    <xdr:from>
      <xdr:col>44</xdr:col>
      <xdr:colOff>561976</xdr:colOff>
      <xdr:row>0</xdr:row>
      <xdr:rowOff>0</xdr:rowOff>
    </xdr:from>
    <xdr:to>
      <xdr:col>45</xdr:col>
      <xdr:colOff>28575</xdr:colOff>
      <xdr:row>0</xdr:row>
      <xdr:rowOff>219075</xdr:rowOff>
    </xdr:to>
    <xdr:sp macro="" textlink="">
      <xdr:nvSpPr>
        <xdr:cNvPr id="25" name="Oval 6461"/>
        <xdr:cNvSpPr>
          <a:spLocks noChangeArrowheads="1"/>
        </xdr:cNvSpPr>
      </xdr:nvSpPr>
      <xdr:spPr bwMode="auto">
        <a:xfrm>
          <a:off x="17907001" y="0"/>
          <a:ext cx="371474" cy="219075"/>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15</a:t>
          </a:r>
        </a:p>
      </xdr:txBody>
    </xdr:sp>
    <xdr:clientData/>
  </xdr:twoCellAnchor>
  <xdr:twoCellAnchor>
    <xdr:from>
      <xdr:col>63</xdr:col>
      <xdr:colOff>485775</xdr:colOff>
      <xdr:row>0</xdr:row>
      <xdr:rowOff>47625</xdr:rowOff>
    </xdr:from>
    <xdr:to>
      <xdr:col>64</xdr:col>
      <xdr:colOff>190499</xdr:colOff>
      <xdr:row>1</xdr:row>
      <xdr:rowOff>38100</xdr:rowOff>
    </xdr:to>
    <xdr:sp macro="" textlink="">
      <xdr:nvSpPr>
        <xdr:cNvPr id="26" name="Oval 6461"/>
        <xdr:cNvSpPr>
          <a:spLocks noChangeArrowheads="1"/>
        </xdr:cNvSpPr>
      </xdr:nvSpPr>
      <xdr:spPr bwMode="auto">
        <a:xfrm>
          <a:off x="25307925" y="47625"/>
          <a:ext cx="314324" cy="219075"/>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16</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123825</xdr:colOff>
      <xdr:row>0</xdr:row>
      <xdr:rowOff>219074</xdr:rowOff>
    </xdr:from>
    <xdr:to>
      <xdr:col>15</xdr:col>
      <xdr:colOff>504825</xdr:colOff>
      <xdr:row>2</xdr:row>
      <xdr:rowOff>95249</xdr:rowOff>
    </xdr:to>
    <xdr:sp macro="" textlink="">
      <xdr:nvSpPr>
        <xdr:cNvPr id="2" name="Oval 6461"/>
        <xdr:cNvSpPr>
          <a:spLocks noChangeArrowheads="1"/>
        </xdr:cNvSpPr>
      </xdr:nvSpPr>
      <xdr:spPr bwMode="auto">
        <a:xfrm>
          <a:off x="9801225" y="219074"/>
          <a:ext cx="381000" cy="238125"/>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17</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24</xdr:col>
      <xdr:colOff>95250</xdr:colOff>
      <xdr:row>0</xdr:row>
      <xdr:rowOff>38100</xdr:rowOff>
    </xdr:from>
    <xdr:to>
      <xdr:col>26</xdr:col>
      <xdr:colOff>85724</xdr:colOff>
      <xdr:row>0</xdr:row>
      <xdr:rowOff>257176</xdr:rowOff>
    </xdr:to>
    <xdr:sp macro="" textlink="">
      <xdr:nvSpPr>
        <xdr:cNvPr id="2" name="Oval 6461"/>
        <xdr:cNvSpPr>
          <a:spLocks noChangeArrowheads="1"/>
        </xdr:cNvSpPr>
      </xdr:nvSpPr>
      <xdr:spPr bwMode="auto">
        <a:xfrm>
          <a:off x="8572500" y="38100"/>
          <a:ext cx="361949" cy="219076"/>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18</a:t>
          </a:r>
        </a:p>
      </xdr:txBody>
    </xdr:sp>
    <xdr:clientData/>
  </xdr:twoCellAnchor>
  <xdr:twoCellAnchor>
    <xdr:from>
      <xdr:col>47</xdr:col>
      <xdr:colOff>114299</xdr:colOff>
      <xdr:row>0</xdr:row>
      <xdr:rowOff>0</xdr:rowOff>
    </xdr:from>
    <xdr:to>
      <xdr:col>48</xdr:col>
      <xdr:colOff>352424</xdr:colOff>
      <xdr:row>0</xdr:row>
      <xdr:rowOff>247651</xdr:rowOff>
    </xdr:to>
    <xdr:sp macro="" textlink="">
      <xdr:nvSpPr>
        <xdr:cNvPr id="3" name="Oval 6461"/>
        <xdr:cNvSpPr>
          <a:spLocks noChangeArrowheads="1"/>
        </xdr:cNvSpPr>
      </xdr:nvSpPr>
      <xdr:spPr bwMode="auto">
        <a:xfrm>
          <a:off x="16773524" y="0"/>
          <a:ext cx="428625" cy="247651"/>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19</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33</xdr:col>
      <xdr:colOff>371475</xdr:colOff>
      <xdr:row>0</xdr:row>
      <xdr:rowOff>114300</xdr:rowOff>
    </xdr:from>
    <xdr:to>
      <xdr:col>33</xdr:col>
      <xdr:colOff>733424</xdr:colOff>
      <xdr:row>1</xdr:row>
      <xdr:rowOff>85726</xdr:rowOff>
    </xdr:to>
    <xdr:sp macro="" textlink="">
      <xdr:nvSpPr>
        <xdr:cNvPr id="2" name="Oval 6461"/>
        <xdr:cNvSpPr>
          <a:spLocks noChangeArrowheads="1"/>
        </xdr:cNvSpPr>
      </xdr:nvSpPr>
      <xdr:spPr bwMode="auto">
        <a:xfrm>
          <a:off x="8753475" y="114300"/>
          <a:ext cx="361949" cy="219076"/>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20</a:t>
          </a:r>
        </a:p>
      </xdr:txBody>
    </xdr:sp>
    <xdr:clientData/>
  </xdr:twoCellAnchor>
  <xdr:twoCellAnchor>
    <xdr:from>
      <xdr:col>33</xdr:col>
      <xdr:colOff>381000</xdr:colOff>
      <xdr:row>43</xdr:row>
      <xdr:rowOff>38100</xdr:rowOff>
    </xdr:from>
    <xdr:to>
      <xdr:col>33</xdr:col>
      <xdr:colOff>742949</xdr:colOff>
      <xdr:row>44</xdr:row>
      <xdr:rowOff>9526</xdr:rowOff>
    </xdr:to>
    <xdr:sp macro="" textlink="">
      <xdr:nvSpPr>
        <xdr:cNvPr id="4" name="Oval 6461"/>
        <xdr:cNvSpPr>
          <a:spLocks noChangeArrowheads="1"/>
        </xdr:cNvSpPr>
      </xdr:nvSpPr>
      <xdr:spPr bwMode="auto">
        <a:xfrm>
          <a:off x="8763000" y="7038975"/>
          <a:ext cx="361949" cy="219076"/>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21</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16</xdr:col>
      <xdr:colOff>847725</xdr:colOff>
      <xdr:row>1</xdr:row>
      <xdr:rowOff>9525</xdr:rowOff>
    </xdr:from>
    <xdr:to>
      <xdr:col>17</xdr:col>
      <xdr:colOff>114299</xdr:colOff>
      <xdr:row>1</xdr:row>
      <xdr:rowOff>228601</xdr:rowOff>
    </xdr:to>
    <xdr:sp macro="" textlink="">
      <xdr:nvSpPr>
        <xdr:cNvPr id="3" name="Oval 6461"/>
        <xdr:cNvSpPr>
          <a:spLocks noChangeArrowheads="1"/>
        </xdr:cNvSpPr>
      </xdr:nvSpPr>
      <xdr:spPr bwMode="auto">
        <a:xfrm>
          <a:off x="8153400" y="200025"/>
          <a:ext cx="361949" cy="219076"/>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22</a:t>
          </a:r>
        </a:p>
      </xdr:txBody>
    </xdr:sp>
    <xdr:clientData/>
  </xdr:twoCellAnchor>
  <xdr:twoCellAnchor>
    <xdr:from>
      <xdr:col>41</xdr:col>
      <xdr:colOff>133350</xdr:colOff>
      <xdr:row>1</xdr:row>
      <xdr:rowOff>9525</xdr:rowOff>
    </xdr:from>
    <xdr:to>
      <xdr:col>41</xdr:col>
      <xdr:colOff>495299</xdr:colOff>
      <xdr:row>1</xdr:row>
      <xdr:rowOff>228601</xdr:rowOff>
    </xdr:to>
    <xdr:sp macro="" textlink="">
      <xdr:nvSpPr>
        <xdr:cNvPr id="4" name="Oval 6461"/>
        <xdr:cNvSpPr>
          <a:spLocks noChangeArrowheads="1"/>
        </xdr:cNvSpPr>
      </xdr:nvSpPr>
      <xdr:spPr bwMode="auto">
        <a:xfrm>
          <a:off x="16944975" y="200025"/>
          <a:ext cx="361949" cy="219076"/>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23</a:t>
          </a:r>
        </a:p>
      </xdr:txBody>
    </xdr:sp>
    <xdr:clientData/>
  </xdr:twoCellAnchor>
  <xdr:twoCellAnchor>
    <xdr:from>
      <xdr:col>60</xdr:col>
      <xdr:colOff>152400</xdr:colOff>
      <xdr:row>1</xdr:row>
      <xdr:rowOff>19050</xdr:rowOff>
    </xdr:from>
    <xdr:to>
      <xdr:col>61</xdr:col>
      <xdr:colOff>66674</xdr:colOff>
      <xdr:row>1</xdr:row>
      <xdr:rowOff>238126</xdr:rowOff>
    </xdr:to>
    <xdr:sp macro="" textlink="">
      <xdr:nvSpPr>
        <xdr:cNvPr id="5" name="Oval 6461"/>
        <xdr:cNvSpPr>
          <a:spLocks noChangeArrowheads="1"/>
        </xdr:cNvSpPr>
      </xdr:nvSpPr>
      <xdr:spPr bwMode="auto">
        <a:xfrm>
          <a:off x="24726900" y="209550"/>
          <a:ext cx="361949" cy="219076"/>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24</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44</xdr:col>
      <xdr:colOff>304800</xdr:colOff>
      <xdr:row>1</xdr:row>
      <xdr:rowOff>76200</xdr:rowOff>
    </xdr:from>
    <xdr:to>
      <xdr:col>46</xdr:col>
      <xdr:colOff>66674</xdr:colOff>
      <xdr:row>2</xdr:row>
      <xdr:rowOff>47626</xdr:rowOff>
    </xdr:to>
    <xdr:sp macro="" textlink="">
      <xdr:nvSpPr>
        <xdr:cNvPr id="2" name="Oval 6461"/>
        <xdr:cNvSpPr>
          <a:spLocks noChangeArrowheads="1"/>
        </xdr:cNvSpPr>
      </xdr:nvSpPr>
      <xdr:spPr bwMode="auto">
        <a:xfrm>
          <a:off x="8820150" y="161925"/>
          <a:ext cx="361949" cy="219076"/>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25</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19</xdr:col>
      <xdr:colOff>161925</xdr:colOff>
      <xdr:row>0</xdr:row>
      <xdr:rowOff>47625</xdr:rowOff>
    </xdr:from>
    <xdr:to>
      <xdr:col>21</xdr:col>
      <xdr:colOff>95249</xdr:colOff>
      <xdr:row>1</xdr:row>
      <xdr:rowOff>66675</xdr:rowOff>
    </xdr:to>
    <xdr:sp macro="" textlink="">
      <xdr:nvSpPr>
        <xdr:cNvPr id="2" name="Oval 6461"/>
        <xdr:cNvSpPr>
          <a:spLocks noChangeArrowheads="1"/>
        </xdr:cNvSpPr>
      </xdr:nvSpPr>
      <xdr:spPr bwMode="auto">
        <a:xfrm>
          <a:off x="5372100" y="47625"/>
          <a:ext cx="352424" cy="22860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26</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32</xdr:col>
      <xdr:colOff>19050</xdr:colOff>
      <xdr:row>0</xdr:row>
      <xdr:rowOff>9525</xdr:rowOff>
    </xdr:from>
    <xdr:to>
      <xdr:col>35</xdr:col>
      <xdr:colOff>95249</xdr:colOff>
      <xdr:row>1</xdr:row>
      <xdr:rowOff>28575</xdr:rowOff>
    </xdr:to>
    <xdr:sp macro="" textlink="">
      <xdr:nvSpPr>
        <xdr:cNvPr id="2" name="Oval 6461"/>
        <xdr:cNvSpPr>
          <a:spLocks noChangeArrowheads="1"/>
        </xdr:cNvSpPr>
      </xdr:nvSpPr>
      <xdr:spPr bwMode="auto">
        <a:xfrm>
          <a:off x="5229225" y="9525"/>
          <a:ext cx="361949" cy="22860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27</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47</xdr:col>
      <xdr:colOff>161925</xdr:colOff>
      <xdr:row>0</xdr:row>
      <xdr:rowOff>76200</xdr:rowOff>
    </xdr:from>
    <xdr:to>
      <xdr:col>49</xdr:col>
      <xdr:colOff>161924</xdr:colOff>
      <xdr:row>1</xdr:row>
      <xdr:rowOff>57150</xdr:rowOff>
    </xdr:to>
    <xdr:sp macro="" textlink="">
      <xdr:nvSpPr>
        <xdr:cNvPr id="2" name="Oval 6461"/>
        <xdr:cNvSpPr>
          <a:spLocks noChangeArrowheads="1"/>
        </xdr:cNvSpPr>
      </xdr:nvSpPr>
      <xdr:spPr bwMode="auto">
        <a:xfrm>
          <a:off x="8696325" y="76200"/>
          <a:ext cx="361949" cy="22860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28</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25</xdr:col>
      <xdr:colOff>76200</xdr:colOff>
      <xdr:row>0</xdr:row>
      <xdr:rowOff>57150</xdr:rowOff>
    </xdr:from>
    <xdr:to>
      <xdr:col>27</xdr:col>
      <xdr:colOff>152399</xdr:colOff>
      <xdr:row>1</xdr:row>
      <xdr:rowOff>66675</xdr:rowOff>
    </xdr:to>
    <xdr:sp macro="" textlink="">
      <xdr:nvSpPr>
        <xdr:cNvPr id="2" name="Oval 6461"/>
        <xdr:cNvSpPr>
          <a:spLocks noChangeArrowheads="1"/>
        </xdr:cNvSpPr>
      </xdr:nvSpPr>
      <xdr:spPr bwMode="auto">
        <a:xfrm>
          <a:off x="5486400" y="57150"/>
          <a:ext cx="361949" cy="22860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29</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30</xdr:col>
      <xdr:colOff>85725</xdr:colOff>
      <xdr:row>1</xdr:row>
      <xdr:rowOff>66675</xdr:rowOff>
    </xdr:from>
    <xdr:to>
      <xdr:col>31</xdr:col>
      <xdr:colOff>114299</xdr:colOff>
      <xdr:row>2</xdr:row>
      <xdr:rowOff>19050</xdr:rowOff>
    </xdr:to>
    <xdr:sp macro="" textlink="">
      <xdr:nvSpPr>
        <xdr:cNvPr id="2" name="Oval 6461"/>
        <xdr:cNvSpPr>
          <a:spLocks noChangeArrowheads="1"/>
        </xdr:cNvSpPr>
      </xdr:nvSpPr>
      <xdr:spPr bwMode="auto">
        <a:xfrm>
          <a:off x="6429375" y="285750"/>
          <a:ext cx="419099" cy="22860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30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18</xdr:col>
      <xdr:colOff>114300</xdr:colOff>
      <xdr:row>0</xdr:row>
      <xdr:rowOff>0</xdr:rowOff>
    </xdr:from>
    <xdr:to>
      <xdr:col>18</xdr:col>
      <xdr:colOff>476249</xdr:colOff>
      <xdr:row>1</xdr:row>
      <xdr:rowOff>38100</xdr:rowOff>
    </xdr:to>
    <xdr:sp macro="" textlink="">
      <xdr:nvSpPr>
        <xdr:cNvPr id="2" name="Oval 6461"/>
        <xdr:cNvSpPr>
          <a:spLocks noChangeArrowheads="1"/>
        </xdr:cNvSpPr>
      </xdr:nvSpPr>
      <xdr:spPr bwMode="auto">
        <a:xfrm>
          <a:off x="9486900" y="0"/>
          <a:ext cx="361949" cy="22860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31</a:t>
          </a:r>
        </a:p>
        <a:p>
          <a:pPr algn="ctr" rtl="1">
            <a:defRPr sz="1000"/>
          </a:pPr>
          <a:endParaRPr lang="en-US" sz="1050" b="1" i="0" strike="noStrike">
            <a:solidFill>
              <a:srgbClr val="000000"/>
            </a:solidFill>
            <a:latin typeface="Arial"/>
            <a:cs typeface="Arial"/>
          </a:endParaRPr>
        </a:p>
      </xdr:txBody>
    </xdr:sp>
    <xdr:clientData/>
  </xdr:twoCellAnchor>
  <xdr:twoCellAnchor>
    <xdr:from>
      <xdr:col>35</xdr:col>
      <xdr:colOff>276225</xdr:colOff>
      <xdr:row>0</xdr:row>
      <xdr:rowOff>0</xdr:rowOff>
    </xdr:from>
    <xdr:to>
      <xdr:col>35</xdr:col>
      <xdr:colOff>638174</xdr:colOff>
      <xdr:row>1</xdr:row>
      <xdr:rowOff>66674</xdr:rowOff>
    </xdr:to>
    <xdr:sp macro="" textlink="">
      <xdr:nvSpPr>
        <xdr:cNvPr id="3" name="Oval 6461"/>
        <xdr:cNvSpPr>
          <a:spLocks noChangeArrowheads="1"/>
        </xdr:cNvSpPr>
      </xdr:nvSpPr>
      <xdr:spPr bwMode="auto">
        <a:xfrm>
          <a:off x="18897600" y="0"/>
          <a:ext cx="361949" cy="257174"/>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32</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22</xdr:col>
      <xdr:colOff>21167</xdr:colOff>
      <xdr:row>1</xdr:row>
      <xdr:rowOff>0</xdr:rowOff>
    </xdr:from>
    <xdr:to>
      <xdr:col>23</xdr:col>
      <xdr:colOff>150283</xdr:colOff>
      <xdr:row>1</xdr:row>
      <xdr:rowOff>154517</xdr:rowOff>
    </xdr:to>
    <xdr:sp macro="" textlink="">
      <xdr:nvSpPr>
        <xdr:cNvPr id="2" name="Oval 6461"/>
        <xdr:cNvSpPr>
          <a:spLocks noChangeArrowheads="1"/>
        </xdr:cNvSpPr>
      </xdr:nvSpPr>
      <xdr:spPr bwMode="auto">
        <a:xfrm>
          <a:off x="5503334" y="243417"/>
          <a:ext cx="361949" cy="22860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33</a:t>
          </a:r>
        </a:p>
        <a:p>
          <a:pPr algn="ctr" rtl="1">
            <a:defRPr sz="1000"/>
          </a:pPr>
          <a:endParaRPr lang="en-US" sz="1050" b="1" i="0" strike="noStrike">
            <a:solidFill>
              <a:srgbClr val="000000"/>
            </a:solidFill>
            <a:latin typeface="Arial"/>
            <a:cs typeface="Arial"/>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5</xdr:col>
      <xdr:colOff>238125</xdr:colOff>
      <xdr:row>0</xdr:row>
      <xdr:rowOff>0</xdr:rowOff>
    </xdr:from>
    <xdr:to>
      <xdr:col>5</xdr:col>
      <xdr:colOff>600074</xdr:colOff>
      <xdr:row>2</xdr:row>
      <xdr:rowOff>9525</xdr:rowOff>
    </xdr:to>
    <xdr:sp macro="" textlink="">
      <xdr:nvSpPr>
        <xdr:cNvPr id="2" name="Oval 6461"/>
        <xdr:cNvSpPr>
          <a:spLocks noChangeArrowheads="1"/>
        </xdr:cNvSpPr>
      </xdr:nvSpPr>
      <xdr:spPr bwMode="auto">
        <a:xfrm>
          <a:off x="5153025" y="0"/>
          <a:ext cx="361949" cy="22860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34</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7</xdr:col>
      <xdr:colOff>317500</xdr:colOff>
      <xdr:row>0</xdr:row>
      <xdr:rowOff>31750</xdr:rowOff>
    </xdr:from>
    <xdr:to>
      <xdr:col>7</xdr:col>
      <xdr:colOff>685799</xdr:colOff>
      <xdr:row>1</xdr:row>
      <xdr:rowOff>2117</xdr:rowOff>
    </xdr:to>
    <xdr:sp macro="" textlink="">
      <xdr:nvSpPr>
        <xdr:cNvPr id="2" name="Oval 6461"/>
        <xdr:cNvSpPr>
          <a:spLocks noChangeArrowheads="1"/>
        </xdr:cNvSpPr>
      </xdr:nvSpPr>
      <xdr:spPr bwMode="auto">
        <a:xfrm>
          <a:off x="6212417" y="31750"/>
          <a:ext cx="368299" cy="23495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35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7</xdr:col>
      <xdr:colOff>552450</xdr:colOff>
      <xdr:row>2</xdr:row>
      <xdr:rowOff>0</xdr:rowOff>
    </xdr:from>
    <xdr:to>
      <xdr:col>7</xdr:col>
      <xdr:colOff>914399</xdr:colOff>
      <xdr:row>3</xdr:row>
      <xdr:rowOff>28575</xdr:rowOff>
    </xdr:to>
    <xdr:sp macro="" textlink="">
      <xdr:nvSpPr>
        <xdr:cNvPr id="2" name="Oval 6461"/>
        <xdr:cNvSpPr>
          <a:spLocks noChangeArrowheads="1"/>
        </xdr:cNvSpPr>
      </xdr:nvSpPr>
      <xdr:spPr bwMode="auto">
        <a:xfrm>
          <a:off x="6086475" y="304800"/>
          <a:ext cx="361949" cy="22860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36</a:t>
          </a:r>
        </a:p>
        <a:p>
          <a:pPr algn="ctr" rtl="1">
            <a:defRPr sz="1000"/>
          </a:pPr>
          <a:endParaRPr lang="en-US" sz="1050" b="1" i="0" strike="noStrike">
            <a:solidFill>
              <a:srgbClr val="000000"/>
            </a:solidFill>
            <a:latin typeface="Arial"/>
            <a:cs typeface="Arial"/>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4</xdr:col>
      <xdr:colOff>0</xdr:colOff>
      <xdr:row>0</xdr:row>
      <xdr:rowOff>0</xdr:rowOff>
    </xdr:from>
    <xdr:to>
      <xdr:col>4</xdr:col>
      <xdr:colOff>361949</xdr:colOff>
      <xdr:row>0</xdr:row>
      <xdr:rowOff>228600</xdr:rowOff>
    </xdr:to>
    <xdr:sp macro="" textlink="">
      <xdr:nvSpPr>
        <xdr:cNvPr id="2" name="Oval 6461"/>
        <xdr:cNvSpPr>
          <a:spLocks noChangeArrowheads="1"/>
        </xdr:cNvSpPr>
      </xdr:nvSpPr>
      <xdr:spPr bwMode="auto">
        <a:xfrm>
          <a:off x="5867400" y="0"/>
          <a:ext cx="361949" cy="22860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37</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5</xdr:col>
      <xdr:colOff>533400</xdr:colOff>
      <xdr:row>0</xdr:row>
      <xdr:rowOff>295275</xdr:rowOff>
    </xdr:from>
    <xdr:to>
      <xdr:col>5</xdr:col>
      <xdr:colOff>895349</xdr:colOff>
      <xdr:row>0</xdr:row>
      <xdr:rowOff>523875</xdr:rowOff>
    </xdr:to>
    <xdr:sp macro="" textlink="">
      <xdr:nvSpPr>
        <xdr:cNvPr id="2" name="Oval 6461"/>
        <xdr:cNvSpPr>
          <a:spLocks noChangeArrowheads="1"/>
        </xdr:cNvSpPr>
      </xdr:nvSpPr>
      <xdr:spPr bwMode="auto">
        <a:xfrm>
          <a:off x="5857875" y="295275"/>
          <a:ext cx="361949" cy="22860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38</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4</xdr:col>
      <xdr:colOff>666750</xdr:colOff>
      <xdr:row>0</xdr:row>
      <xdr:rowOff>447675</xdr:rowOff>
    </xdr:from>
    <xdr:to>
      <xdr:col>4</xdr:col>
      <xdr:colOff>1028699</xdr:colOff>
      <xdr:row>2</xdr:row>
      <xdr:rowOff>161925</xdr:rowOff>
    </xdr:to>
    <xdr:sp macro="" textlink="">
      <xdr:nvSpPr>
        <xdr:cNvPr id="2" name="Oval 6461"/>
        <xdr:cNvSpPr>
          <a:spLocks noChangeArrowheads="1"/>
        </xdr:cNvSpPr>
      </xdr:nvSpPr>
      <xdr:spPr bwMode="auto">
        <a:xfrm>
          <a:off x="5534025" y="447675"/>
          <a:ext cx="361949" cy="22860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39</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5</xdr:col>
      <xdr:colOff>695325</xdr:colOff>
      <xdr:row>0</xdr:row>
      <xdr:rowOff>209550</xdr:rowOff>
    </xdr:from>
    <xdr:to>
      <xdr:col>6</xdr:col>
      <xdr:colOff>247649</xdr:colOff>
      <xdr:row>0</xdr:row>
      <xdr:rowOff>438150</xdr:rowOff>
    </xdr:to>
    <xdr:sp macro="" textlink="">
      <xdr:nvSpPr>
        <xdr:cNvPr id="2" name="Oval 6461"/>
        <xdr:cNvSpPr>
          <a:spLocks noChangeArrowheads="1"/>
        </xdr:cNvSpPr>
      </xdr:nvSpPr>
      <xdr:spPr bwMode="auto">
        <a:xfrm>
          <a:off x="5953125" y="209550"/>
          <a:ext cx="400049" cy="22860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40</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5</xdr:col>
      <xdr:colOff>276225</xdr:colOff>
      <xdr:row>0</xdr:row>
      <xdr:rowOff>66675</xdr:rowOff>
    </xdr:from>
    <xdr:to>
      <xdr:col>5</xdr:col>
      <xdr:colOff>638174</xdr:colOff>
      <xdr:row>0</xdr:row>
      <xdr:rowOff>295275</xdr:rowOff>
    </xdr:to>
    <xdr:sp macro="" textlink="">
      <xdr:nvSpPr>
        <xdr:cNvPr id="2" name="Oval 6461"/>
        <xdr:cNvSpPr>
          <a:spLocks noChangeArrowheads="1"/>
        </xdr:cNvSpPr>
      </xdr:nvSpPr>
      <xdr:spPr bwMode="auto">
        <a:xfrm>
          <a:off x="5886450" y="66675"/>
          <a:ext cx="361949" cy="22860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41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4</xdr:col>
      <xdr:colOff>38100</xdr:colOff>
      <xdr:row>0</xdr:row>
      <xdr:rowOff>323850</xdr:rowOff>
    </xdr:from>
    <xdr:to>
      <xdr:col>4</xdr:col>
      <xdr:colOff>428625</xdr:colOff>
      <xdr:row>2</xdr:row>
      <xdr:rowOff>19050</xdr:rowOff>
    </xdr:to>
    <xdr:sp macro="" textlink="">
      <xdr:nvSpPr>
        <xdr:cNvPr id="2" name="Oval 6461"/>
        <xdr:cNvSpPr>
          <a:spLocks noChangeArrowheads="1"/>
        </xdr:cNvSpPr>
      </xdr:nvSpPr>
      <xdr:spPr bwMode="auto">
        <a:xfrm>
          <a:off x="5676900" y="323850"/>
          <a:ext cx="390525" cy="20955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42</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5</xdr:col>
      <xdr:colOff>28575</xdr:colOff>
      <xdr:row>0</xdr:row>
      <xdr:rowOff>152400</xdr:rowOff>
    </xdr:from>
    <xdr:to>
      <xdr:col>6</xdr:col>
      <xdr:colOff>152399</xdr:colOff>
      <xdr:row>2</xdr:row>
      <xdr:rowOff>9525</xdr:rowOff>
    </xdr:to>
    <xdr:sp macro="" textlink="">
      <xdr:nvSpPr>
        <xdr:cNvPr id="2" name="Oval 6461"/>
        <xdr:cNvSpPr>
          <a:spLocks noChangeArrowheads="1"/>
        </xdr:cNvSpPr>
      </xdr:nvSpPr>
      <xdr:spPr bwMode="auto">
        <a:xfrm>
          <a:off x="5191125" y="152400"/>
          <a:ext cx="466724" cy="22860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43</a:t>
          </a:r>
        </a:p>
        <a:p>
          <a:pPr algn="ctr" rtl="1">
            <a:defRPr sz="1000"/>
          </a:pPr>
          <a:endParaRPr lang="en-US" sz="1050" b="1" i="0" strike="noStrike">
            <a:solidFill>
              <a:srgbClr val="000000"/>
            </a:solidFill>
            <a:latin typeface="Arial"/>
            <a:cs typeface="Arial"/>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7</xdr:col>
      <xdr:colOff>0</xdr:colOff>
      <xdr:row>40</xdr:row>
      <xdr:rowOff>0</xdr:rowOff>
    </xdr:from>
    <xdr:to>
      <xdr:col>7</xdr:col>
      <xdr:colOff>0</xdr:colOff>
      <xdr:row>40</xdr:row>
      <xdr:rowOff>0</xdr:rowOff>
    </xdr:to>
    <xdr:sp macro="" textlink="">
      <xdr:nvSpPr>
        <xdr:cNvPr id="2" name="Rectangle 7"/>
        <xdr:cNvSpPr>
          <a:spLocks noChangeArrowheads="1"/>
        </xdr:cNvSpPr>
      </xdr:nvSpPr>
      <xdr:spPr bwMode="auto">
        <a:xfrm>
          <a:off x="2800350" y="6896100"/>
          <a:ext cx="0"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0</xdr:colOff>
      <xdr:row>8</xdr:row>
      <xdr:rowOff>85725</xdr:rowOff>
    </xdr:from>
    <xdr:to>
      <xdr:col>7</xdr:col>
      <xdr:colOff>0</xdr:colOff>
      <xdr:row>11</xdr:row>
      <xdr:rowOff>0</xdr:rowOff>
    </xdr:to>
    <xdr:sp macro="" textlink="">
      <xdr:nvSpPr>
        <xdr:cNvPr id="3" name="Rectangle 8"/>
        <xdr:cNvSpPr>
          <a:spLocks noChangeArrowheads="1"/>
        </xdr:cNvSpPr>
      </xdr:nvSpPr>
      <xdr:spPr bwMode="auto">
        <a:xfrm>
          <a:off x="2800350" y="1628775"/>
          <a:ext cx="0" cy="3429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104775</xdr:colOff>
      <xdr:row>0</xdr:row>
      <xdr:rowOff>152400</xdr:rowOff>
    </xdr:from>
    <xdr:to>
      <xdr:col>15</xdr:col>
      <xdr:colOff>466724</xdr:colOff>
      <xdr:row>1</xdr:row>
      <xdr:rowOff>133350</xdr:rowOff>
    </xdr:to>
    <xdr:sp macro="" textlink="">
      <xdr:nvSpPr>
        <xdr:cNvPr id="4" name="Oval 6461"/>
        <xdr:cNvSpPr>
          <a:spLocks noChangeArrowheads="1"/>
        </xdr:cNvSpPr>
      </xdr:nvSpPr>
      <xdr:spPr bwMode="auto">
        <a:xfrm>
          <a:off x="7648575" y="152400"/>
          <a:ext cx="361949" cy="228600"/>
        </a:xfrm>
        <a:prstGeom prst="ellipse">
          <a:avLst/>
        </a:prstGeom>
        <a:solidFill>
          <a:schemeClr val="accent5">
            <a:lumMod val="40000"/>
            <a:lumOff val="60000"/>
          </a:schemeClr>
        </a:solidFill>
        <a:ln w="9525" algn="ctr">
          <a:solidFill>
            <a:srgbClr val="000000"/>
          </a:solidFill>
          <a:round/>
          <a:headEnd/>
          <a:tailEnd/>
        </a:ln>
        <a:effectLst>
          <a:glow rad="101600">
            <a:schemeClr val="accent3">
              <a:satMod val="175000"/>
              <a:alpha val="40000"/>
            </a:schemeClr>
          </a:glow>
          <a:outerShdw dist="20000" dir="5400000" rotWithShape="0">
            <a:srgbClr val="000000">
              <a:alpha val="37999"/>
            </a:srgbClr>
          </a:outerShdw>
        </a:effectLst>
      </xdr:spPr>
      <xdr:txBody>
        <a:bodyPr vertOverflow="clip" wrap="square" lIns="36576" tIns="27432" rIns="36576" bIns="0" anchor="ctr" upright="1"/>
        <a:lstStyle/>
        <a:p>
          <a:pPr algn="ctr" rtl="1">
            <a:defRPr sz="1000"/>
          </a:pPr>
          <a:r>
            <a:rPr lang="en-US" sz="1050" b="1" i="0" strike="noStrike">
              <a:solidFill>
                <a:srgbClr val="000000"/>
              </a:solidFill>
              <a:latin typeface="Arial"/>
              <a:cs typeface="Arial"/>
            </a:rPr>
            <a:t>44</a:t>
          </a:r>
        </a:p>
        <a:p>
          <a:pPr algn="ctr" rtl="1">
            <a:defRPr sz="1000"/>
          </a:pPr>
          <a:endParaRPr lang="en-US" sz="1050" b="1" i="0" strike="noStrike">
            <a:solidFill>
              <a:srgbClr val="000000"/>
            </a:solidFill>
            <a:latin typeface="Arial"/>
            <a:cs typeface="Aria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po\Talip\TZNPS\Documentation\Questionnaires\Questionnaires%20(Excel)\Documents%20and%20Settings\user1\Local%20Settings\Temp\Temporary%20Directory%201%20for%20Final%20English%20and%20Albanian%20HH%20Quest.zip\FINAL%20AP12%20ALBANIAN.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Users\tkilic\AppData\Local\Temp\Rar$DI00.841\Documents%20and%20Settings\Administrator\Local%20Settings\Temp\windows\TEMP\Rar$DI00.411\park%20and%20wait\Final%20LSMS%20HH%20ALBANIAN%20QUE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tkilic/AppData/Local/Temp/Rar$DI00.841/Documents%20and%20Settings/Administrator/Local%20Settings/Temp/windows/TEMP/Rar$DI00.411/park%20and%20wait/Final%20LSMS%20HH%20ALBANIAN%20QUE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
      <sheetName val="upper HHROSTERINFO"/>
      <sheetName val="TABLE OF CONTENTS"/>
      <sheetName val="(1) HOUSEHOLD ROSTER"/>
      <sheetName val="(2) MIGRATION"/>
      <sheetName val="(3) DWELLING - A"/>
      <sheetName val="(3) DWELLING... - B"/>
      <sheetName val="(3) DWELLING... - C"/>
      <sheetName val="(4) EDUCATION - A "/>
      <sheetName val="(4) EDUCATION - B "/>
      <sheetName val="(5) HEALTH - A"/>
      <sheetName val="(5) HEALTH - B"/>
      <sheetName val="(6) FERTILITY - A "/>
      <sheetName val="(6) FERTILITY -  B "/>
      <sheetName val="(7) LABOUR - A"/>
      <sheetName val="(7) LABOUR - B"/>
      <sheetName val="(7) LABOUR -  C"/>
      <sheetName val="LABOUR-D"/>
      <sheetName val="(8) TRANSFERS... - A , B "/>
      <sheetName val="(8) TRANSFERS... - C"/>
      <sheetName val="(9) SUBJECTIVE POVERTY"/>
      <sheetName val="ROSTER INFORMATION"/>
      <sheetName val="(11) NONFOOD - A "/>
      <sheetName val="(11) NONFOOD - B"/>
      <sheetName val="(11) NONFOOD - C"/>
      <sheetName val="(12) AGRICULTURE - A1 to A3"/>
      <sheetName val="(12) AGRICULTURE -B"/>
      <sheetName val="(12) AGRICULTURE - C"/>
      <sheetName val="(12) AGRICULTURE - D"/>
      <sheetName val="(12) AGRICULTURE - E&amp;F"/>
      <sheetName val="(13) NONFARM - A "/>
      <sheetName val="(13) NONFARM- B&amp;c"/>
      <sheetName val="(13) NONFARM - D"/>
      <sheetName val="(13) NONFARM - E "/>
      <sheetName val="(14) OTHER INCOME"/>
      <sheetName val="(15) ANTHROPOM-A"/>
      <sheetName val="(15) ANTHROPOM-B"/>
      <sheetName val="FLAP OF HH MEMBERS"/>
    </sheetNames>
    <sheetDataSet>
      <sheetData sheetId="0" refreshError="1"/>
      <sheetData sheetId="1" refreshError="1"/>
      <sheetData sheetId="2" refreshError="1"/>
      <sheetData sheetId="3">
        <row r="1">
          <cell r="B1" t="str">
            <v>MODULE 1: PERBERJA FAMILJARE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upper HHROSTERINFO"/>
      <sheetName val="(1) HOUSEHOLD ROSTER"/>
      <sheetName val="(2) MIGRATION"/>
      <sheetName val="(3) DWELLING - A"/>
      <sheetName val="(3) DWELLING... - B"/>
      <sheetName val="(3) DWELLING... - C"/>
      <sheetName val="(4) EDUCATION - A "/>
      <sheetName val="(4) EDUCATION - B "/>
      <sheetName val="(5) HEALTH - A"/>
      <sheetName val="(5) HEALTH - B"/>
      <sheetName val="(6) FERTILITY - A "/>
      <sheetName val="(6) FERTILITY -  B "/>
      <sheetName val="(7) LABOUR - A"/>
      <sheetName val="(7) LABOUR - B"/>
      <sheetName val="(7) LABOUR -  C"/>
      <sheetName val="LABOUR-D"/>
      <sheetName val="(8) TRANSFERS... - A , B "/>
      <sheetName val="(8) TRANSFERS... - C"/>
      <sheetName val="(9) SUBJECTIVE POVERTY"/>
      <sheetName val="(11) NONFOOD - A , B , C"/>
      <sheetName val="(12) AGRICULTURE - A1 to A3"/>
      <sheetName val="(12) AGRICULTURE -B"/>
      <sheetName val="(12) AGRICULTURE - C"/>
      <sheetName val="(12) AGRICULTURE - D"/>
      <sheetName val="(12) AGRICULTURE - E&amp;F"/>
      <sheetName val="(13) NONFARM - A "/>
      <sheetName val="(13) NONFARM- B"/>
      <sheetName val="(13) NONFARM - C"/>
      <sheetName val="(13) NONFARM - D"/>
      <sheetName val="(13) NONFARM - E "/>
      <sheetName val="(13) NONFARM - A , B , C"/>
      <sheetName val="(13) NONFARM - D , E"/>
      <sheetName val="(14) OTHER INCOME"/>
      <sheetName val="(15) ANTHROPOM"/>
      <sheetName val="(15) ANTHROPOM-A"/>
      <sheetName val="(15) ANTHROPOM-B"/>
      <sheetName val="FLAP OF HH MEMBERS"/>
      <sheetName val="CONTROL SHEET"/>
      <sheetName val="ROSTER INFORMATION"/>
      <sheetName val="(11) NONFOOD - A "/>
      <sheetName val="(11) NONFOOD - B"/>
      <sheetName val="(11) NONFOOD - C"/>
      <sheetName val="(13) NONFARM- B&amp;c"/>
      <sheetName val="COVER"/>
      <sheetName val="HH_ROSTER_INFO"/>
      <sheetName val="(3) DWELLING - B"/>
      <sheetName val="(3) DWELLING - C"/>
      <sheetName val="(7) LABOUR - C"/>
      <sheetName val="LABOUR - D"/>
      <sheetName val="(8) TRANSFERS - A , B "/>
      <sheetName val="(8) TRANSFERS - C"/>
      <sheetName val="SECTION 2 &amp; PANEL INFORMATION"/>
      <sheetName val="(12) AGRICULTURE - B"/>
      <sheetName val="(12) AGRICULTURE - E &amp; F"/>
      <sheetName val="(13) NONFARM- B &amp; C"/>
      <sheetName val="(15) ANTHROPOMETRIC - A"/>
      <sheetName val="(15) ANTHROPOMETRIC - B"/>
      <sheetName val="COUNTRY, DISTRICT CODES"/>
      <sheetName val="CROP CODES"/>
      <sheetName val="(13) UPPER NONFARM - A "/>
      <sheetName val="(13) UPPER NONFARM- B &amp; C"/>
      <sheetName val="(13) UPPER NONFARM - D"/>
      <sheetName val="(13) UPPER NONFARM - E "/>
      <sheetName val="Instructions"/>
      <sheetName val="1. HH ROSTER"/>
      <sheetName val="2. PLOT ROSTER"/>
      <sheetName val="3. PLOT ROSTER"/>
      <sheetName val="3. PLOT FLAP"/>
      <sheetName val="4. CROPS BY PLOT"/>
      <sheetName val="4. CROPS FLAP"/>
      <sheetName val="5. CROPS - HOUSEHOLD TOTALS"/>
      <sheetName val="CROPS - HOUSEHOLD FLAP"/>
      <sheetName val="6. PERMANENT CROPS BY PLOT"/>
      <sheetName val="7. PERMANENT CROPS - TOTAL"/>
      <sheetName val="8. OUTGROWERS"/>
      <sheetName val="9. BY-PRODUCTS"/>
      <sheetName val="10A. LIVESTOCK"/>
      <sheetName val="10B. LIVESTOCK BY-PRODUCTS"/>
      <sheetName val="11. FARM IMPLEMENTS"/>
      <sheetName val="12. FISHERY"/>
      <sheetName val="13. EXTENSION"/>
      <sheetName val="NETWORK ROSTER"/>
    </sheetNames>
    <sheetDataSet>
      <sheetData sheetId="0" refreshError="1"/>
      <sheetData sheetId="1" refreshError="1"/>
      <sheetData sheetId="2" refreshError="1">
        <row r="1">
          <cell r="B1" t="str">
            <v>MODULE 1: PERBERJA FAMILJARE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ROL SHEET"/>
      <sheetName val="HH_ROSTER_INFO"/>
      <sheetName val="TABLE OF CONTENTS"/>
      <sheetName val="(1) HOUSEHOLD ROSTER"/>
      <sheetName val="(2) MIGRATION"/>
      <sheetName val="(3) DWELLING - A"/>
      <sheetName val="(3) DWELLING - B"/>
      <sheetName val="(3) DWELLING - C"/>
      <sheetName val="(4) EDUCATION - A "/>
      <sheetName val="(4) EDUCATION - B "/>
      <sheetName val="(5) HEALTH - A"/>
      <sheetName val="(5) HEALTH - B"/>
      <sheetName val="(6) FERTILITY - A "/>
      <sheetName val="(6) FERTILITY -  B "/>
      <sheetName val="(7) LABOUR - A"/>
      <sheetName val="(7) LABOUR - B"/>
      <sheetName val="(7) LABOUR - C"/>
      <sheetName val="LABOUR - D"/>
      <sheetName val="(8) TRANSFERS - A , B "/>
      <sheetName val="(8) TRANSFERS - C"/>
      <sheetName val="(9) SUBJECTIVE POVERTY"/>
      <sheetName val="SECTION 2 &amp; PANEL INFORMATION"/>
      <sheetName val="(11) NONFOOD - A "/>
      <sheetName val="(11) NONFOOD - B"/>
      <sheetName val="(11) NONFOOD - C"/>
      <sheetName val="(12) AGRICULTURE - A1 to A3"/>
      <sheetName val="(12) AGRICULTURE - B"/>
      <sheetName val="(12) AGRICULTURE - C"/>
      <sheetName val="(12) AGRICULTURE - D"/>
      <sheetName val="(12) AGRICULTURE - E &amp; F"/>
      <sheetName val="(13) NONFARM - A "/>
      <sheetName val="(13) NONFARM- B &amp; C"/>
      <sheetName val="(13) NONFARM - D"/>
      <sheetName val="(13) NONFARM - E "/>
      <sheetName val="(14) OTHER INCOME"/>
      <sheetName val="(15) ANTHROPOMETRIC - A"/>
      <sheetName val="(15) ANTHROPOMETRIC - B"/>
      <sheetName val="FLAP OF HH MEMBERS"/>
      <sheetName val="COUNTRY, DISTRICT CODES"/>
      <sheetName val="CROP CODES"/>
      <sheetName val="(13) UPPER NONFARM - A "/>
      <sheetName val="(13) UPPER NONFARM- B &amp; C"/>
      <sheetName val="(13) UPPER NONFARM - D"/>
      <sheetName val="(13) UPPER NONFARM - E "/>
    </sheetNames>
    <sheetDataSet>
      <sheetData sheetId="0" refreshError="1"/>
      <sheetData sheetId="1" refreshError="1"/>
      <sheetData sheetId="2" refreshError="1"/>
      <sheetData sheetId="3" refreshError="1"/>
      <sheetData sheetId="4">
        <row r="1">
          <cell r="B1" t="str">
            <v>MODULE 1: PERBERJA FAMILJARE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ROL SHEET"/>
      <sheetName val="HH_ROSTER_INFO"/>
      <sheetName val="TABLE OF CONTENTS"/>
      <sheetName val="(1) HOUSEHOLD ROSTER"/>
      <sheetName val="(2) MIGRATION"/>
      <sheetName val="(3) DWELLING - A"/>
      <sheetName val="(3) DWELLING - B"/>
      <sheetName val="(3) DWELLING - C"/>
      <sheetName val="(4) EDUCATION - A "/>
      <sheetName val="(4) EDUCATION - B "/>
      <sheetName val="(5) HEALTH - A"/>
      <sheetName val="(5) HEALTH - B"/>
      <sheetName val="(6) FERTILITY - A "/>
      <sheetName val="(6) FERTILITY -  B "/>
      <sheetName val="(7) LABOUR - A"/>
      <sheetName val="(7) LABOUR - B"/>
      <sheetName val="(7) LABOUR - C"/>
      <sheetName val="LABOUR - D"/>
      <sheetName val="(8) TRANSFERS - A , B "/>
      <sheetName val="(8) TRANSFERS - C"/>
      <sheetName val="(9) SUBJECTIVE POVERTY"/>
      <sheetName val="SECTION 2 &amp; PANEL INFORMATION"/>
      <sheetName val="(11) NONFOOD - A "/>
      <sheetName val="(11) NONFOOD - B"/>
      <sheetName val="(11) NONFOOD - C"/>
      <sheetName val="(12) AGRICULTURE - A1 to A3"/>
      <sheetName val="(12) AGRICULTURE - B"/>
      <sheetName val="(12) AGRICULTURE - C"/>
      <sheetName val="(12) AGRICULTURE - D"/>
      <sheetName val="(12) AGRICULTURE - E &amp; F"/>
      <sheetName val="(13) NONFARM - A "/>
      <sheetName val="(13) NONFARM- B &amp; C"/>
      <sheetName val="(13) NONFARM - D"/>
      <sheetName val="(13) NONFARM - E "/>
      <sheetName val="(14) OTHER INCOME"/>
      <sheetName val="(15) ANTHROPOMETRIC - A"/>
      <sheetName val="(15) ANTHROPOMETRIC - B"/>
      <sheetName val="FLAP OF HH MEMBERS"/>
      <sheetName val="COUNTRY, DISTRICT CODES"/>
      <sheetName val="CROP CODES"/>
      <sheetName val="(13) UPPER NONFARM - A "/>
      <sheetName val="(13) UPPER NONFARM- B &amp; C"/>
      <sheetName val="(13) UPPER NONFARM - D"/>
      <sheetName val="(13) UPPER NONFARM - E "/>
    </sheetNames>
    <sheetDataSet>
      <sheetData sheetId="0" refreshError="1"/>
      <sheetData sheetId="1" refreshError="1"/>
      <sheetData sheetId="2" refreshError="1"/>
      <sheetData sheetId="3" refreshError="1"/>
      <sheetData sheetId="4">
        <row r="1">
          <cell r="B1" t="str">
            <v>MODULE 1: PERBERJA FAMILJARE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comments" Target="../comments1.xml"/><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drawing" Target="../drawings/drawing1.xml"/><Relationship Id="rId5" Type="http://schemas.openxmlformats.org/officeDocument/2006/relationships/printerSettings" Target="../printerSettings/printerSettings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8.bin"/><Relationship Id="rId13" Type="http://schemas.openxmlformats.org/officeDocument/2006/relationships/comments" Target="../comments2.xml"/><Relationship Id="rId3" Type="http://schemas.openxmlformats.org/officeDocument/2006/relationships/printerSettings" Target="../printerSettings/printerSettings13.bin"/><Relationship Id="rId7" Type="http://schemas.openxmlformats.org/officeDocument/2006/relationships/printerSettings" Target="../printerSettings/printerSettings17.bin"/><Relationship Id="rId12" Type="http://schemas.openxmlformats.org/officeDocument/2006/relationships/vmlDrawing" Target="../drawings/vmlDrawing2.vml"/><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 Id="rId6" Type="http://schemas.openxmlformats.org/officeDocument/2006/relationships/printerSettings" Target="../printerSettings/printerSettings16.bin"/><Relationship Id="rId11" Type="http://schemas.openxmlformats.org/officeDocument/2006/relationships/drawing" Target="../drawings/drawing2.xml"/><Relationship Id="rId5" Type="http://schemas.openxmlformats.org/officeDocument/2006/relationships/printerSettings" Target="../printerSettings/printerSettings15.bin"/><Relationship Id="rId10" Type="http://schemas.openxmlformats.org/officeDocument/2006/relationships/printerSettings" Target="../printerSettings/printerSettings20.bin"/><Relationship Id="rId4" Type="http://schemas.openxmlformats.org/officeDocument/2006/relationships/printerSettings" Target="../printerSettings/printerSettings14.bin"/><Relationship Id="rId9" Type="http://schemas.openxmlformats.org/officeDocument/2006/relationships/printerSettings" Target="../printerSettings/printerSettings19.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8.bin"/><Relationship Id="rId13" Type="http://schemas.openxmlformats.org/officeDocument/2006/relationships/comments" Target="../comments3.xml"/><Relationship Id="rId3" Type="http://schemas.openxmlformats.org/officeDocument/2006/relationships/printerSettings" Target="../printerSettings/printerSettings23.bin"/><Relationship Id="rId7" Type="http://schemas.openxmlformats.org/officeDocument/2006/relationships/printerSettings" Target="../printerSettings/printerSettings27.bin"/><Relationship Id="rId12" Type="http://schemas.openxmlformats.org/officeDocument/2006/relationships/vmlDrawing" Target="../drawings/vmlDrawing3.vml"/><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printerSettings" Target="../printerSettings/printerSettings26.bin"/><Relationship Id="rId11" Type="http://schemas.openxmlformats.org/officeDocument/2006/relationships/drawing" Target="../drawings/drawing3.xml"/><Relationship Id="rId5" Type="http://schemas.openxmlformats.org/officeDocument/2006/relationships/printerSettings" Target="../printerSettings/printerSettings25.bin"/><Relationship Id="rId10" Type="http://schemas.openxmlformats.org/officeDocument/2006/relationships/printerSettings" Target="../printerSettings/printerSettings30.bin"/><Relationship Id="rId4" Type="http://schemas.openxmlformats.org/officeDocument/2006/relationships/printerSettings" Target="../printerSettings/printerSettings24.bin"/><Relationship Id="rId9" Type="http://schemas.openxmlformats.org/officeDocument/2006/relationships/printerSettings" Target="../printerSettings/printerSettings29.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38.bin"/><Relationship Id="rId13" Type="http://schemas.openxmlformats.org/officeDocument/2006/relationships/comments" Target="../comments4.xml"/><Relationship Id="rId3" Type="http://schemas.openxmlformats.org/officeDocument/2006/relationships/printerSettings" Target="../printerSettings/printerSettings33.bin"/><Relationship Id="rId7" Type="http://schemas.openxmlformats.org/officeDocument/2006/relationships/printerSettings" Target="../printerSettings/printerSettings37.bin"/><Relationship Id="rId12" Type="http://schemas.openxmlformats.org/officeDocument/2006/relationships/vmlDrawing" Target="../drawings/vmlDrawing4.vml"/><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6" Type="http://schemas.openxmlformats.org/officeDocument/2006/relationships/printerSettings" Target="../printerSettings/printerSettings36.bin"/><Relationship Id="rId11" Type="http://schemas.openxmlformats.org/officeDocument/2006/relationships/drawing" Target="../drawings/drawing4.xml"/><Relationship Id="rId5" Type="http://schemas.openxmlformats.org/officeDocument/2006/relationships/printerSettings" Target="../printerSettings/printerSettings35.bin"/><Relationship Id="rId10" Type="http://schemas.openxmlformats.org/officeDocument/2006/relationships/printerSettings" Target="../printerSettings/printerSettings40.bin"/><Relationship Id="rId4" Type="http://schemas.openxmlformats.org/officeDocument/2006/relationships/printerSettings" Target="../printerSettings/printerSettings34.bin"/><Relationship Id="rId9" Type="http://schemas.openxmlformats.org/officeDocument/2006/relationships/printerSettings" Target="../printerSettings/printerSettings39.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48.bin"/><Relationship Id="rId13" Type="http://schemas.openxmlformats.org/officeDocument/2006/relationships/comments" Target="../comments5.xml"/><Relationship Id="rId3" Type="http://schemas.openxmlformats.org/officeDocument/2006/relationships/printerSettings" Target="../printerSettings/printerSettings43.bin"/><Relationship Id="rId7" Type="http://schemas.openxmlformats.org/officeDocument/2006/relationships/printerSettings" Target="../printerSettings/printerSettings47.bin"/><Relationship Id="rId12" Type="http://schemas.openxmlformats.org/officeDocument/2006/relationships/vmlDrawing" Target="../drawings/vmlDrawing5.vml"/><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 Id="rId6" Type="http://schemas.openxmlformats.org/officeDocument/2006/relationships/printerSettings" Target="../printerSettings/printerSettings46.bin"/><Relationship Id="rId11" Type="http://schemas.openxmlformats.org/officeDocument/2006/relationships/drawing" Target="../drawings/drawing5.xml"/><Relationship Id="rId5" Type="http://schemas.openxmlformats.org/officeDocument/2006/relationships/printerSettings" Target="../printerSettings/printerSettings45.bin"/><Relationship Id="rId10" Type="http://schemas.openxmlformats.org/officeDocument/2006/relationships/printerSettings" Target="../printerSettings/printerSettings50.bin"/><Relationship Id="rId4" Type="http://schemas.openxmlformats.org/officeDocument/2006/relationships/printerSettings" Target="../printerSettings/printerSettings44.bin"/><Relationship Id="rId9" Type="http://schemas.openxmlformats.org/officeDocument/2006/relationships/printerSettings" Target="../printerSettings/printerSettings49.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58.bin"/><Relationship Id="rId13" Type="http://schemas.openxmlformats.org/officeDocument/2006/relationships/comments" Target="../comments6.xml"/><Relationship Id="rId3" Type="http://schemas.openxmlformats.org/officeDocument/2006/relationships/printerSettings" Target="../printerSettings/printerSettings53.bin"/><Relationship Id="rId7" Type="http://schemas.openxmlformats.org/officeDocument/2006/relationships/printerSettings" Target="../printerSettings/printerSettings57.bin"/><Relationship Id="rId12" Type="http://schemas.openxmlformats.org/officeDocument/2006/relationships/vmlDrawing" Target="../drawings/vmlDrawing6.vml"/><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 Id="rId6" Type="http://schemas.openxmlformats.org/officeDocument/2006/relationships/printerSettings" Target="../printerSettings/printerSettings56.bin"/><Relationship Id="rId11" Type="http://schemas.openxmlformats.org/officeDocument/2006/relationships/drawing" Target="../drawings/drawing6.xml"/><Relationship Id="rId5" Type="http://schemas.openxmlformats.org/officeDocument/2006/relationships/printerSettings" Target="../printerSettings/printerSettings55.bin"/><Relationship Id="rId10" Type="http://schemas.openxmlformats.org/officeDocument/2006/relationships/printerSettings" Target="../printerSettings/printerSettings60.bin"/><Relationship Id="rId4" Type="http://schemas.openxmlformats.org/officeDocument/2006/relationships/printerSettings" Target="../printerSettings/printerSettings54.bin"/><Relationship Id="rId9" Type="http://schemas.openxmlformats.org/officeDocument/2006/relationships/printerSettings" Target="../printerSettings/printerSettings59.bin"/></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68.bin"/><Relationship Id="rId13" Type="http://schemas.openxmlformats.org/officeDocument/2006/relationships/comments" Target="../comments7.xml"/><Relationship Id="rId3" Type="http://schemas.openxmlformats.org/officeDocument/2006/relationships/printerSettings" Target="../printerSettings/printerSettings63.bin"/><Relationship Id="rId7" Type="http://schemas.openxmlformats.org/officeDocument/2006/relationships/printerSettings" Target="../printerSettings/printerSettings67.bin"/><Relationship Id="rId12" Type="http://schemas.openxmlformats.org/officeDocument/2006/relationships/vmlDrawing" Target="../drawings/vmlDrawing7.vml"/><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6" Type="http://schemas.openxmlformats.org/officeDocument/2006/relationships/printerSettings" Target="../printerSettings/printerSettings66.bin"/><Relationship Id="rId11" Type="http://schemas.openxmlformats.org/officeDocument/2006/relationships/drawing" Target="../drawings/drawing7.xml"/><Relationship Id="rId5" Type="http://schemas.openxmlformats.org/officeDocument/2006/relationships/printerSettings" Target="../printerSettings/printerSettings65.bin"/><Relationship Id="rId10" Type="http://schemas.openxmlformats.org/officeDocument/2006/relationships/printerSettings" Target="../printerSettings/printerSettings70.bin"/><Relationship Id="rId4" Type="http://schemas.openxmlformats.org/officeDocument/2006/relationships/printerSettings" Target="../printerSettings/printerSettings64.bin"/><Relationship Id="rId9" Type="http://schemas.openxmlformats.org/officeDocument/2006/relationships/printerSettings" Target="../printerSettings/printerSettings69.bin"/></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78.bin"/><Relationship Id="rId3" Type="http://schemas.openxmlformats.org/officeDocument/2006/relationships/printerSettings" Target="../printerSettings/printerSettings73.bin"/><Relationship Id="rId7" Type="http://schemas.openxmlformats.org/officeDocument/2006/relationships/printerSettings" Target="../printerSettings/printerSettings77.bin"/><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 Id="rId6" Type="http://schemas.openxmlformats.org/officeDocument/2006/relationships/printerSettings" Target="../printerSettings/printerSettings76.bin"/><Relationship Id="rId11" Type="http://schemas.openxmlformats.org/officeDocument/2006/relationships/comments" Target="../comments8.xml"/><Relationship Id="rId5" Type="http://schemas.openxmlformats.org/officeDocument/2006/relationships/printerSettings" Target="../printerSettings/printerSettings75.bin"/><Relationship Id="rId10" Type="http://schemas.openxmlformats.org/officeDocument/2006/relationships/vmlDrawing" Target="../drawings/vmlDrawing8.vml"/><Relationship Id="rId4" Type="http://schemas.openxmlformats.org/officeDocument/2006/relationships/printerSettings" Target="../printerSettings/printerSettings74.bin"/><Relationship Id="rId9"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86.bin"/><Relationship Id="rId13" Type="http://schemas.openxmlformats.org/officeDocument/2006/relationships/comments" Target="../comments9.xml"/><Relationship Id="rId3" Type="http://schemas.openxmlformats.org/officeDocument/2006/relationships/printerSettings" Target="../printerSettings/printerSettings81.bin"/><Relationship Id="rId7" Type="http://schemas.openxmlformats.org/officeDocument/2006/relationships/printerSettings" Target="../printerSettings/printerSettings85.bin"/><Relationship Id="rId12" Type="http://schemas.openxmlformats.org/officeDocument/2006/relationships/vmlDrawing" Target="../drawings/vmlDrawing9.vml"/><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 Id="rId6" Type="http://schemas.openxmlformats.org/officeDocument/2006/relationships/printerSettings" Target="../printerSettings/printerSettings84.bin"/><Relationship Id="rId11" Type="http://schemas.openxmlformats.org/officeDocument/2006/relationships/drawing" Target="../drawings/drawing9.xml"/><Relationship Id="rId5" Type="http://schemas.openxmlformats.org/officeDocument/2006/relationships/printerSettings" Target="../printerSettings/printerSettings83.bin"/><Relationship Id="rId10" Type="http://schemas.openxmlformats.org/officeDocument/2006/relationships/printerSettings" Target="../printerSettings/printerSettings88.bin"/><Relationship Id="rId4" Type="http://schemas.openxmlformats.org/officeDocument/2006/relationships/printerSettings" Target="../printerSettings/printerSettings82.bin"/><Relationship Id="rId9" Type="http://schemas.openxmlformats.org/officeDocument/2006/relationships/printerSettings" Target="../printerSettings/printerSettings87.bin"/></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96.bin"/><Relationship Id="rId13" Type="http://schemas.openxmlformats.org/officeDocument/2006/relationships/comments" Target="../comments10.xml"/><Relationship Id="rId3" Type="http://schemas.openxmlformats.org/officeDocument/2006/relationships/printerSettings" Target="../printerSettings/printerSettings91.bin"/><Relationship Id="rId7" Type="http://schemas.openxmlformats.org/officeDocument/2006/relationships/printerSettings" Target="../printerSettings/printerSettings95.bin"/><Relationship Id="rId12" Type="http://schemas.openxmlformats.org/officeDocument/2006/relationships/vmlDrawing" Target="../drawings/vmlDrawing10.vml"/><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 Id="rId6" Type="http://schemas.openxmlformats.org/officeDocument/2006/relationships/printerSettings" Target="../printerSettings/printerSettings94.bin"/><Relationship Id="rId11" Type="http://schemas.openxmlformats.org/officeDocument/2006/relationships/drawing" Target="../drawings/drawing10.xml"/><Relationship Id="rId5" Type="http://schemas.openxmlformats.org/officeDocument/2006/relationships/printerSettings" Target="../printerSettings/printerSettings93.bin"/><Relationship Id="rId10" Type="http://schemas.openxmlformats.org/officeDocument/2006/relationships/printerSettings" Target="../printerSettings/printerSettings98.bin"/><Relationship Id="rId4" Type="http://schemas.openxmlformats.org/officeDocument/2006/relationships/printerSettings" Target="../printerSettings/printerSettings92.bin"/><Relationship Id="rId9" Type="http://schemas.openxmlformats.org/officeDocument/2006/relationships/printerSettings" Target="../printerSettings/printerSettings97.bin"/></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106.bin"/><Relationship Id="rId13" Type="http://schemas.openxmlformats.org/officeDocument/2006/relationships/comments" Target="../comments11.xml"/><Relationship Id="rId3" Type="http://schemas.openxmlformats.org/officeDocument/2006/relationships/printerSettings" Target="../printerSettings/printerSettings101.bin"/><Relationship Id="rId7" Type="http://schemas.openxmlformats.org/officeDocument/2006/relationships/printerSettings" Target="../printerSettings/printerSettings105.bin"/><Relationship Id="rId12" Type="http://schemas.openxmlformats.org/officeDocument/2006/relationships/vmlDrawing" Target="../drawings/vmlDrawing11.vml"/><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 Id="rId6" Type="http://schemas.openxmlformats.org/officeDocument/2006/relationships/printerSettings" Target="../printerSettings/printerSettings104.bin"/><Relationship Id="rId11" Type="http://schemas.openxmlformats.org/officeDocument/2006/relationships/drawing" Target="../drawings/drawing11.xml"/><Relationship Id="rId5" Type="http://schemas.openxmlformats.org/officeDocument/2006/relationships/printerSettings" Target="../printerSettings/printerSettings103.bin"/><Relationship Id="rId10" Type="http://schemas.openxmlformats.org/officeDocument/2006/relationships/printerSettings" Target="../printerSettings/printerSettings108.bin"/><Relationship Id="rId4" Type="http://schemas.openxmlformats.org/officeDocument/2006/relationships/printerSettings" Target="../printerSettings/printerSettings102.bin"/><Relationship Id="rId9" Type="http://schemas.openxmlformats.org/officeDocument/2006/relationships/printerSettings" Target="../printerSettings/printerSettings107.bin"/></Relationships>
</file>

<file path=xl/worksheets/_rels/sheet12.xml.rels><?xml version="1.0" encoding="UTF-8" standalone="yes"?>
<Relationships xmlns="http://schemas.openxmlformats.org/package/2006/relationships"><Relationship Id="rId8" Type="http://schemas.openxmlformats.org/officeDocument/2006/relationships/printerSettings" Target="../printerSettings/printerSettings116.bin"/><Relationship Id="rId13" Type="http://schemas.openxmlformats.org/officeDocument/2006/relationships/comments" Target="../comments12.xml"/><Relationship Id="rId3" Type="http://schemas.openxmlformats.org/officeDocument/2006/relationships/printerSettings" Target="../printerSettings/printerSettings111.bin"/><Relationship Id="rId7" Type="http://schemas.openxmlformats.org/officeDocument/2006/relationships/printerSettings" Target="../printerSettings/printerSettings115.bin"/><Relationship Id="rId12" Type="http://schemas.openxmlformats.org/officeDocument/2006/relationships/vmlDrawing" Target="../drawings/vmlDrawing12.vml"/><Relationship Id="rId2" Type="http://schemas.openxmlformats.org/officeDocument/2006/relationships/printerSettings" Target="../printerSettings/printerSettings110.bin"/><Relationship Id="rId1" Type="http://schemas.openxmlformats.org/officeDocument/2006/relationships/printerSettings" Target="../printerSettings/printerSettings109.bin"/><Relationship Id="rId6" Type="http://schemas.openxmlformats.org/officeDocument/2006/relationships/printerSettings" Target="../printerSettings/printerSettings114.bin"/><Relationship Id="rId11" Type="http://schemas.openxmlformats.org/officeDocument/2006/relationships/drawing" Target="../drawings/drawing12.xml"/><Relationship Id="rId5" Type="http://schemas.openxmlformats.org/officeDocument/2006/relationships/printerSettings" Target="../printerSettings/printerSettings113.bin"/><Relationship Id="rId10" Type="http://schemas.openxmlformats.org/officeDocument/2006/relationships/printerSettings" Target="../printerSettings/printerSettings118.bin"/><Relationship Id="rId4" Type="http://schemas.openxmlformats.org/officeDocument/2006/relationships/printerSettings" Target="../printerSettings/printerSettings112.bin"/><Relationship Id="rId9" Type="http://schemas.openxmlformats.org/officeDocument/2006/relationships/printerSettings" Target="../printerSettings/printerSettings117.bin"/></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126.bin"/><Relationship Id="rId13" Type="http://schemas.openxmlformats.org/officeDocument/2006/relationships/comments" Target="../comments13.xml"/><Relationship Id="rId3" Type="http://schemas.openxmlformats.org/officeDocument/2006/relationships/printerSettings" Target="../printerSettings/printerSettings121.bin"/><Relationship Id="rId7" Type="http://schemas.openxmlformats.org/officeDocument/2006/relationships/printerSettings" Target="../printerSettings/printerSettings125.bin"/><Relationship Id="rId12" Type="http://schemas.openxmlformats.org/officeDocument/2006/relationships/vmlDrawing" Target="../drawings/vmlDrawing13.vml"/><Relationship Id="rId2" Type="http://schemas.openxmlformats.org/officeDocument/2006/relationships/printerSettings" Target="../printerSettings/printerSettings120.bin"/><Relationship Id="rId1" Type="http://schemas.openxmlformats.org/officeDocument/2006/relationships/printerSettings" Target="../printerSettings/printerSettings119.bin"/><Relationship Id="rId6" Type="http://schemas.openxmlformats.org/officeDocument/2006/relationships/printerSettings" Target="../printerSettings/printerSettings124.bin"/><Relationship Id="rId11" Type="http://schemas.openxmlformats.org/officeDocument/2006/relationships/drawing" Target="../drawings/drawing13.xml"/><Relationship Id="rId5" Type="http://schemas.openxmlformats.org/officeDocument/2006/relationships/printerSettings" Target="../printerSettings/printerSettings123.bin"/><Relationship Id="rId10" Type="http://schemas.openxmlformats.org/officeDocument/2006/relationships/printerSettings" Target="../printerSettings/printerSettings128.bin"/><Relationship Id="rId4" Type="http://schemas.openxmlformats.org/officeDocument/2006/relationships/printerSettings" Target="../printerSettings/printerSettings122.bin"/><Relationship Id="rId9" Type="http://schemas.openxmlformats.org/officeDocument/2006/relationships/printerSettings" Target="../printerSettings/printerSettings127.bin"/></Relationships>
</file>

<file path=xl/worksheets/_rels/sheet14.xml.rels><?xml version="1.0" encoding="UTF-8" standalone="yes"?>
<Relationships xmlns="http://schemas.openxmlformats.org/package/2006/relationships"><Relationship Id="rId8" Type="http://schemas.openxmlformats.org/officeDocument/2006/relationships/printerSettings" Target="../printerSettings/printerSettings136.bin"/><Relationship Id="rId13" Type="http://schemas.openxmlformats.org/officeDocument/2006/relationships/comments" Target="../comments14.xml"/><Relationship Id="rId3" Type="http://schemas.openxmlformats.org/officeDocument/2006/relationships/printerSettings" Target="../printerSettings/printerSettings131.bin"/><Relationship Id="rId7" Type="http://schemas.openxmlformats.org/officeDocument/2006/relationships/printerSettings" Target="../printerSettings/printerSettings135.bin"/><Relationship Id="rId12" Type="http://schemas.openxmlformats.org/officeDocument/2006/relationships/vmlDrawing" Target="../drawings/vmlDrawing14.vml"/><Relationship Id="rId2" Type="http://schemas.openxmlformats.org/officeDocument/2006/relationships/printerSettings" Target="../printerSettings/printerSettings130.bin"/><Relationship Id="rId1" Type="http://schemas.openxmlformats.org/officeDocument/2006/relationships/printerSettings" Target="../printerSettings/printerSettings129.bin"/><Relationship Id="rId6" Type="http://schemas.openxmlformats.org/officeDocument/2006/relationships/printerSettings" Target="../printerSettings/printerSettings134.bin"/><Relationship Id="rId11" Type="http://schemas.openxmlformats.org/officeDocument/2006/relationships/drawing" Target="../drawings/drawing14.xml"/><Relationship Id="rId5" Type="http://schemas.openxmlformats.org/officeDocument/2006/relationships/printerSettings" Target="../printerSettings/printerSettings133.bin"/><Relationship Id="rId10" Type="http://schemas.openxmlformats.org/officeDocument/2006/relationships/printerSettings" Target="../printerSettings/printerSettings138.bin"/><Relationship Id="rId4" Type="http://schemas.openxmlformats.org/officeDocument/2006/relationships/printerSettings" Target="../printerSettings/printerSettings132.bin"/><Relationship Id="rId9" Type="http://schemas.openxmlformats.org/officeDocument/2006/relationships/printerSettings" Target="../printerSettings/printerSettings137.bin"/></Relationships>
</file>

<file path=xl/worksheets/_rels/sheet15.xml.rels><?xml version="1.0" encoding="UTF-8" standalone="yes"?>
<Relationships xmlns="http://schemas.openxmlformats.org/package/2006/relationships"><Relationship Id="rId8" Type="http://schemas.openxmlformats.org/officeDocument/2006/relationships/printerSettings" Target="../printerSettings/printerSettings146.bin"/><Relationship Id="rId13" Type="http://schemas.openxmlformats.org/officeDocument/2006/relationships/comments" Target="../comments15.xml"/><Relationship Id="rId3" Type="http://schemas.openxmlformats.org/officeDocument/2006/relationships/printerSettings" Target="../printerSettings/printerSettings141.bin"/><Relationship Id="rId7" Type="http://schemas.openxmlformats.org/officeDocument/2006/relationships/printerSettings" Target="../printerSettings/printerSettings145.bin"/><Relationship Id="rId12" Type="http://schemas.openxmlformats.org/officeDocument/2006/relationships/vmlDrawing" Target="../drawings/vmlDrawing15.vml"/><Relationship Id="rId2" Type="http://schemas.openxmlformats.org/officeDocument/2006/relationships/printerSettings" Target="../printerSettings/printerSettings140.bin"/><Relationship Id="rId1" Type="http://schemas.openxmlformats.org/officeDocument/2006/relationships/printerSettings" Target="../printerSettings/printerSettings139.bin"/><Relationship Id="rId6" Type="http://schemas.openxmlformats.org/officeDocument/2006/relationships/printerSettings" Target="../printerSettings/printerSettings144.bin"/><Relationship Id="rId11" Type="http://schemas.openxmlformats.org/officeDocument/2006/relationships/drawing" Target="../drawings/drawing15.xml"/><Relationship Id="rId5" Type="http://schemas.openxmlformats.org/officeDocument/2006/relationships/printerSettings" Target="../printerSettings/printerSettings143.bin"/><Relationship Id="rId10" Type="http://schemas.openxmlformats.org/officeDocument/2006/relationships/printerSettings" Target="../printerSettings/printerSettings148.bin"/><Relationship Id="rId4" Type="http://schemas.openxmlformats.org/officeDocument/2006/relationships/printerSettings" Target="../printerSettings/printerSettings142.bin"/><Relationship Id="rId9" Type="http://schemas.openxmlformats.org/officeDocument/2006/relationships/printerSettings" Target="../printerSettings/printerSettings147.bin"/></Relationships>
</file>

<file path=xl/worksheets/_rels/sheet16.xml.rels><?xml version="1.0" encoding="UTF-8" standalone="yes"?>
<Relationships xmlns="http://schemas.openxmlformats.org/package/2006/relationships"><Relationship Id="rId8" Type="http://schemas.openxmlformats.org/officeDocument/2006/relationships/printerSettings" Target="../printerSettings/printerSettings156.bin"/><Relationship Id="rId13" Type="http://schemas.openxmlformats.org/officeDocument/2006/relationships/comments" Target="../comments16.xml"/><Relationship Id="rId3" Type="http://schemas.openxmlformats.org/officeDocument/2006/relationships/printerSettings" Target="../printerSettings/printerSettings151.bin"/><Relationship Id="rId7" Type="http://schemas.openxmlformats.org/officeDocument/2006/relationships/printerSettings" Target="../printerSettings/printerSettings155.bin"/><Relationship Id="rId12" Type="http://schemas.openxmlformats.org/officeDocument/2006/relationships/vmlDrawing" Target="../drawings/vmlDrawing16.vml"/><Relationship Id="rId2" Type="http://schemas.openxmlformats.org/officeDocument/2006/relationships/printerSettings" Target="../printerSettings/printerSettings150.bin"/><Relationship Id="rId1" Type="http://schemas.openxmlformats.org/officeDocument/2006/relationships/printerSettings" Target="../printerSettings/printerSettings149.bin"/><Relationship Id="rId6" Type="http://schemas.openxmlformats.org/officeDocument/2006/relationships/printerSettings" Target="../printerSettings/printerSettings154.bin"/><Relationship Id="rId11" Type="http://schemas.openxmlformats.org/officeDocument/2006/relationships/drawing" Target="../drawings/drawing16.xml"/><Relationship Id="rId5" Type="http://schemas.openxmlformats.org/officeDocument/2006/relationships/printerSettings" Target="../printerSettings/printerSettings153.bin"/><Relationship Id="rId10" Type="http://schemas.openxmlformats.org/officeDocument/2006/relationships/printerSettings" Target="../printerSettings/printerSettings158.bin"/><Relationship Id="rId4" Type="http://schemas.openxmlformats.org/officeDocument/2006/relationships/printerSettings" Target="../printerSettings/printerSettings152.bin"/><Relationship Id="rId9" Type="http://schemas.openxmlformats.org/officeDocument/2006/relationships/printerSettings" Target="../printerSettings/printerSettings157.bin"/></Relationships>
</file>

<file path=xl/worksheets/_rels/sheet17.xml.rels><?xml version="1.0" encoding="UTF-8" standalone="yes"?>
<Relationships xmlns="http://schemas.openxmlformats.org/package/2006/relationships"><Relationship Id="rId8" Type="http://schemas.openxmlformats.org/officeDocument/2006/relationships/printerSettings" Target="../printerSettings/printerSettings166.bin"/><Relationship Id="rId13" Type="http://schemas.openxmlformats.org/officeDocument/2006/relationships/comments" Target="../comments17.xml"/><Relationship Id="rId3" Type="http://schemas.openxmlformats.org/officeDocument/2006/relationships/printerSettings" Target="../printerSettings/printerSettings161.bin"/><Relationship Id="rId7" Type="http://schemas.openxmlformats.org/officeDocument/2006/relationships/printerSettings" Target="../printerSettings/printerSettings165.bin"/><Relationship Id="rId12" Type="http://schemas.openxmlformats.org/officeDocument/2006/relationships/vmlDrawing" Target="../drawings/vmlDrawing17.vml"/><Relationship Id="rId2" Type="http://schemas.openxmlformats.org/officeDocument/2006/relationships/printerSettings" Target="../printerSettings/printerSettings160.bin"/><Relationship Id="rId1" Type="http://schemas.openxmlformats.org/officeDocument/2006/relationships/printerSettings" Target="../printerSettings/printerSettings159.bin"/><Relationship Id="rId6" Type="http://schemas.openxmlformats.org/officeDocument/2006/relationships/printerSettings" Target="../printerSettings/printerSettings164.bin"/><Relationship Id="rId11" Type="http://schemas.openxmlformats.org/officeDocument/2006/relationships/drawing" Target="../drawings/drawing17.xml"/><Relationship Id="rId5" Type="http://schemas.openxmlformats.org/officeDocument/2006/relationships/printerSettings" Target="../printerSettings/printerSettings163.bin"/><Relationship Id="rId10" Type="http://schemas.openxmlformats.org/officeDocument/2006/relationships/printerSettings" Target="../printerSettings/printerSettings168.bin"/><Relationship Id="rId4" Type="http://schemas.openxmlformats.org/officeDocument/2006/relationships/printerSettings" Target="../printerSettings/printerSettings162.bin"/><Relationship Id="rId9" Type="http://schemas.openxmlformats.org/officeDocument/2006/relationships/printerSettings" Target="../printerSettings/printerSettings167.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6.bin"/><Relationship Id="rId13" Type="http://schemas.openxmlformats.org/officeDocument/2006/relationships/comments" Target="../comments18.xml"/><Relationship Id="rId3" Type="http://schemas.openxmlformats.org/officeDocument/2006/relationships/printerSettings" Target="../printerSettings/printerSettings171.bin"/><Relationship Id="rId7" Type="http://schemas.openxmlformats.org/officeDocument/2006/relationships/printerSettings" Target="../printerSettings/printerSettings175.bin"/><Relationship Id="rId12" Type="http://schemas.openxmlformats.org/officeDocument/2006/relationships/vmlDrawing" Target="../drawings/vmlDrawing18.vml"/><Relationship Id="rId2" Type="http://schemas.openxmlformats.org/officeDocument/2006/relationships/printerSettings" Target="../printerSettings/printerSettings170.bin"/><Relationship Id="rId1" Type="http://schemas.openxmlformats.org/officeDocument/2006/relationships/printerSettings" Target="../printerSettings/printerSettings169.bin"/><Relationship Id="rId6" Type="http://schemas.openxmlformats.org/officeDocument/2006/relationships/printerSettings" Target="../printerSettings/printerSettings174.bin"/><Relationship Id="rId11" Type="http://schemas.openxmlformats.org/officeDocument/2006/relationships/drawing" Target="../drawings/drawing18.xml"/><Relationship Id="rId5" Type="http://schemas.openxmlformats.org/officeDocument/2006/relationships/printerSettings" Target="../printerSettings/printerSettings173.bin"/><Relationship Id="rId10" Type="http://schemas.openxmlformats.org/officeDocument/2006/relationships/printerSettings" Target="../printerSettings/printerSettings178.bin"/><Relationship Id="rId4" Type="http://schemas.openxmlformats.org/officeDocument/2006/relationships/printerSettings" Target="../printerSettings/printerSettings172.bin"/><Relationship Id="rId9" Type="http://schemas.openxmlformats.org/officeDocument/2006/relationships/printerSettings" Target="../printerSettings/printerSettings177.bin"/></Relationships>
</file>

<file path=xl/worksheets/_rels/sheet19.xml.rels><?xml version="1.0" encoding="UTF-8" standalone="yes"?>
<Relationships xmlns="http://schemas.openxmlformats.org/package/2006/relationships"><Relationship Id="rId8" Type="http://schemas.openxmlformats.org/officeDocument/2006/relationships/printerSettings" Target="../printerSettings/printerSettings186.bin"/><Relationship Id="rId13" Type="http://schemas.openxmlformats.org/officeDocument/2006/relationships/comments" Target="../comments19.xml"/><Relationship Id="rId3" Type="http://schemas.openxmlformats.org/officeDocument/2006/relationships/printerSettings" Target="../printerSettings/printerSettings181.bin"/><Relationship Id="rId7" Type="http://schemas.openxmlformats.org/officeDocument/2006/relationships/printerSettings" Target="../printerSettings/printerSettings185.bin"/><Relationship Id="rId12" Type="http://schemas.openxmlformats.org/officeDocument/2006/relationships/vmlDrawing" Target="../drawings/vmlDrawing19.vml"/><Relationship Id="rId2" Type="http://schemas.openxmlformats.org/officeDocument/2006/relationships/printerSettings" Target="../printerSettings/printerSettings180.bin"/><Relationship Id="rId1" Type="http://schemas.openxmlformats.org/officeDocument/2006/relationships/printerSettings" Target="../printerSettings/printerSettings179.bin"/><Relationship Id="rId6" Type="http://schemas.openxmlformats.org/officeDocument/2006/relationships/printerSettings" Target="../printerSettings/printerSettings184.bin"/><Relationship Id="rId11" Type="http://schemas.openxmlformats.org/officeDocument/2006/relationships/drawing" Target="../drawings/drawing19.xml"/><Relationship Id="rId5" Type="http://schemas.openxmlformats.org/officeDocument/2006/relationships/printerSettings" Target="../printerSettings/printerSettings183.bin"/><Relationship Id="rId10" Type="http://schemas.openxmlformats.org/officeDocument/2006/relationships/printerSettings" Target="../printerSettings/printerSettings188.bin"/><Relationship Id="rId4" Type="http://schemas.openxmlformats.org/officeDocument/2006/relationships/printerSettings" Target="../printerSettings/printerSettings182.bin"/><Relationship Id="rId9" Type="http://schemas.openxmlformats.org/officeDocument/2006/relationships/printerSettings" Target="../printerSettings/printerSettings187.bin"/></Relationships>
</file>

<file path=xl/worksheets/_rels/sheet20.xml.rels><?xml version="1.0" encoding="UTF-8" standalone="yes"?>
<Relationships xmlns="http://schemas.openxmlformats.org/package/2006/relationships"><Relationship Id="rId8" Type="http://schemas.openxmlformats.org/officeDocument/2006/relationships/printerSettings" Target="../printerSettings/printerSettings196.bin"/><Relationship Id="rId13" Type="http://schemas.openxmlformats.org/officeDocument/2006/relationships/comments" Target="../comments20.xml"/><Relationship Id="rId3" Type="http://schemas.openxmlformats.org/officeDocument/2006/relationships/printerSettings" Target="../printerSettings/printerSettings191.bin"/><Relationship Id="rId7" Type="http://schemas.openxmlformats.org/officeDocument/2006/relationships/printerSettings" Target="../printerSettings/printerSettings195.bin"/><Relationship Id="rId12" Type="http://schemas.openxmlformats.org/officeDocument/2006/relationships/vmlDrawing" Target="../drawings/vmlDrawing20.vml"/><Relationship Id="rId2" Type="http://schemas.openxmlformats.org/officeDocument/2006/relationships/printerSettings" Target="../printerSettings/printerSettings190.bin"/><Relationship Id="rId1" Type="http://schemas.openxmlformats.org/officeDocument/2006/relationships/printerSettings" Target="../printerSettings/printerSettings189.bin"/><Relationship Id="rId6" Type="http://schemas.openxmlformats.org/officeDocument/2006/relationships/printerSettings" Target="../printerSettings/printerSettings194.bin"/><Relationship Id="rId11" Type="http://schemas.openxmlformats.org/officeDocument/2006/relationships/drawing" Target="../drawings/drawing20.xml"/><Relationship Id="rId5" Type="http://schemas.openxmlformats.org/officeDocument/2006/relationships/printerSettings" Target="../printerSettings/printerSettings193.bin"/><Relationship Id="rId10" Type="http://schemas.openxmlformats.org/officeDocument/2006/relationships/printerSettings" Target="../printerSettings/printerSettings198.bin"/><Relationship Id="rId4" Type="http://schemas.openxmlformats.org/officeDocument/2006/relationships/printerSettings" Target="../printerSettings/printerSettings192.bin"/><Relationship Id="rId9" Type="http://schemas.openxmlformats.org/officeDocument/2006/relationships/printerSettings" Target="../printerSettings/printerSettings197.bin"/></Relationships>
</file>

<file path=xl/worksheets/_rels/sheet21.xml.rels><?xml version="1.0" encoding="UTF-8" standalone="yes"?>
<Relationships xmlns="http://schemas.openxmlformats.org/package/2006/relationships"><Relationship Id="rId8" Type="http://schemas.openxmlformats.org/officeDocument/2006/relationships/printerSettings" Target="../printerSettings/printerSettings206.bin"/><Relationship Id="rId13" Type="http://schemas.openxmlformats.org/officeDocument/2006/relationships/comments" Target="../comments21.xml"/><Relationship Id="rId3" Type="http://schemas.openxmlformats.org/officeDocument/2006/relationships/printerSettings" Target="../printerSettings/printerSettings201.bin"/><Relationship Id="rId7" Type="http://schemas.openxmlformats.org/officeDocument/2006/relationships/printerSettings" Target="../printerSettings/printerSettings205.bin"/><Relationship Id="rId12" Type="http://schemas.openxmlformats.org/officeDocument/2006/relationships/vmlDrawing" Target="../drawings/vmlDrawing21.vml"/><Relationship Id="rId2" Type="http://schemas.openxmlformats.org/officeDocument/2006/relationships/printerSettings" Target="../printerSettings/printerSettings200.bin"/><Relationship Id="rId1" Type="http://schemas.openxmlformats.org/officeDocument/2006/relationships/printerSettings" Target="../printerSettings/printerSettings199.bin"/><Relationship Id="rId6" Type="http://schemas.openxmlformats.org/officeDocument/2006/relationships/printerSettings" Target="../printerSettings/printerSettings204.bin"/><Relationship Id="rId11" Type="http://schemas.openxmlformats.org/officeDocument/2006/relationships/drawing" Target="../drawings/drawing21.xml"/><Relationship Id="rId5" Type="http://schemas.openxmlformats.org/officeDocument/2006/relationships/printerSettings" Target="../printerSettings/printerSettings203.bin"/><Relationship Id="rId10" Type="http://schemas.openxmlformats.org/officeDocument/2006/relationships/printerSettings" Target="../printerSettings/printerSettings208.bin"/><Relationship Id="rId4" Type="http://schemas.openxmlformats.org/officeDocument/2006/relationships/printerSettings" Target="../printerSettings/printerSettings202.bin"/><Relationship Id="rId9" Type="http://schemas.openxmlformats.org/officeDocument/2006/relationships/printerSettings" Target="../printerSettings/printerSettings207.bin"/></Relationships>
</file>

<file path=xl/worksheets/_rels/sheet22.xml.rels><?xml version="1.0" encoding="UTF-8" standalone="yes"?>
<Relationships xmlns="http://schemas.openxmlformats.org/package/2006/relationships"><Relationship Id="rId8" Type="http://schemas.openxmlformats.org/officeDocument/2006/relationships/printerSettings" Target="../printerSettings/printerSettings216.bin"/><Relationship Id="rId13" Type="http://schemas.openxmlformats.org/officeDocument/2006/relationships/comments" Target="../comments22.xml"/><Relationship Id="rId3" Type="http://schemas.openxmlformats.org/officeDocument/2006/relationships/printerSettings" Target="../printerSettings/printerSettings211.bin"/><Relationship Id="rId7" Type="http://schemas.openxmlformats.org/officeDocument/2006/relationships/printerSettings" Target="../printerSettings/printerSettings215.bin"/><Relationship Id="rId12" Type="http://schemas.openxmlformats.org/officeDocument/2006/relationships/vmlDrawing" Target="../drawings/vmlDrawing22.vml"/><Relationship Id="rId2" Type="http://schemas.openxmlformats.org/officeDocument/2006/relationships/printerSettings" Target="../printerSettings/printerSettings210.bin"/><Relationship Id="rId1" Type="http://schemas.openxmlformats.org/officeDocument/2006/relationships/printerSettings" Target="../printerSettings/printerSettings209.bin"/><Relationship Id="rId6" Type="http://schemas.openxmlformats.org/officeDocument/2006/relationships/printerSettings" Target="../printerSettings/printerSettings214.bin"/><Relationship Id="rId11" Type="http://schemas.openxmlformats.org/officeDocument/2006/relationships/drawing" Target="../drawings/drawing22.xml"/><Relationship Id="rId5" Type="http://schemas.openxmlformats.org/officeDocument/2006/relationships/printerSettings" Target="../printerSettings/printerSettings213.bin"/><Relationship Id="rId10" Type="http://schemas.openxmlformats.org/officeDocument/2006/relationships/printerSettings" Target="../printerSettings/printerSettings218.bin"/><Relationship Id="rId4" Type="http://schemas.openxmlformats.org/officeDocument/2006/relationships/printerSettings" Target="../printerSettings/printerSettings212.bin"/><Relationship Id="rId9" Type="http://schemas.openxmlformats.org/officeDocument/2006/relationships/printerSettings" Target="../printerSettings/printerSettings217.bin"/></Relationships>
</file>

<file path=xl/worksheets/_rels/sheet23.xml.rels><?xml version="1.0" encoding="UTF-8" standalone="yes"?>
<Relationships xmlns="http://schemas.openxmlformats.org/package/2006/relationships"><Relationship Id="rId8" Type="http://schemas.openxmlformats.org/officeDocument/2006/relationships/printerSettings" Target="../printerSettings/printerSettings226.bin"/><Relationship Id="rId13" Type="http://schemas.openxmlformats.org/officeDocument/2006/relationships/comments" Target="../comments23.xml"/><Relationship Id="rId3" Type="http://schemas.openxmlformats.org/officeDocument/2006/relationships/printerSettings" Target="../printerSettings/printerSettings221.bin"/><Relationship Id="rId7" Type="http://schemas.openxmlformats.org/officeDocument/2006/relationships/printerSettings" Target="../printerSettings/printerSettings225.bin"/><Relationship Id="rId12" Type="http://schemas.openxmlformats.org/officeDocument/2006/relationships/vmlDrawing" Target="../drawings/vmlDrawing23.vml"/><Relationship Id="rId2" Type="http://schemas.openxmlformats.org/officeDocument/2006/relationships/printerSettings" Target="../printerSettings/printerSettings220.bin"/><Relationship Id="rId1" Type="http://schemas.openxmlformats.org/officeDocument/2006/relationships/printerSettings" Target="../printerSettings/printerSettings219.bin"/><Relationship Id="rId6" Type="http://schemas.openxmlformats.org/officeDocument/2006/relationships/printerSettings" Target="../printerSettings/printerSettings224.bin"/><Relationship Id="rId11" Type="http://schemas.openxmlformats.org/officeDocument/2006/relationships/drawing" Target="../drawings/drawing23.xml"/><Relationship Id="rId5" Type="http://schemas.openxmlformats.org/officeDocument/2006/relationships/printerSettings" Target="../printerSettings/printerSettings223.bin"/><Relationship Id="rId10" Type="http://schemas.openxmlformats.org/officeDocument/2006/relationships/printerSettings" Target="../printerSettings/printerSettings228.bin"/><Relationship Id="rId4" Type="http://schemas.openxmlformats.org/officeDocument/2006/relationships/printerSettings" Target="../printerSettings/printerSettings222.bin"/><Relationship Id="rId9" Type="http://schemas.openxmlformats.org/officeDocument/2006/relationships/printerSettings" Target="../printerSettings/printerSettings227.bin"/></Relationships>
</file>

<file path=xl/worksheets/_rels/sheet24.xml.rels><?xml version="1.0" encoding="UTF-8" standalone="yes"?>
<Relationships xmlns="http://schemas.openxmlformats.org/package/2006/relationships"><Relationship Id="rId8" Type="http://schemas.openxmlformats.org/officeDocument/2006/relationships/printerSettings" Target="../printerSettings/printerSettings236.bin"/><Relationship Id="rId13" Type="http://schemas.openxmlformats.org/officeDocument/2006/relationships/comments" Target="../comments24.xml"/><Relationship Id="rId3" Type="http://schemas.openxmlformats.org/officeDocument/2006/relationships/printerSettings" Target="../printerSettings/printerSettings231.bin"/><Relationship Id="rId7" Type="http://schemas.openxmlformats.org/officeDocument/2006/relationships/printerSettings" Target="../printerSettings/printerSettings235.bin"/><Relationship Id="rId12" Type="http://schemas.openxmlformats.org/officeDocument/2006/relationships/vmlDrawing" Target="../drawings/vmlDrawing24.vml"/><Relationship Id="rId2" Type="http://schemas.openxmlformats.org/officeDocument/2006/relationships/printerSettings" Target="../printerSettings/printerSettings230.bin"/><Relationship Id="rId1" Type="http://schemas.openxmlformats.org/officeDocument/2006/relationships/printerSettings" Target="../printerSettings/printerSettings229.bin"/><Relationship Id="rId6" Type="http://schemas.openxmlformats.org/officeDocument/2006/relationships/printerSettings" Target="../printerSettings/printerSettings234.bin"/><Relationship Id="rId11" Type="http://schemas.openxmlformats.org/officeDocument/2006/relationships/drawing" Target="../drawings/drawing24.xml"/><Relationship Id="rId5" Type="http://schemas.openxmlformats.org/officeDocument/2006/relationships/printerSettings" Target="../printerSettings/printerSettings233.bin"/><Relationship Id="rId10" Type="http://schemas.openxmlformats.org/officeDocument/2006/relationships/printerSettings" Target="../printerSettings/printerSettings238.bin"/><Relationship Id="rId4" Type="http://schemas.openxmlformats.org/officeDocument/2006/relationships/printerSettings" Target="../printerSettings/printerSettings232.bin"/><Relationship Id="rId9" Type="http://schemas.openxmlformats.org/officeDocument/2006/relationships/printerSettings" Target="../printerSettings/printerSettings237.bin"/></Relationships>
</file>

<file path=xl/worksheets/_rels/sheet25.xml.rels><?xml version="1.0" encoding="UTF-8" standalone="yes"?>
<Relationships xmlns="http://schemas.openxmlformats.org/package/2006/relationships"><Relationship Id="rId8" Type="http://schemas.openxmlformats.org/officeDocument/2006/relationships/printerSettings" Target="../printerSettings/printerSettings246.bin"/><Relationship Id="rId13" Type="http://schemas.openxmlformats.org/officeDocument/2006/relationships/comments" Target="../comments25.xml"/><Relationship Id="rId3" Type="http://schemas.openxmlformats.org/officeDocument/2006/relationships/printerSettings" Target="../printerSettings/printerSettings241.bin"/><Relationship Id="rId7" Type="http://schemas.openxmlformats.org/officeDocument/2006/relationships/printerSettings" Target="../printerSettings/printerSettings245.bin"/><Relationship Id="rId12" Type="http://schemas.openxmlformats.org/officeDocument/2006/relationships/vmlDrawing" Target="../drawings/vmlDrawing25.vml"/><Relationship Id="rId2" Type="http://schemas.openxmlformats.org/officeDocument/2006/relationships/printerSettings" Target="../printerSettings/printerSettings240.bin"/><Relationship Id="rId1" Type="http://schemas.openxmlformats.org/officeDocument/2006/relationships/printerSettings" Target="../printerSettings/printerSettings239.bin"/><Relationship Id="rId6" Type="http://schemas.openxmlformats.org/officeDocument/2006/relationships/printerSettings" Target="../printerSettings/printerSettings244.bin"/><Relationship Id="rId11" Type="http://schemas.openxmlformats.org/officeDocument/2006/relationships/drawing" Target="../drawings/drawing25.xml"/><Relationship Id="rId5" Type="http://schemas.openxmlformats.org/officeDocument/2006/relationships/printerSettings" Target="../printerSettings/printerSettings243.bin"/><Relationship Id="rId10" Type="http://schemas.openxmlformats.org/officeDocument/2006/relationships/printerSettings" Target="../printerSettings/printerSettings248.bin"/><Relationship Id="rId4" Type="http://schemas.openxmlformats.org/officeDocument/2006/relationships/printerSettings" Target="../printerSettings/printerSettings242.bin"/><Relationship Id="rId9" Type="http://schemas.openxmlformats.org/officeDocument/2006/relationships/printerSettings" Target="../printerSettings/printerSettings247.bin"/></Relationships>
</file>

<file path=xl/worksheets/_rels/sheet26.xml.rels><?xml version="1.0" encoding="UTF-8" standalone="yes"?>
<Relationships xmlns="http://schemas.openxmlformats.org/package/2006/relationships"><Relationship Id="rId8" Type="http://schemas.openxmlformats.org/officeDocument/2006/relationships/printerSettings" Target="../printerSettings/printerSettings256.bin"/><Relationship Id="rId13" Type="http://schemas.openxmlformats.org/officeDocument/2006/relationships/comments" Target="../comments26.xml"/><Relationship Id="rId3" Type="http://schemas.openxmlformats.org/officeDocument/2006/relationships/printerSettings" Target="../printerSettings/printerSettings251.bin"/><Relationship Id="rId7" Type="http://schemas.openxmlformats.org/officeDocument/2006/relationships/printerSettings" Target="../printerSettings/printerSettings255.bin"/><Relationship Id="rId12" Type="http://schemas.openxmlformats.org/officeDocument/2006/relationships/vmlDrawing" Target="../drawings/vmlDrawing26.vml"/><Relationship Id="rId2" Type="http://schemas.openxmlformats.org/officeDocument/2006/relationships/printerSettings" Target="../printerSettings/printerSettings250.bin"/><Relationship Id="rId1" Type="http://schemas.openxmlformats.org/officeDocument/2006/relationships/printerSettings" Target="../printerSettings/printerSettings249.bin"/><Relationship Id="rId6" Type="http://schemas.openxmlformats.org/officeDocument/2006/relationships/printerSettings" Target="../printerSettings/printerSettings254.bin"/><Relationship Id="rId11" Type="http://schemas.openxmlformats.org/officeDocument/2006/relationships/drawing" Target="../drawings/drawing26.xml"/><Relationship Id="rId5" Type="http://schemas.openxmlformats.org/officeDocument/2006/relationships/printerSettings" Target="../printerSettings/printerSettings253.bin"/><Relationship Id="rId10" Type="http://schemas.openxmlformats.org/officeDocument/2006/relationships/printerSettings" Target="../printerSettings/printerSettings258.bin"/><Relationship Id="rId4" Type="http://schemas.openxmlformats.org/officeDocument/2006/relationships/printerSettings" Target="../printerSettings/printerSettings252.bin"/><Relationship Id="rId9" Type="http://schemas.openxmlformats.org/officeDocument/2006/relationships/printerSettings" Target="../printerSettings/printerSettings257.bin"/></Relationships>
</file>

<file path=xl/worksheets/_rels/sheet27.xml.rels><?xml version="1.0" encoding="UTF-8" standalone="yes"?>
<Relationships xmlns="http://schemas.openxmlformats.org/package/2006/relationships"><Relationship Id="rId8" Type="http://schemas.openxmlformats.org/officeDocument/2006/relationships/printerSettings" Target="../printerSettings/printerSettings266.bin"/><Relationship Id="rId13" Type="http://schemas.openxmlformats.org/officeDocument/2006/relationships/comments" Target="../comments27.xml"/><Relationship Id="rId3" Type="http://schemas.openxmlformats.org/officeDocument/2006/relationships/printerSettings" Target="../printerSettings/printerSettings261.bin"/><Relationship Id="rId7" Type="http://schemas.openxmlformats.org/officeDocument/2006/relationships/printerSettings" Target="../printerSettings/printerSettings265.bin"/><Relationship Id="rId12" Type="http://schemas.openxmlformats.org/officeDocument/2006/relationships/vmlDrawing" Target="../drawings/vmlDrawing27.vml"/><Relationship Id="rId2" Type="http://schemas.openxmlformats.org/officeDocument/2006/relationships/printerSettings" Target="../printerSettings/printerSettings260.bin"/><Relationship Id="rId1" Type="http://schemas.openxmlformats.org/officeDocument/2006/relationships/printerSettings" Target="../printerSettings/printerSettings259.bin"/><Relationship Id="rId6" Type="http://schemas.openxmlformats.org/officeDocument/2006/relationships/printerSettings" Target="../printerSettings/printerSettings264.bin"/><Relationship Id="rId11" Type="http://schemas.openxmlformats.org/officeDocument/2006/relationships/drawing" Target="../drawings/drawing27.xml"/><Relationship Id="rId5" Type="http://schemas.openxmlformats.org/officeDocument/2006/relationships/printerSettings" Target="../printerSettings/printerSettings263.bin"/><Relationship Id="rId10" Type="http://schemas.openxmlformats.org/officeDocument/2006/relationships/printerSettings" Target="../printerSettings/printerSettings268.bin"/><Relationship Id="rId4" Type="http://schemas.openxmlformats.org/officeDocument/2006/relationships/printerSettings" Target="../printerSettings/printerSettings262.bin"/><Relationship Id="rId9" Type="http://schemas.openxmlformats.org/officeDocument/2006/relationships/printerSettings" Target="../printerSettings/printerSettings267.bin"/></Relationships>
</file>

<file path=xl/worksheets/_rels/sheet28.xml.rels><?xml version="1.0" encoding="UTF-8" standalone="yes"?>
<Relationships xmlns="http://schemas.openxmlformats.org/package/2006/relationships"><Relationship Id="rId8" Type="http://schemas.openxmlformats.org/officeDocument/2006/relationships/printerSettings" Target="../printerSettings/printerSettings276.bin"/><Relationship Id="rId13" Type="http://schemas.openxmlformats.org/officeDocument/2006/relationships/comments" Target="../comments28.xml"/><Relationship Id="rId3" Type="http://schemas.openxmlformats.org/officeDocument/2006/relationships/printerSettings" Target="../printerSettings/printerSettings271.bin"/><Relationship Id="rId7" Type="http://schemas.openxmlformats.org/officeDocument/2006/relationships/printerSettings" Target="../printerSettings/printerSettings275.bin"/><Relationship Id="rId12" Type="http://schemas.openxmlformats.org/officeDocument/2006/relationships/vmlDrawing" Target="../drawings/vmlDrawing28.vml"/><Relationship Id="rId2" Type="http://schemas.openxmlformats.org/officeDocument/2006/relationships/printerSettings" Target="../printerSettings/printerSettings270.bin"/><Relationship Id="rId1" Type="http://schemas.openxmlformats.org/officeDocument/2006/relationships/printerSettings" Target="../printerSettings/printerSettings269.bin"/><Relationship Id="rId6" Type="http://schemas.openxmlformats.org/officeDocument/2006/relationships/printerSettings" Target="../printerSettings/printerSettings274.bin"/><Relationship Id="rId11" Type="http://schemas.openxmlformats.org/officeDocument/2006/relationships/drawing" Target="../drawings/drawing28.xml"/><Relationship Id="rId5" Type="http://schemas.openxmlformats.org/officeDocument/2006/relationships/printerSettings" Target="../printerSettings/printerSettings273.bin"/><Relationship Id="rId10" Type="http://schemas.openxmlformats.org/officeDocument/2006/relationships/printerSettings" Target="../printerSettings/printerSettings278.bin"/><Relationship Id="rId4" Type="http://schemas.openxmlformats.org/officeDocument/2006/relationships/printerSettings" Target="../printerSettings/printerSettings272.bin"/><Relationship Id="rId9" Type="http://schemas.openxmlformats.org/officeDocument/2006/relationships/printerSettings" Target="../printerSettings/printerSettings277.bin"/></Relationships>
</file>

<file path=xl/worksheets/_rels/sheet29.xml.rels><?xml version="1.0" encoding="UTF-8" standalone="yes"?>
<Relationships xmlns="http://schemas.openxmlformats.org/package/2006/relationships"><Relationship Id="rId8" Type="http://schemas.openxmlformats.org/officeDocument/2006/relationships/printerSettings" Target="../printerSettings/printerSettings286.bin"/><Relationship Id="rId13" Type="http://schemas.openxmlformats.org/officeDocument/2006/relationships/comments" Target="../comments29.xml"/><Relationship Id="rId3" Type="http://schemas.openxmlformats.org/officeDocument/2006/relationships/printerSettings" Target="../printerSettings/printerSettings281.bin"/><Relationship Id="rId7" Type="http://schemas.openxmlformats.org/officeDocument/2006/relationships/printerSettings" Target="../printerSettings/printerSettings285.bin"/><Relationship Id="rId12" Type="http://schemas.openxmlformats.org/officeDocument/2006/relationships/vmlDrawing" Target="../drawings/vmlDrawing29.vml"/><Relationship Id="rId2" Type="http://schemas.openxmlformats.org/officeDocument/2006/relationships/printerSettings" Target="../printerSettings/printerSettings280.bin"/><Relationship Id="rId1" Type="http://schemas.openxmlformats.org/officeDocument/2006/relationships/printerSettings" Target="../printerSettings/printerSettings279.bin"/><Relationship Id="rId6" Type="http://schemas.openxmlformats.org/officeDocument/2006/relationships/printerSettings" Target="../printerSettings/printerSettings284.bin"/><Relationship Id="rId11" Type="http://schemas.openxmlformats.org/officeDocument/2006/relationships/drawing" Target="../drawings/drawing29.xml"/><Relationship Id="rId5" Type="http://schemas.openxmlformats.org/officeDocument/2006/relationships/printerSettings" Target="../printerSettings/printerSettings283.bin"/><Relationship Id="rId10" Type="http://schemas.openxmlformats.org/officeDocument/2006/relationships/printerSettings" Target="../printerSettings/printerSettings288.bin"/><Relationship Id="rId4" Type="http://schemas.openxmlformats.org/officeDocument/2006/relationships/printerSettings" Target="../printerSettings/printerSettings282.bin"/><Relationship Id="rId9" Type="http://schemas.openxmlformats.org/officeDocument/2006/relationships/printerSettings" Target="../printerSettings/printerSettings287.bin"/></Relationships>
</file>

<file path=xl/worksheets/_rels/sheet30.xml.rels><?xml version="1.0" encoding="UTF-8" standalone="yes"?>
<Relationships xmlns="http://schemas.openxmlformats.org/package/2006/relationships"><Relationship Id="rId8" Type="http://schemas.openxmlformats.org/officeDocument/2006/relationships/printerSettings" Target="../printerSettings/printerSettings296.bin"/><Relationship Id="rId13" Type="http://schemas.openxmlformats.org/officeDocument/2006/relationships/comments" Target="../comments30.xml"/><Relationship Id="rId3" Type="http://schemas.openxmlformats.org/officeDocument/2006/relationships/printerSettings" Target="../printerSettings/printerSettings291.bin"/><Relationship Id="rId7" Type="http://schemas.openxmlformats.org/officeDocument/2006/relationships/printerSettings" Target="../printerSettings/printerSettings295.bin"/><Relationship Id="rId12" Type="http://schemas.openxmlformats.org/officeDocument/2006/relationships/vmlDrawing" Target="../drawings/vmlDrawing30.vml"/><Relationship Id="rId2" Type="http://schemas.openxmlformats.org/officeDocument/2006/relationships/printerSettings" Target="../printerSettings/printerSettings290.bin"/><Relationship Id="rId1" Type="http://schemas.openxmlformats.org/officeDocument/2006/relationships/printerSettings" Target="../printerSettings/printerSettings289.bin"/><Relationship Id="rId6" Type="http://schemas.openxmlformats.org/officeDocument/2006/relationships/printerSettings" Target="../printerSettings/printerSettings294.bin"/><Relationship Id="rId11" Type="http://schemas.openxmlformats.org/officeDocument/2006/relationships/drawing" Target="../drawings/drawing30.xml"/><Relationship Id="rId5" Type="http://schemas.openxmlformats.org/officeDocument/2006/relationships/printerSettings" Target="../printerSettings/printerSettings293.bin"/><Relationship Id="rId10" Type="http://schemas.openxmlformats.org/officeDocument/2006/relationships/printerSettings" Target="../printerSettings/printerSettings298.bin"/><Relationship Id="rId4" Type="http://schemas.openxmlformats.org/officeDocument/2006/relationships/printerSettings" Target="../printerSettings/printerSettings292.bin"/><Relationship Id="rId9" Type="http://schemas.openxmlformats.org/officeDocument/2006/relationships/printerSettings" Target="../printerSettings/printerSettings297.bin"/></Relationships>
</file>

<file path=xl/worksheets/_rels/sheet31.xml.rels><?xml version="1.0" encoding="UTF-8" standalone="yes"?>
<Relationships xmlns="http://schemas.openxmlformats.org/package/2006/relationships"><Relationship Id="rId8" Type="http://schemas.openxmlformats.org/officeDocument/2006/relationships/printerSettings" Target="../printerSettings/printerSettings306.bin"/><Relationship Id="rId13" Type="http://schemas.openxmlformats.org/officeDocument/2006/relationships/comments" Target="../comments31.xml"/><Relationship Id="rId3" Type="http://schemas.openxmlformats.org/officeDocument/2006/relationships/printerSettings" Target="../printerSettings/printerSettings301.bin"/><Relationship Id="rId7" Type="http://schemas.openxmlformats.org/officeDocument/2006/relationships/printerSettings" Target="../printerSettings/printerSettings305.bin"/><Relationship Id="rId12" Type="http://schemas.openxmlformats.org/officeDocument/2006/relationships/vmlDrawing" Target="../drawings/vmlDrawing31.vml"/><Relationship Id="rId2" Type="http://schemas.openxmlformats.org/officeDocument/2006/relationships/printerSettings" Target="../printerSettings/printerSettings300.bin"/><Relationship Id="rId1" Type="http://schemas.openxmlformats.org/officeDocument/2006/relationships/printerSettings" Target="../printerSettings/printerSettings299.bin"/><Relationship Id="rId6" Type="http://schemas.openxmlformats.org/officeDocument/2006/relationships/printerSettings" Target="../printerSettings/printerSettings304.bin"/><Relationship Id="rId11" Type="http://schemas.openxmlformats.org/officeDocument/2006/relationships/drawing" Target="../drawings/drawing31.xml"/><Relationship Id="rId5" Type="http://schemas.openxmlformats.org/officeDocument/2006/relationships/printerSettings" Target="../printerSettings/printerSettings303.bin"/><Relationship Id="rId10" Type="http://schemas.openxmlformats.org/officeDocument/2006/relationships/printerSettings" Target="../printerSettings/printerSettings308.bin"/><Relationship Id="rId4" Type="http://schemas.openxmlformats.org/officeDocument/2006/relationships/printerSettings" Target="../printerSettings/printerSettings302.bin"/><Relationship Id="rId9" Type="http://schemas.openxmlformats.org/officeDocument/2006/relationships/printerSettings" Target="../printerSettings/printerSettings307.bin"/></Relationships>
</file>

<file path=xl/worksheets/_rels/sheet32.xml.rels><?xml version="1.0" encoding="UTF-8" standalone="yes"?>
<Relationships xmlns="http://schemas.openxmlformats.org/package/2006/relationships"><Relationship Id="rId8" Type="http://schemas.openxmlformats.org/officeDocument/2006/relationships/printerSettings" Target="../printerSettings/printerSettings316.bin"/><Relationship Id="rId13" Type="http://schemas.openxmlformats.org/officeDocument/2006/relationships/comments" Target="../comments32.xml"/><Relationship Id="rId3" Type="http://schemas.openxmlformats.org/officeDocument/2006/relationships/printerSettings" Target="../printerSettings/printerSettings311.bin"/><Relationship Id="rId7" Type="http://schemas.openxmlformats.org/officeDocument/2006/relationships/printerSettings" Target="../printerSettings/printerSettings315.bin"/><Relationship Id="rId12" Type="http://schemas.openxmlformats.org/officeDocument/2006/relationships/vmlDrawing" Target="../drawings/vmlDrawing32.vml"/><Relationship Id="rId2" Type="http://schemas.openxmlformats.org/officeDocument/2006/relationships/printerSettings" Target="../printerSettings/printerSettings310.bin"/><Relationship Id="rId1" Type="http://schemas.openxmlformats.org/officeDocument/2006/relationships/printerSettings" Target="../printerSettings/printerSettings309.bin"/><Relationship Id="rId6" Type="http://schemas.openxmlformats.org/officeDocument/2006/relationships/printerSettings" Target="../printerSettings/printerSettings314.bin"/><Relationship Id="rId11" Type="http://schemas.openxmlformats.org/officeDocument/2006/relationships/drawing" Target="../drawings/drawing32.xml"/><Relationship Id="rId5" Type="http://schemas.openxmlformats.org/officeDocument/2006/relationships/printerSettings" Target="../printerSettings/printerSettings313.bin"/><Relationship Id="rId10" Type="http://schemas.openxmlformats.org/officeDocument/2006/relationships/printerSettings" Target="../printerSettings/printerSettings318.bin"/><Relationship Id="rId4" Type="http://schemas.openxmlformats.org/officeDocument/2006/relationships/printerSettings" Target="../printerSettings/printerSettings312.bin"/><Relationship Id="rId9" Type="http://schemas.openxmlformats.org/officeDocument/2006/relationships/printerSettings" Target="../printerSettings/printerSettings317.bin"/></Relationships>
</file>

<file path=xl/worksheets/_rels/sheet33.xml.rels><?xml version="1.0" encoding="UTF-8" standalone="yes"?>
<Relationships xmlns="http://schemas.openxmlformats.org/package/2006/relationships"><Relationship Id="rId8" Type="http://schemas.openxmlformats.org/officeDocument/2006/relationships/printerSettings" Target="../printerSettings/printerSettings326.bin"/><Relationship Id="rId13" Type="http://schemas.openxmlformats.org/officeDocument/2006/relationships/comments" Target="../comments33.xml"/><Relationship Id="rId3" Type="http://schemas.openxmlformats.org/officeDocument/2006/relationships/printerSettings" Target="../printerSettings/printerSettings321.bin"/><Relationship Id="rId7" Type="http://schemas.openxmlformats.org/officeDocument/2006/relationships/printerSettings" Target="../printerSettings/printerSettings325.bin"/><Relationship Id="rId12" Type="http://schemas.openxmlformats.org/officeDocument/2006/relationships/vmlDrawing" Target="../drawings/vmlDrawing33.vml"/><Relationship Id="rId2" Type="http://schemas.openxmlformats.org/officeDocument/2006/relationships/printerSettings" Target="../printerSettings/printerSettings320.bin"/><Relationship Id="rId1" Type="http://schemas.openxmlformats.org/officeDocument/2006/relationships/printerSettings" Target="../printerSettings/printerSettings319.bin"/><Relationship Id="rId6" Type="http://schemas.openxmlformats.org/officeDocument/2006/relationships/printerSettings" Target="../printerSettings/printerSettings324.bin"/><Relationship Id="rId11" Type="http://schemas.openxmlformats.org/officeDocument/2006/relationships/drawing" Target="../drawings/drawing33.xml"/><Relationship Id="rId5" Type="http://schemas.openxmlformats.org/officeDocument/2006/relationships/printerSettings" Target="../printerSettings/printerSettings323.bin"/><Relationship Id="rId10" Type="http://schemas.openxmlformats.org/officeDocument/2006/relationships/printerSettings" Target="../printerSettings/printerSettings328.bin"/><Relationship Id="rId4" Type="http://schemas.openxmlformats.org/officeDocument/2006/relationships/printerSettings" Target="../printerSettings/printerSettings322.bin"/><Relationship Id="rId9" Type="http://schemas.openxmlformats.org/officeDocument/2006/relationships/printerSettings" Target="../printerSettings/printerSettings32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K76"/>
  <sheetViews>
    <sheetView topLeftCell="A10" zoomScaleNormal="100" zoomScalePageLayoutView="90" workbookViewId="0">
      <selection activeCell="AC45" sqref="AC45"/>
    </sheetView>
  </sheetViews>
  <sheetFormatPr defaultColWidth="6.5703125" defaultRowHeight="12.75"/>
  <cols>
    <col min="1" max="4" width="2.42578125" style="55" customWidth="1"/>
    <col min="5" max="5" width="7.5703125" style="55" customWidth="1"/>
    <col min="6" max="6" width="1.85546875" style="55" customWidth="1"/>
    <col min="7" max="22" width="2" style="55" customWidth="1"/>
    <col min="23" max="23" width="2" style="10" customWidth="1"/>
    <col min="24" max="39" width="2.42578125" style="10" customWidth="1"/>
    <col min="40" max="40" width="3.140625" style="10" customWidth="1"/>
    <col min="41" max="42" width="2.42578125" style="10" customWidth="1"/>
    <col min="43" max="44" width="2.42578125" style="55" customWidth="1"/>
    <col min="45" max="45" width="2.7109375" style="55" customWidth="1"/>
    <col min="46" max="50" width="2.42578125" style="79" customWidth="1"/>
    <col min="51" max="88" width="2.42578125" customWidth="1"/>
  </cols>
  <sheetData>
    <row r="1" spans="1:89" s="20" customFormat="1" ht="12.95" customHeight="1">
      <c r="A1" s="812" t="s">
        <v>649</v>
      </c>
      <c r="C1" s="812"/>
      <c r="D1" s="812"/>
      <c r="E1" s="812"/>
      <c r="F1" s="812"/>
      <c r="G1" s="812"/>
      <c r="H1" s="812"/>
      <c r="I1" s="728"/>
      <c r="J1" s="728"/>
      <c r="K1" s="728"/>
      <c r="L1" s="728"/>
      <c r="M1" s="728"/>
      <c r="N1" s="728"/>
      <c r="O1" s="728"/>
      <c r="P1" s="728"/>
      <c r="Q1" s="728"/>
      <c r="R1" s="2727" t="s">
        <v>1553</v>
      </c>
      <c r="S1" s="727"/>
      <c r="T1" s="812"/>
      <c r="U1" s="812"/>
      <c r="V1" s="812"/>
      <c r="W1" s="185"/>
      <c r="X1" s="185"/>
      <c r="Y1" s="729"/>
      <c r="Z1" s="185"/>
      <c r="AA1" s="185"/>
      <c r="AB1" s="729"/>
      <c r="AC1" s="729"/>
      <c r="AD1" s="812"/>
      <c r="AE1" s="812"/>
      <c r="AF1" s="729"/>
      <c r="AG1" s="729"/>
      <c r="AH1" s="729"/>
      <c r="AI1" s="729"/>
      <c r="AJ1" s="731"/>
      <c r="AK1" s="729"/>
      <c r="AL1" s="729"/>
      <c r="AM1" s="186"/>
      <c r="AN1" s="186"/>
      <c r="AO1" s="186"/>
      <c r="AP1" s="186"/>
      <c r="AQ1" s="187"/>
      <c r="AS1" s="188"/>
      <c r="AT1" s="3"/>
      <c r="AU1" s="181"/>
      <c r="AV1" s="181"/>
      <c r="AW1" s="181"/>
      <c r="AZ1" s="813"/>
      <c r="BC1" s="2430" t="s">
        <v>183</v>
      </c>
    </row>
    <row r="2" spans="1:89" ht="9.75" customHeight="1">
      <c r="A2" s="182"/>
      <c r="B2" s="189"/>
      <c r="C2" s="189"/>
      <c r="D2" s="189"/>
      <c r="E2" s="189"/>
      <c r="F2" s="189"/>
      <c r="G2" s="189"/>
      <c r="H2" s="189"/>
      <c r="I2" s="182"/>
      <c r="J2" s="182"/>
      <c r="K2" s="182"/>
      <c r="L2" s="182"/>
      <c r="M2" s="182"/>
      <c r="N2" s="182"/>
      <c r="O2" s="182"/>
      <c r="P2" s="182"/>
      <c r="Q2" s="182"/>
      <c r="R2" s="182"/>
      <c r="S2" s="190"/>
      <c r="T2" s="190"/>
      <c r="U2" s="190"/>
      <c r="V2" s="190"/>
      <c r="W2" s="183"/>
      <c r="X2" s="183"/>
      <c r="Y2" s="183"/>
      <c r="Z2" s="183"/>
      <c r="AA2" s="183"/>
      <c r="AB2" s="183"/>
      <c r="AC2" s="183"/>
      <c r="AD2" s="184"/>
      <c r="AE2" s="184"/>
      <c r="AF2" s="184"/>
      <c r="AG2" s="184"/>
      <c r="AH2" s="184"/>
      <c r="AI2" s="184"/>
      <c r="AJ2" s="185"/>
      <c r="AK2" s="191"/>
      <c r="AL2" s="191"/>
      <c r="AM2" s="191"/>
      <c r="AN2" s="191"/>
      <c r="AO2" s="191"/>
      <c r="AP2" s="191"/>
      <c r="AQ2" s="192"/>
      <c r="AR2" s="192"/>
      <c r="AS2" s="192"/>
      <c r="AT2" s="181"/>
      <c r="AU2" s="54"/>
      <c r="AV2" s="54"/>
      <c r="AW2" s="54"/>
    </row>
    <row r="3" spans="1:89" s="814" customFormat="1" ht="12.95" customHeight="1">
      <c r="A3" s="3659" t="s">
        <v>1552</v>
      </c>
      <c r="B3" s="3660"/>
      <c r="C3" s="3660"/>
      <c r="D3" s="3660"/>
      <c r="E3" s="3660"/>
      <c r="F3" s="3660"/>
      <c r="G3" s="3660"/>
      <c r="H3" s="3660"/>
      <c r="I3" s="3660"/>
      <c r="J3" s="3660"/>
      <c r="K3" s="3660"/>
      <c r="L3" s="3660"/>
      <c r="M3" s="3660"/>
      <c r="N3" s="3660"/>
      <c r="O3" s="3660"/>
      <c r="P3" s="3660"/>
      <c r="Q3" s="3660"/>
      <c r="R3" s="3660"/>
      <c r="S3" s="3660"/>
      <c r="T3" s="3660"/>
      <c r="U3" s="3660"/>
      <c r="V3" s="3660"/>
      <c r="W3" s="3660"/>
      <c r="X3" s="3660"/>
      <c r="Y3" s="3660"/>
      <c r="Z3" s="3660"/>
      <c r="AA3" s="3660"/>
      <c r="AB3" s="3660"/>
      <c r="AC3" s="3660"/>
      <c r="AD3" s="3660"/>
      <c r="AE3" s="3660"/>
      <c r="AF3" s="3660"/>
      <c r="AG3" s="3660"/>
      <c r="AH3" s="3660"/>
      <c r="AI3" s="3660"/>
      <c r="AJ3" s="3660"/>
      <c r="AK3" s="3660"/>
      <c r="AL3" s="3660"/>
      <c r="AM3" s="3660"/>
      <c r="AN3" s="3660"/>
      <c r="AO3" s="3660"/>
      <c r="AP3" s="3660"/>
      <c r="AQ3" s="3660"/>
      <c r="AR3" s="3660"/>
      <c r="AS3" s="3660"/>
      <c r="AT3" s="3660"/>
      <c r="AU3" s="3660"/>
      <c r="AV3" s="3660"/>
      <c r="AW3" s="3660"/>
      <c r="AX3" s="3660"/>
      <c r="AY3" s="3660"/>
      <c r="AZ3" s="3660"/>
      <c r="BA3" s="3660"/>
      <c r="BB3" s="3660"/>
      <c r="BC3" s="3661"/>
    </row>
    <row r="4" spans="1:89" s="814" customFormat="1" ht="12.95" customHeight="1" thickBot="1">
      <c r="A4" s="3662"/>
      <c r="B4" s="3663"/>
      <c r="C4" s="3663"/>
      <c r="D4" s="3663"/>
      <c r="E4" s="3663"/>
      <c r="F4" s="3663"/>
      <c r="G4" s="3663"/>
      <c r="H4" s="3663"/>
      <c r="I4" s="3663"/>
      <c r="J4" s="3663"/>
      <c r="K4" s="3663"/>
      <c r="L4" s="3663"/>
      <c r="M4" s="3663"/>
      <c r="N4" s="3663"/>
      <c r="O4" s="3663"/>
      <c r="P4" s="3663"/>
      <c r="Q4" s="3663"/>
      <c r="R4" s="3663"/>
      <c r="S4" s="3663"/>
      <c r="T4" s="3663"/>
      <c r="U4" s="3663"/>
      <c r="V4" s="3663"/>
      <c r="W4" s="3663"/>
      <c r="X4" s="3663"/>
      <c r="Y4" s="3663"/>
      <c r="Z4" s="3663"/>
      <c r="AA4" s="3663"/>
      <c r="AB4" s="3663"/>
      <c r="AC4" s="3663"/>
      <c r="AD4" s="3663"/>
      <c r="AE4" s="3663"/>
      <c r="AF4" s="3663"/>
      <c r="AG4" s="3663"/>
      <c r="AH4" s="3663"/>
      <c r="AI4" s="3663"/>
      <c r="AJ4" s="3663"/>
      <c r="AK4" s="3663"/>
      <c r="AL4" s="3663"/>
      <c r="AM4" s="3663"/>
      <c r="AN4" s="3663"/>
      <c r="AO4" s="3663"/>
      <c r="AP4" s="3663"/>
      <c r="AQ4" s="3663"/>
      <c r="AR4" s="3663"/>
      <c r="AS4" s="3663"/>
      <c r="AT4" s="3663"/>
      <c r="AU4" s="3663"/>
      <c r="AV4" s="3663"/>
      <c r="AW4" s="3663"/>
      <c r="AX4" s="3663"/>
      <c r="AY4" s="3663"/>
      <c r="AZ4" s="3663"/>
      <c r="BA4" s="3663"/>
      <c r="BB4" s="3663"/>
      <c r="BC4" s="3664"/>
    </row>
    <row r="5" spans="1:89" ht="6.75" customHeight="1" thickTop="1">
      <c r="A5" s="2374"/>
      <c r="B5" s="2375"/>
      <c r="C5" s="2375"/>
      <c r="D5" s="2375"/>
      <c r="E5" s="2375"/>
      <c r="F5" s="2375"/>
      <c r="G5" s="2375"/>
      <c r="H5" s="2375"/>
      <c r="I5" s="2375"/>
      <c r="J5" s="2375"/>
      <c r="K5" s="2375"/>
      <c r="L5" s="2375"/>
      <c r="M5" s="2375"/>
      <c r="N5" s="2375"/>
      <c r="O5" s="2375"/>
      <c r="P5" s="2375"/>
      <c r="Q5" s="2375"/>
      <c r="R5" s="2375"/>
      <c r="S5" s="2375"/>
      <c r="T5" s="2375"/>
      <c r="U5" s="2375"/>
      <c r="V5" s="2375"/>
      <c r="W5" s="2375"/>
      <c r="X5" s="2375"/>
      <c r="Y5" s="2375"/>
      <c r="Z5" s="2375"/>
      <c r="AA5" s="2375"/>
      <c r="AB5" s="2375"/>
      <c r="AC5" s="2375"/>
      <c r="AD5" s="2375"/>
      <c r="AE5" s="2375"/>
      <c r="AF5" s="2375"/>
      <c r="AG5" s="193"/>
      <c r="AH5" s="2375"/>
      <c r="AI5" s="2375"/>
      <c r="AJ5" s="2375"/>
      <c r="AK5" s="2375"/>
      <c r="AL5" s="2375"/>
      <c r="AM5" s="2375"/>
      <c r="AN5" s="2375"/>
      <c r="AO5" s="2375"/>
      <c r="AP5" s="2375"/>
      <c r="AQ5" s="2375"/>
      <c r="AR5" s="2375"/>
      <c r="AS5" s="2375"/>
      <c r="AT5" s="2376"/>
      <c r="AU5" s="2376"/>
      <c r="AV5" s="2376"/>
      <c r="AW5" s="2376"/>
      <c r="AX5" s="2376"/>
      <c r="AY5" s="2376"/>
      <c r="AZ5" s="2376"/>
      <c r="BA5" s="2376"/>
      <c r="BB5" s="2376"/>
      <c r="BC5" s="2377"/>
    </row>
    <row r="6" spans="1:89" s="2" customFormat="1" ht="12.95" customHeight="1">
      <c r="A6" s="2378" t="s">
        <v>184</v>
      </c>
      <c r="B6" s="689"/>
      <c r="C6" s="689"/>
      <c r="D6" s="689"/>
      <c r="E6" s="689"/>
      <c r="F6" s="689"/>
      <c r="G6" s="689"/>
      <c r="H6" s="716"/>
      <c r="I6" s="716"/>
      <c r="J6" s="716"/>
      <c r="K6" s="716"/>
      <c r="L6" s="188"/>
      <c r="M6" s="188"/>
      <c r="N6" s="188"/>
      <c r="O6" s="188"/>
      <c r="P6" s="188"/>
      <c r="Q6" s="188"/>
      <c r="R6" s="188"/>
      <c r="S6" s="188"/>
      <c r="T6" s="188"/>
      <c r="U6" s="188"/>
      <c r="V6" s="188"/>
      <c r="W6" s="188"/>
      <c r="X6" s="188"/>
      <c r="Y6" s="188"/>
      <c r="Z6" s="188"/>
      <c r="AA6" s="188"/>
      <c r="AB6" s="188"/>
      <c r="AC6" s="690"/>
      <c r="AD6" s="690"/>
      <c r="AE6" s="690"/>
      <c r="AF6" s="690"/>
      <c r="AG6" s="691"/>
      <c r="AH6" s="688" t="s">
        <v>193</v>
      </c>
      <c r="AI6" s="690"/>
      <c r="AJ6" s="690"/>
      <c r="AK6" s="692"/>
      <c r="AL6" s="692"/>
      <c r="AM6" s="692"/>
      <c r="AN6" s="692"/>
      <c r="AO6" s="188"/>
      <c r="AP6" s="188"/>
      <c r="AQ6" s="690"/>
      <c r="AR6" s="690"/>
      <c r="AS6" s="690"/>
      <c r="AT6" s="693"/>
      <c r="AU6" s="3"/>
      <c r="AV6" s="3"/>
      <c r="AW6" s="3"/>
      <c r="AX6" s="3"/>
      <c r="AY6" s="3"/>
      <c r="AZ6" s="3"/>
      <c r="BA6" s="3"/>
      <c r="BB6" s="3"/>
      <c r="BC6" s="23"/>
      <c r="BD6" s="4"/>
      <c r="BE6" s="4"/>
      <c r="BF6" s="4"/>
      <c r="BG6" s="4"/>
    </row>
    <row r="7" spans="1:89" s="2" customFormat="1" ht="12.95" customHeight="1">
      <c r="A7" s="2378" t="s">
        <v>185</v>
      </c>
      <c r="B7" s="715"/>
      <c r="C7" s="689"/>
      <c r="D7" s="689"/>
      <c r="E7" s="689"/>
      <c r="F7" s="689"/>
      <c r="G7" s="689"/>
      <c r="H7" s="716"/>
      <c r="I7" s="716"/>
      <c r="J7" s="716"/>
      <c r="K7" s="716"/>
      <c r="L7" s="188"/>
      <c r="M7" s="188"/>
      <c r="N7" s="188"/>
      <c r="O7" s="188"/>
      <c r="P7" s="188"/>
      <c r="Q7" s="188"/>
      <c r="R7" s="188"/>
      <c r="S7" s="188"/>
      <c r="T7" s="188"/>
      <c r="U7" s="188"/>
      <c r="V7" s="188"/>
      <c r="W7" s="188"/>
      <c r="X7" s="188"/>
      <c r="Y7" s="188"/>
      <c r="Z7" s="188"/>
      <c r="AA7" s="188"/>
      <c r="AB7" s="188"/>
      <c r="AC7" s="690"/>
      <c r="AD7" s="690"/>
      <c r="AE7" s="690"/>
      <c r="AF7" s="690"/>
      <c r="AG7" s="691"/>
      <c r="AH7" s="2290" t="s">
        <v>194</v>
      </c>
      <c r="AI7" s="690"/>
      <c r="AJ7" s="690"/>
      <c r="AK7" s="692"/>
      <c r="AL7" s="692"/>
      <c r="AM7" s="692"/>
      <c r="AN7" s="692"/>
      <c r="AO7" s="188"/>
      <c r="AP7" s="188"/>
      <c r="AQ7" s="3"/>
      <c r="AR7" s="3"/>
      <c r="AS7" s="690"/>
      <c r="AT7" s="694" t="s">
        <v>195</v>
      </c>
      <c r="AU7" s="695"/>
      <c r="AV7" s="3"/>
      <c r="AW7" s="3"/>
      <c r="AX7" s="3"/>
      <c r="AY7" s="3"/>
      <c r="AZ7" s="3"/>
      <c r="BA7" s="3"/>
      <c r="BB7" s="3"/>
      <c r="BC7" s="23"/>
      <c r="BD7" s="4"/>
      <c r="BE7" s="4"/>
      <c r="BF7" s="4"/>
      <c r="BG7" s="4"/>
    </row>
    <row r="8" spans="1:89" s="2" customFormat="1" ht="6.6" customHeight="1">
      <c r="A8" s="2379"/>
      <c r="B8" s="187"/>
      <c r="C8" s="695"/>
      <c r="D8" s="188"/>
      <c r="E8" s="695"/>
      <c r="F8" s="695"/>
      <c r="G8" s="695"/>
      <c r="H8" s="188"/>
      <c r="I8" s="188"/>
      <c r="J8" s="188"/>
      <c r="K8" s="188"/>
      <c r="L8" s="188"/>
      <c r="M8" s="188"/>
      <c r="N8" s="188"/>
      <c r="O8" s="188"/>
      <c r="P8" s="188"/>
      <c r="Q8" s="188"/>
      <c r="R8" s="188"/>
      <c r="S8" s="188"/>
      <c r="T8" s="188"/>
      <c r="U8" s="188"/>
      <c r="V8" s="188"/>
      <c r="W8" s="188"/>
      <c r="X8" s="188"/>
      <c r="Y8" s="188"/>
      <c r="Z8" s="188"/>
      <c r="AA8" s="188"/>
      <c r="AB8" s="188"/>
      <c r="AC8" s="695"/>
      <c r="AD8" s="695"/>
      <c r="AE8" s="695"/>
      <c r="AF8" s="695"/>
      <c r="AG8" s="696"/>
      <c r="AH8" s="695"/>
      <c r="AI8" s="695"/>
      <c r="AJ8" s="695"/>
      <c r="AK8" s="692"/>
      <c r="AL8" s="692"/>
      <c r="AM8" s="692"/>
      <c r="AN8" s="692"/>
      <c r="AO8" s="188"/>
      <c r="AP8" s="188"/>
      <c r="AQ8" s="3"/>
      <c r="AR8" s="3"/>
      <c r="AS8" s="694"/>
      <c r="AT8" s="694"/>
      <c r="AU8" s="694"/>
      <c r="AV8" s="2380"/>
      <c r="AW8" s="2380"/>
      <c r="AX8" s="2380"/>
      <c r="AY8" s="2380"/>
      <c r="AZ8" s="2380"/>
      <c r="BA8" s="3"/>
      <c r="BB8" s="3"/>
      <c r="BC8" s="23"/>
      <c r="BD8" s="4"/>
      <c r="BE8" s="4"/>
      <c r="BF8" s="4"/>
      <c r="BG8" s="4"/>
    </row>
    <row r="9" spans="1:89" s="2" customFormat="1" ht="12.95" customHeight="1">
      <c r="A9" s="2379"/>
      <c r="B9" s="187"/>
      <c r="C9" s="690"/>
      <c r="D9" s="690"/>
      <c r="E9" s="690"/>
      <c r="F9" s="3"/>
      <c r="G9" s="3"/>
      <c r="H9" s="2381"/>
      <c r="I9" s="697"/>
      <c r="J9" s="698"/>
      <c r="K9" s="698"/>
      <c r="L9" s="698"/>
      <c r="M9" s="698"/>
      <c r="N9" s="698"/>
      <c r="O9" s="699"/>
      <c r="P9" s="188"/>
      <c r="Q9" s="188"/>
      <c r="R9" s="3"/>
      <c r="S9" s="3"/>
      <c r="T9" s="3"/>
      <c r="U9" s="3"/>
      <c r="V9" s="3"/>
      <c r="W9" s="3"/>
      <c r="X9" s="3"/>
      <c r="Y9" s="3"/>
      <c r="Z9" s="3"/>
      <c r="AA9" s="188"/>
      <c r="AB9" s="1141"/>
      <c r="AC9" s="698"/>
      <c r="AD9" s="698"/>
      <c r="AE9" s="699"/>
      <c r="AF9" s="690"/>
      <c r="AG9" s="691"/>
      <c r="AH9" s="3"/>
      <c r="AI9" s="690"/>
      <c r="AJ9" s="690"/>
      <c r="AK9" s="692"/>
      <c r="AL9" s="692"/>
      <c r="AM9" s="692"/>
      <c r="AN9" s="692"/>
      <c r="AO9" s="1141"/>
      <c r="AP9" s="700"/>
      <c r="AQ9" s="3"/>
      <c r="AR9" s="3"/>
      <c r="AS9" s="2380"/>
      <c r="AT9" s="694" t="s">
        <v>199</v>
      </c>
      <c r="AU9" s="2290"/>
      <c r="AV9" s="2380"/>
      <c r="AW9" s="2380"/>
      <c r="AX9" s="2380"/>
      <c r="AY9" s="2380"/>
      <c r="AZ9" s="2380"/>
      <c r="BA9" s="3"/>
      <c r="BB9" s="3"/>
      <c r="BC9" s="23"/>
      <c r="BD9" s="4"/>
      <c r="BE9" s="4"/>
      <c r="BF9" s="4"/>
      <c r="BG9" s="4"/>
    </row>
    <row r="10" spans="1:89" s="2" customFormat="1" ht="12.95" customHeight="1">
      <c r="A10" s="2379" t="s">
        <v>186</v>
      </c>
      <c r="B10" s="187"/>
      <c r="C10" s="695"/>
      <c r="D10" s="3"/>
      <c r="E10" s="2431"/>
      <c r="F10" s="2289" t="s">
        <v>189</v>
      </c>
      <c r="G10" s="2432"/>
      <c r="H10" s="8"/>
      <c r="I10" s="702"/>
      <c r="J10" s="703"/>
      <c r="K10" s="703"/>
      <c r="L10" s="703"/>
      <c r="M10" s="703"/>
      <c r="N10" s="703"/>
      <c r="O10" s="704"/>
      <c r="P10" s="188"/>
      <c r="Q10" s="188"/>
      <c r="R10" s="3"/>
      <c r="S10" s="3"/>
      <c r="T10" s="3"/>
      <c r="U10" s="3"/>
      <c r="V10" s="3"/>
      <c r="W10" s="3"/>
      <c r="Y10" s="3"/>
      <c r="Z10" s="188" t="s">
        <v>71</v>
      </c>
      <c r="AA10" s="188"/>
      <c r="AB10" s="705"/>
      <c r="AC10" s="816"/>
      <c r="AD10" s="703"/>
      <c r="AE10" s="704"/>
      <c r="AF10" s="695"/>
      <c r="AG10" s="696"/>
      <c r="AH10" s="2290" t="s">
        <v>182</v>
      </c>
      <c r="AI10" s="695"/>
      <c r="AJ10" s="695"/>
      <c r="AK10" s="692"/>
      <c r="AL10" s="692"/>
      <c r="AM10" s="692"/>
      <c r="AN10" s="692"/>
      <c r="AO10" s="705"/>
      <c r="AP10" s="704"/>
      <c r="AQ10" s="3"/>
      <c r="AR10" s="3"/>
      <c r="AS10" s="3"/>
      <c r="AT10" s="694" t="s">
        <v>204</v>
      </c>
      <c r="AU10" s="694"/>
      <c r="AV10" s="2380"/>
      <c r="AW10" s="2380"/>
      <c r="AX10" s="2380"/>
      <c r="AY10" s="2380"/>
      <c r="AZ10" s="2380"/>
      <c r="BA10" s="3"/>
      <c r="BB10" s="3"/>
      <c r="BC10" s="23"/>
      <c r="BD10" s="4"/>
      <c r="BE10" s="4"/>
      <c r="BF10" s="4"/>
      <c r="BG10" s="4"/>
    </row>
    <row r="11" spans="1:89" s="2" customFormat="1" ht="11.25" customHeight="1">
      <c r="A11" s="2379"/>
      <c r="B11" s="187"/>
      <c r="C11" s="695"/>
      <c r="D11" s="188"/>
      <c r="E11" s="695"/>
      <c r="F11" s="695"/>
      <c r="G11" s="695"/>
      <c r="H11" s="188"/>
      <c r="I11" s="188"/>
      <c r="J11" s="188"/>
      <c r="K11" s="188"/>
      <c r="L11" s="188"/>
      <c r="M11" s="188"/>
      <c r="N11" s="188"/>
      <c r="O11" s="188"/>
      <c r="P11" s="188"/>
      <c r="Q11" s="188"/>
      <c r="R11" s="188"/>
      <c r="S11" s="3"/>
      <c r="T11" s="3"/>
      <c r="U11" s="3"/>
      <c r="V11" s="3"/>
      <c r="W11" s="3"/>
      <c r="X11" s="188"/>
      <c r="Y11" s="188"/>
      <c r="Z11" s="188"/>
      <c r="AA11" s="188"/>
      <c r="AB11" s="188"/>
      <c r="AC11" s="188"/>
      <c r="AD11" s="188"/>
      <c r="AE11" s="695"/>
      <c r="AF11" s="695"/>
      <c r="AG11" s="696"/>
      <c r="AH11" s="695"/>
      <c r="AI11" s="695"/>
      <c r="AJ11" s="695"/>
      <c r="AK11" s="692"/>
      <c r="AL11" s="692"/>
      <c r="AM11" s="692"/>
      <c r="AN11" s="692"/>
      <c r="AO11" s="188"/>
      <c r="AP11" s="188"/>
      <c r="AQ11" s="3"/>
      <c r="AR11" s="3"/>
      <c r="AS11" s="694"/>
      <c r="AT11" s="694" t="s">
        <v>205</v>
      </c>
      <c r="AU11" s="694"/>
      <c r="AV11" s="2380"/>
      <c r="AW11" s="2380"/>
      <c r="AX11" s="2380"/>
      <c r="AY11" s="2380"/>
      <c r="AZ11" s="2380"/>
      <c r="BA11" s="3"/>
      <c r="BB11" s="3"/>
      <c r="BC11" s="23"/>
      <c r="BD11" s="4"/>
      <c r="BE11" s="4"/>
      <c r="BF11" s="4"/>
      <c r="BG11" s="4"/>
    </row>
    <row r="12" spans="1:89" s="2" customFormat="1" ht="12.95" customHeight="1">
      <c r="A12" s="2379"/>
      <c r="B12" s="187"/>
      <c r="C12" s="695"/>
      <c r="D12" s="695"/>
      <c r="E12" s="695"/>
      <c r="F12" s="695"/>
      <c r="G12" s="695"/>
      <c r="H12" s="3502"/>
      <c r="I12" s="3503"/>
      <c r="J12" s="3503"/>
      <c r="K12" s="3503"/>
      <c r="L12" s="3503"/>
      <c r="M12" s="3503"/>
      <c r="N12" s="3503"/>
      <c r="O12" s="3503"/>
      <c r="P12" s="3503"/>
      <c r="Q12" s="3503"/>
      <c r="R12" s="3503"/>
      <c r="S12" s="3503"/>
      <c r="T12" s="3503"/>
      <c r="U12" s="3503"/>
      <c r="V12" s="3504"/>
      <c r="W12" s="3"/>
      <c r="X12" s="3"/>
      <c r="Y12" s="3"/>
      <c r="Z12" s="3"/>
      <c r="AA12" s="188"/>
      <c r="AB12" s="1141"/>
      <c r="AC12" s="698"/>
      <c r="AD12" s="698"/>
      <c r="AE12" s="699"/>
      <c r="AF12" s="695"/>
      <c r="AG12" s="696"/>
      <c r="AH12" s="3"/>
      <c r="AI12" s="695"/>
      <c r="AJ12" s="695"/>
      <c r="AK12" s="692"/>
      <c r="AL12" s="692"/>
      <c r="AM12" s="692"/>
      <c r="AN12" s="692"/>
      <c r="AO12" s="1141"/>
      <c r="AP12" s="699"/>
      <c r="AQ12" s="3"/>
      <c r="AR12" s="3"/>
      <c r="AS12" s="694"/>
      <c r="AT12" s="694" t="s">
        <v>206</v>
      </c>
      <c r="AU12" s="694"/>
      <c r="AV12" s="2380"/>
      <c r="AW12" s="2380"/>
      <c r="AX12" s="2380"/>
      <c r="AY12" s="2380"/>
      <c r="AZ12" s="2380"/>
      <c r="BA12" s="3"/>
      <c r="BB12" s="3"/>
      <c r="BC12" s="23"/>
      <c r="BD12" s="4"/>
      <c r="BE12" s="4"/>
      <c r="BF12" s="4"/>
      <c r="BG12" s="4"/>
    </row>
    <row r="13" spans="1:89" s="2" customFormat="1" ht="12.75" customHeight="1">
      <c r="A13" s="2379" t="s">
        <v>1861</v>
      </c>
      <c r="B13" s="187"/>
      <c r="C13" s="695"/>
      <c r="D13" s="695"/>
      <c r="E13" s="695"/>
      <c r="F13" s="695"/>
      <c r="G13" s="695"/>
      <c r="H13" s="3505"/>
      <c r="I13" s="3506"/>
      <c r="J13" s="3506"/>
      <c r="K13" s="3506"/>
      <c r="L13" s="3506"/>
      <c r="M13" s="3506"/>
      <c r="N13" s="3506"/>
      <c r="O13" s="3506"/>
      <c r="P13" s="3506"/>
      <c r="Q13" s="3506"/>
      <c r="R13" s="3506"/>
      <c r="S13" s="3506"/>
      <c r="T13" s="3506"/>
      <c r="U13" s="3506"/>
      <c r="V13" s="3507"/>
      <c r="W13" s="3"/>
      <c r="Y13" s="3"/>
      <c r="Z13" s="188" t="s">
        <v>71</v>
      </c>
      <c r="AA13" s="188"/>
      <c r="AB13" s="705"/>
      <c r="AC13" s="816"/>
      <c r="AD13" s="703"/>
      <c r="AE13" s="704"/>
      <c r="AF13" s="695"/>
      <c r="AG13" s="696"/>
      <c r="AH13" s="2290" t="s">
        <v>218</v>
      </c>
      <c r="AI13" s="695"/>
      <c r="AJ13" s="695"/>
      <c r="AK13" s="692"/>
      <c r="AL13" s="692"/>
      <c r="AM13" s="692"/>
      <c r="AN13" s="692"/>
      <c r="AO13" s="705"/>
      <c r="AP13" s="704"/>
      <c r="AQ13" s="3"/>
      <c r="AR13" s="3"/>
      <c r="AS13" s="694"/>
      <c r="AT13" s="694" t="s">
        <v>207</v>
      </c>
      <c r="AU13" s="694"/>
      <c r="AV13" s="2380"/>
      <c r="AW13" s="2380"/>
      <c r="AX13" s="2380"/>
      <c r="AY13" s="2380"/>
      <c r="AZ13" s="2380"/>
      <c r="BA13" s="3"/>
      <c r="BB13" s="3"/>
      <c r="BC13" s="23"/>
      <c r="BD13" s="4"/>
      <c r="BE13" s="4"/>
      <c r="BF13" s="3"/>
      <c r="BG13" s="3"/>
      <c r="BH13" s="3541"/>
      <c r="BI13" s="3541"/>
      <c r="BJ13" s="3541"/>
      <c r="BK13" s="3541"/>
      <c r="BL13" s="3541"/>
      <c r="BM13" s="3541"/>
      <c r="BN13" s="3541"/>
      <c r="BO13" s="3541"/>
      <c r="BP13" s="3541"/>
      <c r="BQ13" s="3541"/>
      <c r="BR13" s="3541"/>
      <c r="BS13" s="3541"/>
      <c r="BT13" s="3541"/>
      <c r="BU13" s="3541"/>
      <c r="BV13" s="3541"/>
      <c r="BW13" s="3541"/>
      <c r="BX13" s="3541"/>
      <c r="BY13" s="3541"/>
      <c r="BZ13" s="3541"/>
      <c r="CA13" s="3541"/>
      <c r="CB13" s="3541"/>
      <c r="CC13" s="3541"/>
      <c r="CD13" s="3541"/>
      <c r="CE13" s="3541"/>
      <c r="CF13" s="3541"/>
      <c r="CG13" s="3541"/>
      <c r="CH13" s="3541"/>
      <c r="CI13" s="3541"/>
      <c r="CJ13" s="3541"/>
      <c r="CK13" s="3541"/>
    </row>
    <row r="14" spans="1:89" s="2" customFormat="1" ht="6.75" customHeight="1">
      <c r="A14" s="2379"/>
      <c r="B14" s="187"/>
      <c r="C14" s="695"/>
      <c r="D14" s="188"/>
      <c r="E14" s="695"/>
      <c r="F14" s="695"/>
      <c r="G14" s="695"/>
      <c r="H14" s="188"/>
      <c r="I14" s="188"/>
      <c r="J14" s="188"/>
      <c r="K14" s="188"/>
      <c r="L14" s="188"/>
      <c r="M14" s="188"/>
      <c r="N14" s="188"/>
      <c r="O14" s="188"/>
      <c r="P14" s="188"/>
      <c r="Q14" s="188"/>
      <c r="R14" s="188"/>
      <c r="S14" s="3"/>
      <c r="T14" s="3"/>
      <c r="U14" s="3"/>
      <c r="V14" s="3"/>
      <c r="W14" s="3"/>
      <c r="X14" s="188"/>
      <c r="Y14" s="188"/>
      <c r="Z14" s="188"/>
      <c r="AA14" s="188"/>
      <c r="AB14" s="188"/>
      <c r="AC14" s="188"/>
      <c r="AD14" s="188"/>
      <c r="AE14" s="695"/>
      <c r="AF14" s="695"/>
      <c r="AG14" s="696"/>
      <c r="AH14" s="3430"/>
      <c r="AI14" s="695"/>
      <c r="AJ14" s="695"/>
      <c r="AK14" s="692"/>
      <c r="AL14" s="692"/>
      <c r="AM14" s="692"/>
      <c r="AN14" s="692"/>
      <c r="AO14" s="188"/>
      <c r="AP14" s="188"/>
      <c r="AQ14" s="3"/>
      <c r="AR14" s="3"/>
      <c r="AS14" s="694"/>
      <c r="AT14" s="694"/>
      <c r="AU14" s="694"/>
      <c r="AV14" s="2380"/>
      <c r="AW14" s="2380"/>
      <c r="AX14" s="2380"/>
      <c r="AY14" s="2380"/>
      <c r="AZ14" s="2380"/>
      <c r="BA14" s="3"/>
      <c r="BB14" s="3"/>
      <c r="BC14" s="23"/>
      <c r="BD14" s="4"/>
      <c r="BE14" s="4"/>
      <c r="BF14" s="3501"/>
      <c r="BG14" s="3541"/>
      <c r="BH14" s="695"/>
      <c r="BI14" s="695"/>
      <c r="BJ14" s="695"/>
      <c r="BK14" s="695"/>
      <c r="BL14" s="695"/>
      <c r="BM14" s="188"/>
      <c r="BN14" s="188"/>
      <c r="BO14" s="188"/>
      <c r="BP14" s="188"/>
      <c r="BQ14" s="690"/>
      <c r="BR14" s="3541"/>
      <c r="BS14" s="3541"/>
      <c r="BT14" s="3541"/>
      <c r="BU14" s="3541"/>
      <c r="BV14" s="3541"/>
      <c r="BW14" s="3541"/>
      <c r="BX14" s="3541"/>
      <c r="BY14" s="3541"/>
      <c r="BZ14" s="3541"/>
      <c r="CA14" s="3541"/>
      <c r="CB14" s="3541"/>
      <c r="CC14" s="3541"/>
      <c r="CD14" s="3541"/>
      <c r="CE14" s="3541"/>
      <c r="CF14" s="3541"/>
      <c r="CG14" s="3541"/>
      <c r="CH14" s="3541"/>
      <c r="CI14" s="3541"/>
      <c r="CJ14" s="3541"/>
      <c r="CK14" s="3541"/>
    </row>
    <row r="15" spans="1:89" s="2" customFormat="1" ht="12.75" customHeight="1">
      <c r="B15" s="187"/>
      <c r="C15" s="695"/>
      <c r="D15" s="695"/>
      <c r="E15" s="695"/>
      <c r="F15" s="2382"/>
      <c r="G15" s="2383"/>
      <c r="H15" s="698"/>
      <c r="I15" s="698"/>
      <c r="J15" s="698"/>
      <c r="K15" s="698"/>
      <c r="L15" s="698"/>
      <c r="M15" s="698"/>
      <c r="N15" s="698"/>
      <c r="O15" s="698"/>
      <c r="P15" s="698"/>
      <c r="Q15" s="3455"/>
      <c r="R15" s="1141"/>
      <c r="S15" s="717"/>
      <c r="T15" s="717"/>
      <c r="U15" s="717"/>
      <c r="V15" s="717"/>
      <c r="W15" s="3454"/>
      <c r="AC15" s="1141"/>
      <c r="AD15" s="698"/>
      <c r="AE15" s="708"/>
      <c r="AF15" s="695"/>
      <c r="AG15" s="696"/>
      <c r="AH15" s="3430"/>
      <c r="AI15" s="695"/>
      <c r="AJ15" s="695"/>
      <c r="AK15" s="692"/>
      <c r="AL15" s="692"/>
      <c r="AM15" s="692"/>
      <c r="AN15" s="692"/>
      <c r="AO15" s="188"/>
      <c r="AP15" s="188"/>
      <c r="AQ15" s="3"/>
      <c r="AR15" s="3"/>
      <c r="AS15" s="694"/>
      <c r="AT15" s="694"/>
      <c r="AU15" s="694"/>
      <c r="AV15" s="2380"/>
      <c r="AW15" s="2380"/>
      <c r="AX15" s="2380"/>
      <c r="AY15" s="2380"/>
      <c r="AZ15" s="2380"/>
      <c r="BA15" s="3"/>
      <c r="BB15" s="3"/>
      <c r="BC15" s="23"/>
      <c r="BD15" s="4"/>
      <c r="BE15" s="4"/>
      <c r="BF15" s="3501"/>
      <c r="BG15" s="3541"/>
      <c r="BH15" s="695"/>
      <c r="BI15" s="695"/>
      <c r="BJ15" s="695"/>
      <c r="BK15" s="695"/>
      <c r="BL15" s="695"/>
      <c r="BM15" s="188"/>
      <c r="BN15" s="188"/>
      <c r="BO15" s="188"/>
      <c r="BP15" s="188"/>
      <c r="BQ15" s="690"/>
      <c r="BR15" s="3541"/>
      <c r="BS15" s="3541"/>
      <c r="BT15" s="3541"/>
      <c r="BU15" s="3541"/>
      <c r="BV15" s="3541"/>
      <c r="BW15" s="3541"/>
      <c r="BX15" s="3541"/>
      <c r="BY15" s="3541"/>
      <c r="BZ15" s="3541"/>
      <c r="CA15" s="3541"/>
      <c r="CB15" s="3541"/>
      <c r="CC15" s="3541"/>
      <c r="CD15" s="3541"/>
      <c r="CE15" s="3541"/>
      <c r="CF15" s="3541"/>
      <c r="CG15" s="3541"/>
      <c r="CH15" s="3541"/>
      <c r="CI15" s="3541"/>
      <c r="CJ15" s="3541"/>
      <c r="CK15" s="3541"/>
    </row>
    <row r="16" spans="1:89" s="2" customFormat="1" ht="14.25" customHeight="1">
      <c r="A16" s="2379" t="s">
        <v>187</v>
      </c>
      <c r="B16" s="187"/>
      <c r="C16" s="695"/>
      <c r="D16" s="188"/>
      <c r="E16" s="695"/>
      <c r="F16" s="701"/>
      <c r="G16" s="816"/>
      <c r="H16" s="703"/>
      <c r="I16" s="816"/>
      <c r="J16" s="703"/>
      <c r="K16" s="816"/>
      <c r="L16" s="703"/>
      <c r="M16" s="816"/>
      <c r="N16" s="703"/>
      <c r="O16" s="816"/>
      <c r="P16" s="703"/>
      <c r="Q16" s="702"/>
      <c r="R16" s="705"/>
      <c r="S16" s="816"/>
      <c r="T16" s="703"/>
      <c r="U16" s="702"/>
      <c r="V16" s="709"/>
      <c r="W16" s="815"/>
      <c r="X16" s="3670" t="s">
        <v>190</v>
      </c>
      <c r="Y16" s="3667"/>
      <c r="Z16" s="3667"/>
      <c r="AA16" s="3667"/>
      <c r="AB16" s="3668"/>
      <c r="AC16" s="705"/>
      <c r="AD16" s="703"/>
      <c r="AE16" s="816"/>
      <c r="AF16" s="695"/>
      <c r="AG16" s="696"/>
      <c r="AH16" s="695"/>
      <c r="AI16" s="695"/>
      <c r="AJ16" s="695"/>
      <c r="AK16" s="692"/>
      <c r="AL16" s="692"/>
      <c r="AM16" s="692"/>
      <c r="AN16" s="692"/>
      <c r="AO16" s="188"/>
      <c r="AP16" s="188"/>
      <c r="AQ16" s="3"/>
      <c r="AR16" s="3"/>
      <c r="AS16" s="694"/>
      <c r="AU16" s="694"/>
      <c r="AV16" s="2380"/>
      <c r="AW16" s="2380"/>
      <c r="AX16" s="2380"/>
      <c r="AY16" s="2380"/>
      <c r="AZ16" s="2380"/>
      <c r="BA16" s="3"/>
      <c r="BB16" s="3"/>
      <c r="BC16" s="23"/>
      <c r="BD16" s="4"/>
      <c r="BE16" s="4"/>
      <c r="BF16" s="3"/>
      <c r="BG16" s="3"/>
      <c r="BH16" s="3541"/>
      <c r="BI16" s="3541"/>
      <c r="BJ16" s="3541"/>
      <c r="BK16" s="3541"/>
      <c r="BL16" s="3541"/>
      <c r="BM16" s="3541"/>
      <c r="BN16" s="3541"/>
      <c r="BO16" s="3541"/>
      <c r="BP16" s="3541"/>
      <c r="BQ16" s="3541"/>
      <c r="BR16" s="3541"/>
      <c r="BS16" s="3541"/>
      <c r="BT16" s="3541"/>
      <c r="BU16" s="3541"/>
      <c r="BV16" s="3541"/>
      <c r="BW16" s="3541"/>
      <c r="BX16" s="3541"/>
      <c r="BY16" s="3541"/>
      <c r="BZ16" s="3541"/>
      <c r="CA16" s="3541"/>
      <c r="CB16" s="3541"/>
      <c r="CC16" s="3541"/>
      <c r="CD16" s="3541"/>
      <c r="CE16" s="3541"/>
      <c r="CF16" s="3541"/>
      <c r="CG16" s="3541"/>
      <c r="CH16" s="3541"/>
      <c r="CI16" s="3541"/>
      <c r="CJ16" s="3541"/>
      <c r="CK16" s="3541"/>
    </row>
    <row r="17" spans="1:89" s="2" customFormat="1" ht="11.25" customHeight="1">
      <c r="A17" s="2379"/>
      <c r="B17" s="187"/>
      <c r="C17" s="695"/>
      <c r="D17" s="188"/>
      <c r="E17" s="695"/>
      <c r="F17" s="695"/>
      <c r="G17" s="695"/>
      <c r="H17" s="188"/>
      <c r="I17" s="188"/>
      <c r="J17" s="188"/>
      <c r="K17" s="188"/>
      <c r="L17" s="188"/>
      <c r="M17" s="188"/>
      <c r="N17" s="188"/>
      <c r="O17" s="188"/>
      <c r="P17" s="188"/>
      <c r="Q17" s="188"/>
      <c r="R17" s="188"/>
      <c r="S17" s="3"/>
      <c r="T17" s="3"/>
      <c r="U17" s="3"/>
      <c r="V17" s="3"/>
      <c r="W17" s="3"/>
      <c r="X17" s="188"/>
      <c r="Y17" s="188"/>
      <c r="Z17" s="188"/>
      <c r="AA17" s="188"/>
      <c r="AB17" s="188"/>
      <c r="AC17" s="188"/>
      <c r="AD17" s="188"/>
      <c r="AE17" s="695"/>
      <c r="AF17" s="695"/>
      <c r="AG17" s="696"/>
      <c r="AH17" s="695"/>
      <c r="AI17" s="695"/>
      <c r="AJ17" s="695"/>
      <c r="AK17" s="692"/>
      <c r="AL17" s="692"/>
      <c r="AM17" s="692"/>
      <c r="AN17" s="692"/>
      <c r="AO17" s="188"/>
      <c r="AP17" s="188"/>
      <c r="AQ17" s="3"/>
      <c r="AR17" s="3"/>
      <c r="AS17" s="694"/>
      <c r="AT17" s="694"/>
      <c r="AU17" s="694"/>
      <c r="AV17" s="2380"/>
      <c r="AW17" s="2380"/>
      <c r="AX17" s="2380"/>
      <c r="AY17" s="2380"/>
      <c r="AZ17" s="2380"/>
      <c r="BA17" s="3"/>
      <c r="BB17" s="3"/>
      <c r="BC17" s="23"/>
      <c r="BD17" s="4"/>
      <c r="BE17" s="4"/>
      <c r="BF17" s="3"/>
      <c r="BG17" s="3"/>
      <c r="BH17" s="3541"/>
      <c r="BI17" s="3541"/>
      <c r="BJ17" s="3541"/>
      <c r="BK17" s="3541"/>
      <c r="BL17" s="3541"/>
      <c r="BM17" s="3541"/>
      <c r="BN17" s="3541"/>
      <c r="BO17" s="3541"/>
      <c r="BP17" s="3541"/>
      <c r="BQ17" s="3541"/>
      <c r="BR17" s="3541"/>
      <c r="BS17" s="3541"/>
      <c r="BT17" s="3541"/>
      <c r="BU17" s="3541"/>
      <c r="BV17" s="3541"/>
      <c r="BW17" s="3541"/>
      <c r="BX17" s="3541"/>
      <c r="BY17" s="3541"/>
      <c r="BZ17" s="3541"/>
      <c r="CA17" s="3541"/>
      <c r="CB17" s="3541"/>
      <c r="CC17" s="3541"/>
      <c r="CD17" s="3541"/>
      <c r="CE17" s="3541"/>
      <c r="CF17" s="3541"/>
      <c r="CG17" s="3541"/>
      <c r="CH17" s="3541"/>
      <c r="CI17" s="3541"/>
      <c r="CJ17" s="3541"/>
      <c r="CK17" s="3541"/>
    </row>
    <row r="18" spans="1:89" s="2" customFormat="1" ht="13.5" customHeight="1">
      <c r="A18" s="3669" t="s">
        <v>1882</v>
      </c>
      <c r="B18" s="3669"/>
      <c r="C18" s="3669"/>
      <c r="D18" s="3669"/>
      <c r="E18" s="3669"/>
      <c r="F18" s="1141"/>
      <c r="G18" s="700"/>
      <c r="N18" s="188"/>
      <c r="O18" s="3560" t="s">
        <v>1836</v>
      </c>
      <c r="Q18" s="695"/>
      <c r="R18" s="695"/>
      <c r="S18" s="695"/>
      <c r="T18" s="3"/>
      <c r="U18" s="3"/>
      <c r="V18" s="24"/>
      <c r="W18" s="3"/>
      <c r="X18" s="3"/>
      <c r="Y18" s="3576"/>
      <c r="Z18" s="3577"/>
      <c r="AA18" s="3578"/>
      <c r="AB18" s="3578"/>
      <c r="AC18" s="3578"/>
      <c r="AD18" s="3579"/>
      <c r="AE18" s="188"/>
      <c r="AF18" s="695"/>
      <c r="AG18" s="696"/>
      <c r="AH18" s="3666" t="s">
        <v>655</v>
      </c>
      <c r="AI18" s="3666"/>
      <c r="AJ18" s="3666"/>
      <c r="AK18" s="3666"/>
      <c r="AL18" s="3666"/>
      <c r="AM18" s="3666"/>
      <c r="AN18" s="3666"/>
      <c r="AO18" s="3666"/>
      <c r="AP18" s="3666"/>
      <c r="AQ18" s="3666"/>
      <c r="AR18" s="3666"/>
      <c r="AS18" s="3666"/>
      <c r="AT18" s="3666"/>
      <c r="AU18" s="3666"/>
      <c r="AV18" s="3666"/>
      <c r="AW18" s="3666"/>
      <c r="AX18" s="3666"/>
      <c r="AY18" s="3666"/>
      <c r="AZ18" s="3666"/>
      <c r="BA18" s="3"/>
      <c r="BB18" s="3"/>
      <c r="BC18" s="23"/>
      <c r="BD18" s="4"/>
      <c r="BE18" s="4"/>
      <c r="BF18" s="3501"/>
      <c r="BG18" s="187"/>
      <c r="BH18" s="695"/>
      <c r="BI18" s="188"/>
      <c r="BJ18" s="695"/>
      <c r="BK18" s="695"/>
      <c r="BL18" s="695"/>
      <c r="BM18" s="188"/>
      <c r="BN18" s="188"/>
      <c r="BO18" s="188"/>
      <c r="BP18" s="188"/>
      <c r="BQ18" s="188"/>
      <c r="BR18" s="188"/>
      <c r="BS18" s="188"/>
      <c r="BT18" s="188"/>
      <c r="BU18" s="188"/>
      <c r="BV18" s="188"/>
      <c r="BW18" s="188"/>
      <c r="BX18" s="3"/>
      <c r="BY18" s="3"/>
      <c r="BZ18" s="3"/>
      <c r="CA18" s="3"/>
      <c r="CB18" s="3"/>
      <c r="CC18" s="188"/>
      <c r="CD18" s="188"/>
      <c r="CE18" s="188"/>
      <c r="CF18" s="188"/>
      <c r="CG18" s="188"/>
      <c r="CH18" s="188"/>
      <c r="CI18" s="188"/>
      <c r="CJ18" s="695"/>
      <c r="CK18" s="695"/>
    </row>
    <row r="19" spans="1:89" s="2" customFormat="1" ht="11.25" customHeight="1">
      <c r="A19" s="2379"/>
      <c r="C19" s="695"/>
      <c r="D19" s="695"/>
      <c r="E19" s="695"/>
      <c r="F19" s="705"/>
      <c r="G19" s="704"/>
      <c r="N19" s="188"/>
      <c r="O19" s="188"/>
      <c r="P19" s="188"/>
      <c r="Q19" s="188"/>
      <c r="R19" s="188"/>
      <c r="S19" s="3"/>
      <c r="T19" s="3"/>
      <c r="U19" s="3"/>
      <c r="V19" s="3"/>
      <c r="W19" s="3"/>
      <c r="X19" s="2402"/>
      <c r="Y19" s="3580"/>
      <c r="Z19" s="3581"/>
      <c r="AA19" s="3582"/>
      <c r="AB19" s="3581"/>
      <c r="AC19" s="3582"/>
      <c r="AD19" s="3581"/>
      <c r="AE19" s="695"/>
      <c r="AF19" s="695"/>
      <c r="AG19" s="696"/>
      <c r="AH19" s="2384"/>
      <c r="AI19" s="2384"/>
      <c r="AJ19" s="2384"/>
      <c r="AK19" s="2385"/>
      <c r="AL19" s="2385"/>
      <c r="AM19" s="2385"/>
      <c r="AN19" s="2385"/>
      <c r="AO19" s="2386"/>
      <c r="AP19" s="2386"/>
      <c r="AQ19" s="2384"/>
      <c r="AR19" s="2384"/>
      <c r="AS19" s="2384"/>
      <c r="AT19" s="2387"/>
      <c r="AU19" s="2388"/>
      <c r="AV19" s="2388"/>
      <c r="AW19" s="2388"/>
      <c r="AX19" s="2388"/>
      <c r="AY19" s="2388"/>
      <c r="AZ19" s="2388"/>
      <c r="BA19" s="2388"/>
      <c r="BB19" s="2388"/>
      <c r="BC19" s="23"/>
      <c r="BD19" s="4"/>
      <c r="BE19" s="4"/>
      <c r="BF19" s="3541"/>
      <c r="BG19" s="187"/>
      <c r="BH19" s="695"/>
      <c r="BI19" s="695"/>
      <c r="BJ19" s="695"/>
      <c r="BK19" s="695"/>
      <c r="BL19" s="695"/>
      <c r="BM19" s="188"/>
      <c r="BN19" s="188"/>
      <c r="BO19" s="188"/>
      <c r="BP19" s="188"/>
      <c r="BQ19" s="188"/>
      <c r="BR19" s="188"/>
      <c r="BS19" s="188"/>
      <c r="BT19" s="188"/>
      <c r="BU19" s="188"/>
      <c r="BV19" s="188"/>
      <c r="BW19" s="188"/>
      <c r="BX19" s="3"/>
      <c r="BY19" s="3"/>
      <c r="BZ19" s="3"/>
      <c r="CA19" s="3"/>
      <c r="CB19" s="3"/>
      <c r="CC19" s="3541"/>
      <c r="CD19" s="3541"/>
      <c r="CE19" s="3541"/>
      <c r="CF19" s="3541"/>
      <c r="CG19" s="3541"/>
      <c r="CH19" s="188"/>
      <c r="CI19" s="188"/>
      <c r="CJ19" s="695"/>
      <c r="CK19" s="695"/>
    </row>
    <row r="20" spans="1:89" s="2" customFormat="1" ht="7.5" customHeight="1">
      <c r="A20" s="2379"/>
      <c r="C20" s="695"/>
      <c r="D20" s="695"/>
      <c r="E20" s="695"/>
      <c r="F20" s="695"/>
      <c r="G20" s="695"/>
      <c r="H20" s="188"/>
      <c r="I20" s="188"/>
      <c r="J20" s="188"/>
      <c r="K20" s="188"/>
      <c r="L20" s="690"/>
      <c r="M20" s="188"/>
      <c r="N20" s="188"/>
      <c r="O20" s="188"/>
      <c r="P20" s="188"/>
      <c r="Q20" s="188"/>
      <c r="R20" s="188"/>
      <c r="S20" s="3"/>
      <c r="T20" s="3"/>
      <c r="U20" s="3"/>
      <c r="V20" s="3"/>
      <c r="W20" s="3"/>
      <c r="X20" s="188"/>
      <c r="AE20" s="695"/>
      <c r="AF20" s="695"/>
      <c r="AG20" s="696"/>
      <c r="AH20" s="695"/>
      <c r="AI20" s="695"/>
      <c r="AJ20" s="695"/>
      <c r="AK20" s="692"/>
      <c r="AL20" s="692"/>
      <c r="AM20" s="692"/>
      <c r="AN20" s="692"/>
      <c r="AO20" s="188"/>
      <c r="AP20" s="188"/>
      <c r="AQ20" s="695"/>
      <c r="AR20" s="695"/>
      <c r="AS20" s="695"/>
      <c r="AT20" s="81"/>
      <c r="AU20" s="3"/>
      <c r="AV20" s="3"/>
      <c r="AW20" s="3"/>
      <c r="AX20" s="3"/>
      <c r="AY20" s="3"/>
      <c r="AZ20" s="3"/>
      <c r="BA20" s="3"/>
      <c r="BB20" s="3"/>
      <c r="BC20" s="23"/>
      <c r="BD20" s="4"/>
      <c r="BE20" s="4"/>
      <c r="BF20" s="3541"/>
      <c r="BG20" s="187"/>
      <c r="BH20" s="695"/>
      <c r="BI20" s="695"/>
      <c r="BJ20" s="695"/>
      <c r="BK20" s="695"/>
      <c r="BL20" s="695"/>
      <c r="BM20" s="188"/>
      <c r="BN20" s="188"/>
      <c r="BO20" s="188"/>
      <c r="BP20" s="188"/>
      <c r="BQ20" s="188"/>
      <c r="BR20" s="188"/>
      <c r="BS20" s="188"/>
      <c r="BT20" s="188"/>
      <c r="BU20" s="188"/>
      <c r="BV20" s="188"/>
      <c r="BW20" s="188"/>
      <c r="BX20" s="3"/>
      <c r="BY20" s="3"/>
      <c r="BZ20" s="3"/>
      <c r="CA20" s="3"/>
      <c r="CB20" s="3"/>
      <c r="CC20" s="3541"/>
      <c r="CD20" s="3541"/>
      <c r="CE20" s="3541"/>
      <c r="CF20" s="3541"/>
      <c r="CG20" s="3541"/>
      <c r="CH20" s="188"/>
      <c r="CI20" s="188"/>
      <c r="CJ20" s="695"/>
      <c r="CK20" s="695"/>
    </row>
    <row r="21" spans="1:89" s="2" customFormat="1" ht="6.6" customHeight="1">
      <c r="A21" s="2379"/>
      <c r="B21" s="187"/>
      <c r="C21" s="695"/>
      <c r="D21" s="695"/>
      <c r="E21" s="695"/>
      <c r="F21" s="695"/>
      <c r="G21" s="695"/>
      <c r="H21" s="1141"/>
      <c r="I21" s="698"/>
      <c r="J21" s="698"/>
      <c r="K21" s="699"/>
      <c r="L21" s="188"/>
      <c r="M21" s="188"/>
      <c r="N21" s="188"/>
      <c r="O21" s="188"/>
      <c r="P21" s="188"/>
      <c r="Q21" s="188"/>
      <c r="R21" s="3"/>
      <c r="S21" s="3"/>
      <c r="T21" s="3"/>
      <c r="U21" s="3"/>
      <c r="V21" s="3"/>
      <c r="W21" s="3"/>
      <c r="X21" s="3"/>
      <c r="Y21" s="3"/>
      <c r="Z21" s="3"/>
      <c r="AA21" s="188"/>
      <c r="AB21" s="188"/>
      <c r="AC21" s="188"/>
      <c r="AD21" s="188"/>
      <c r="AE21" s="188"/>
      <c r="AF21" s="695"/>
      <c r="AG21" s="696"/>
      <c r="AH21" s="2389"/>
      <c r="AI21" s="2389"/>
      <c r="AJ21" s="2389"/>
      <c r="AK21" s="2389"/>
      <c r="AL21" s="2390"/>
      <c r="AM21" s="2391"/>
      <c r="AN21" s="2390"/>
      <c r="AO21" s="2390"/>
      <c r="AP21" s="2390"/>
      <c r="AQ21" s="2390"/>
      <c r="AR21" s="2390"/>
      <c r="AS21" s="2390"/>
      <c r="AT21" s="2392"/>
      <c r="AU21" s="2393"/>
      <c r="AV21" s="2393"/>
      <c r="AW21" s="2393"/>
      <c r="AX21" s="2393"/>
      <c r="AY21" s="2393"/>
      <c r="AZ21" s="2393"/>
      <c r="BA21" s="2393"/>
      <c r="BB21" s="2393"/>
      <c r="BC21" s="23"/>
      <c r="BD21" s="4"/>
      <c r="BE21" s="4"/>
      <c r="BF21" s="3501"/>
      <c r="BG21" s="187"/>
      <c r="BH21" s="695"/>
      <c r="BI21" s="188"/>
      <c r="BJ21" s="695"/>
      <c r="BK21" s="695"/>
      <c r="BL21" s="695"/>
      <c r="BM21" s="188"/>
      <c r="BN21" s="695"/>
      <c r="BO21" s="188"/>
      <c r="BP21" s="695"/>
      <c r="BQ21" s="188"/>
      <c r="BR21" s="695"/>
      <c r="BS21" s="188"/>
      <c r="BT21" s="695"/>
      <c r="BU21" s="188"/>
      <c r="BV21" s="695"/>
      <c r="BW21" s="188"/>
      <c r="BX21" s="695"/>
      <c r="BY21" s="188"/>
      <c r="BZ21" s="695"/>
      <c r="CA21" s="3"/>
      <c r="CB21" s="3"/>
      <c r="CC21" s="3667"/>
      <c r="CD21" s="3667"/>
      <c r="CE21" s="3667"/>
      <c r="CF21" s="3667"/>
      <c r="CG21" s="3667"/>
      <c r="CH21" s="188"/>
      <c r="CI21" s="188"/>
      <c r="CJ21" s="695"/>
      <c r="CK21" s="695"/>
    </row>
    <row r="22" spans="1:89" s="2" customFormat="1" ht="18.75" customHeight="1">
      <c r="A22" s="2379" t="s">
        <v>1862</v>
      </c>
      <c r="B22" s="187"/>
      <c r="C22" s="695"/>
      <c r="D22" s="695"/>
      <c r="E22" s="695"/>
      <c r="F22" s="695"/>
      <c r="G22" s="695"/>
      <c r="H22" s="705"/>
      <c r="I22" s="816"/>
      <c r="J22" s="703"/>
      <c r="K22" s="704"/>
      <c r="L22" s="188"/>
      <c r="M22" s="188"/>
      <c r="N22" s="188"/>
      <c r="O22" s="188"/>
      <c r="P22" s="188"/>
      <c r="Q22" s="188"/>
      <c r="R22" s="3"/>
      <c r="S22" s="3"/>
      <c r="T22" s="3"/>
      <c r="U22" s="3"/>
      <c r="V22" s="3"/>
      <c r="W22" s="3"/>
      <c r="X22" s="3"/>
      <c r="Y22" s="3"/>
      <c r="Z22" s="3"/>
      <c r="AA22" s="188"/>
      <c r="AB22" s="188"/>
      <c r="AC22" s="188"/>
      <c r="AD22" s="188"/>
      <c r="AE22" s="188"/>
      <c r="AF22" s="695"/>
      <c r="AG22" s="696"/>
      <c r="AH22" s="2384"/>
      <c r="AI22" s="2384"/>
      <c r="AJ22" s="2384"/>
      <c r="AK22" s="2385"/>
      <c r="AL22" s="2385"/>
      <c r="AM22" s="2385"/>
      <c r="AN22" s="2385"/>
      <c r="AO22" s="2386"/>
      <c r="AP22" s="2386"/>
      <c r="AQ22" s="2384"/>
      <c r="AR22" s="2384"/>
      <c r="AS22" s="2384"/>
      <c r="AT22" s="2387"/>
      <c r="AU22" s="2388"/>
      <c r="AV22" s="2388"/>
      <c r="AW22" s="2388"/>
      <c r="AX22" s="2388"/>
      <c r="AY22" s="2388"/>
      <c r="AZ22" s="2388"/>
      <c r="BA22" s="2388"/>
      <c r="BB22" s="2388"/>
      <c r="BC22" s="23"/>
      <c r="BD22" s="4"/>
      <c r="BE22" s="4"/>
      <c r="BF22" s="3501"/>
      <c r="BG22" s="187"/>
      <c r="BH22" s="695"/>
      <c r="BI22" s="188"/>
      <c r="BJ22" s="695"/>
      <c r="BK22" s="695"/>
      <c r="BL22" s="695"/>
      <c r="BM22" s="188"/>
      <c r="BN22" s="188"/>
      <c r="BO22" s="188"/>
      <c r="BP22" s="188"/>
      <c r="BQ22" s="188"/>
      <c r="BR22" s="188"/>
      <c r="BS22" s="188"/>
      <c r="BT22" s="188"/>
      <c r="BU22" s="188"/>
      <c r="BV22" s="188"/>
      <c r="BW22" s="188"/>
      <c r="BX22" s="3"/>
      <c r="BY22" s="3"/>
      <c r="BZ22" s="3"/>
      <c r="CA22" s="3"/>
      <c r="CB22" s="3"/>
      <c r="CC22" s="188"/>
      <c r="CD22" s="188"/>
      <c r="CE22" s="188"/>
      <c r="CF22" s="188"/>
      <c r="CG22" s="188"/>
      <c r="CH22" s="188"/>
      <c r="CI22" s="188"/>
      <c r="CJ22" s="695"/>
      <c r="CK22" s="695"/>
    </row>
    <row r="23" spans="1:89" s="2" customFormat="1" ht="7.5" customHeight="1">
      <c r="A23" s="2379"/>
      <c r="B23" s="187"/>
      <c r="C23" s="695"/>
      <c r="D23" s="188"/>
      <c r="E23" s="695"/>
      <c r="F23" s="695"/>
      <c r="G23" s="695"/>
      <c r="H23" s="188"/>
      <c r="I23" s="188"/>
      <c r="J23" s="188"/>
      <c r="K23" s="188"/>
      <c r="L23" s="188"/>
      <c r="M23" s="188"/>
      <c r="N23" s="188"/>
      <c r="O23" s="188"/>
      <c r="P23" s="188"/>
      <c r="Q23" s="188"/>
      <c r="R23" s="188"/>
      <c r="S23" s="3"/>
      <c r="T23" s="3"/>
      <c r="U23" s="3"/>
      <c r="V23" s="3"/>
      <c r="W23" s="3"/>
      <c r="X23" s="188"/>
      <c r="Y23" s="188"/>
      <c r="Z23" s="188"/>
      <c r="AA23" s="188"/>
      <c r="AB23" s="188"/>
      <c r="AC23" s="188"/>
      <c r="AD23" s="188"/>
      <c r="AE23" s="695"/>
      <c r="AF23" s="695"/>
      <c r="AG23" s="696"/>
      <c r="AH23" s="2394"/>
      <c r="AI23" s="2394"/>
      <c r="AJ23" s="2394"/>
      <c r="AK23" s="2389"/>
      <c r="AL23" s="2389"/>
      <c r="AM23" s="2389"/>
      <c r="AN23" s="2389"/>
      <c r="AO23" s="2390"/>
      <c r="AP23" s="2390"/>
      <c r="AQ23" s="2394"/>
      <c r="AR23" s="2394"/>
      <c r="AS23" s="2394"/>
      <c r="AT23" s="2395"/>
      <c r="AU23" s="2393"/>
      <c r="AV23" s="2393"/>
      <c r="AW23" s="2393"/>
      <c r="AX23" s="2393"/>
      <c r="AY23" s="2393"/>
      <c r="AZ23" s="2393"/>
      <c r="BA23" s="2393"/>
      <c r="BB23" s="2393"/>
      <c r="BC23" s="23"/>
      <c r="BD23" s="4"/>
      <c r="BE23" s="4"/>
      <c r="BF23" s="3501"/>
      <c r="BG23" s="187"/>
      <c r="BH23" s="695"/>
      <c r="BI23" s="695"/>
      <c r="BJ23" s="695"/>
      <c r="BK23" s="695"/>
      <c r="BL23" s="695"/>
      <c r="BM23" s="188"/>
      <c r="BN23" s="188"/>
      <c r="BO23" s="188"/>
      <c r="BP23" s="188"/>
      <c r="BQ23" s="188"/>
      <c r="BR23" s="188"/>
      <c r="BS23" s="188"/>
      <c r="BT23" s="188"/>
      <c r="BU23" s="188"/>
      <c r="BV23" s="188"/>
      <c r="BW23" s="3"/>
      <c r="BX23" s="3"/>
      <c r="BY23" s="3"/>
      <c r="BZ23" s="3"/>
      <c r="CA23" s="3"/>
      <c r="CB23" s="3"/>
      <c r="CC23" s="3"/>
      <c r="CD23" s="3"/>
      <c r="CE23" s="3"/>
      <c r="CF23" s="188"/>
      <c r="CG23" s="188"/>
      <c r="CH23" s="188"/>
      <c r="CI23" s="188"/>
      <c r="CJ23" s="188"/>
      <c r="CK23" s="695"/>
    </row>
    <row r="24" spans="1:89" s="2" customFormat="1" ht="6.6" customHeight="1">
      <c r="A24" s="2379"/>
      <c r="B24" s="187"/>
      <c r="C24" s="695"/>
      <c r="D24" s="695"/>
      <c r="E24" s="695"/>
      <c r="F24" s="3"/>
      <c r="G24" s="3"/>
      <c r="H24" s="1141"/>
      <c r="I24" s="698"/>
      <c r="J24" s="698"/>
      <c r="K24" s="699"/>
      <c r="L24" s="188"/>
      <c r="M24" s="188"/>
      <c r="N24" s="188"/>
      <c r="O24" s="1141"/>
      <c r="P24" s="698"/>
      <c r="Q24" s="698"/>
      <c r="R24" s="698"/>
      <c r="S24" s="698"/>
      <c r="T24" s="698"/>
      <c r="U24" s="698"/>
      <c r="V24" s="708"/>
      <c r="W24" s="3"/>
      <c r="X24" s="1141"/>
      <c r="Y24" s="698"/>
      <c r="Z24" s="698"/>
      <c r="AA24" s="698"/>
      <c r="AB24" s="698"/>
      <c r="AC24" s="698"/>
      <c r="AD24" s="698"/>
      <c r="AE24" s="708"/>
      <c r="AF24" s="695"/>
      <c r="AG24" s="696"/>
      <c r="AH24" s="2396"/>
      <c r="AI24" s="2396"/>
      <c r="AJ24" s="2396"/>
      <c r="AK24" s="2385"/>
      <c r="AL24" s="2385"/>
      <c r="AM24" s="2385"/>
      <c r="AN24" s="2385"/>
      <c r="AO24" s="2386"/>
      <c r="AP24" s="2386"/>
      <c r="AQ24" s="2396"/>
      <c r="AR24" s="2396"/>
      <c r="AS24" s="2396"/>
      <c r="AT24" s="2397"/>
      <c r="AU24" s="2388"/>
      <c r="AV24" s="2388"/>
      <c r="AW24" s="2388"/>
      <c r="AX24" s="2388"/>
      <c r="AY24" s="2388"/>
      <c r="AZ24" s="2388"/>
      <c r="BA24" s="2388"/>
      <c r="BB24" s="2388"/>
      <c r="BC24" s="23"/>
      <c r="BD24" s="4"/>
      <c r="BE24" s="4"/>
      <c r="BF24" s="3501"/>
      <c r="BG24" s="187"/>
      <c r="BH24" s="695"/>
      <c r="BI24" s="695"/>
      <c r="BJ24" s="695"/>
      <c r="BK24" s="695"/>
      <c r="BL24" s="695"/>
      <c r="BM24" s="188"/>
      <c r="BN24" s="188"/>
      <c r="BO24" s="188"/>
      <c r="BP24" s="188"/>
      <c r="BQ24" s="188"/>
      <c r="BR24" s="188"/>
      <c r="BS24" s="188"/>
      <c r="BT24" s="188"/>
      <c r="BU24" s="188"/>
      <c r="BV24" s="188"/>
      <c r="BW24" s="3"/>
      <c r="BX24" s="3"/>
      <c r="BY24" s="3"/>
      <c r="BZ24" s="3"/>
      <c r="CA24" s="3"/>
      <c r="CB24" s="3"/>
      <c r="CC24" s="3"/>
      <c r="CD24" s="3"/>
      <c r="CE24" s="3"/>
      <c r="CF24" s="188"/>
      <c r="CG24" s="188"/>
      <c r="CH24" s="188"/>
      <c r="CI24" s="188"/>
      <c r="CJ24" s="188"/>
      <c r="CK24" s="695"/>
    </row>
    <row r="25" spans="1:89" s="2" customFormat="1" ht="17.25" customHeight="1">
      <c r="A25" s="2379" t="s">
        <v>188</v>
      </c>
      <c r="B25" s="707"/>
      <c r="C25" s="692"/>
      <c r="D25" s="692"/>
      <c r="E25" s="692"/>
      <c r="F25" s="3"/>
      <c r="G25" s="3"/>
      <c r="H25" s="705"/>
      <c r="I25" s="816"/>
      <c r="J25" s="703"/>
      <c r="K25" s="704"/>
      <c r="L25" s="188"/>
      <c r="M25" s="3667" t="s">
        <v>191</v>
      </c>
      <c r="N25" s="3668"/>
      <c r="O25" s="709"/>
      <c r="P25" s="703"/>
      <c r="Q25" s="703"/>
      <c r="R25" s="816"/>
      <c r="S25" s="706"/>
      <c r="T25" s="703"/>
      <c r="U25" s="706"/>
      <c r="V25" s="710"/>
      <c r="W25" s="2398" t="s">
        <v>192</v>
      </c>
      <c r="X25" s="709"/>
      <c r="Y25" s="703"/>
      <c r="Z25" s="703"/>
      <c r="AA25" s="816"/>
      <c r="AB25" s="706"/>
      <c r="AC25" s="703"/>
      <c r="AD25" s="706"/>
      <c r="AE25" s="710"/>
      <c r="AF25" s="692"/>
      <c r="AG25" s="711"/>
      <c r="AH25" s="2399"/>
      <c r="AI25" s="2394"/>
      <c r="AJ25" s="2394"/>
      <c r="AK25" s="2389"/>
      <c r="AL25" s="2389"/>
      <c r="AM25" s="2389"/>
      <c r="AN25" s="2389"/>
      <c r="AO25" s="2390"/>
      <c r="AP25" s="2390"/>
      <c r="AQ25" s="2394"/>
      <c r="AR25" s="2394"/>
      <c r="AS25" s="2394"/>
      <c r="AT25" s="2395"/>
      <c r="AU25" s="2393"/>
      <c r="AV25" s="2393"/>
      <c r="AW25" s="2393"/>
      <c r="AX25" s="2393"/>
      <c r="AY25" s="2393"/>
      <c r="AZ25" s="2393"/>
      <c r="BA25" s="2393"/>
      <c r="BB25" s="2393"/>
      <c r="BC25" s="23"/>
      <c r="BD25" s="4"/>
      <c r="BE25" s="4"/>
      <c r="BF25" s="3501"/>
      <c r="BG25" s="187"/>
      <c r="BH25" s="695"/>
      <c r="BI25" s="188"/>
      <c r="BJ25" s="695"/>
      <c r="BK25" s="695"/>
      <c r="BL25" s="695"/>
      <c r="BM25" s="188"/>
      <c r="BN25" s="188"/>
      <c r="BO25" s="188"/>
      <c r="BP25" s="188"/>
      <c r="BQ25" s="188"/>
      <c r="BR25" s="188"/>
      <c r="BS25" s="188"/>
      <c r="BT25" s="188"/>
      <c r="BU25" s="188"/>
      <c r="BV25" s="188"/>
      <c r="BW25" s="188"/>
      <c r="BX25" s="3"/>
      <c r="BY25" s="3"/>
      <c r="BZ25" s="3"/>
      <c r="CA25" s="3"/>
      <c r="CB25" s="3"/>
      <c r="CC25" s="188"/>
      <c r="CD25" s="188"/>
      <c r="CE25" s="188"/>
      <c r="CF25" s="188"/>
      <c r="CG25" s="188"/>
      <c r="CH25" s="188"/>
      <c r="CI25" s="188"/>
      <c r="CJ25" s="695"/>
      <c r="CK25" s="695"/>
    </row>
    <row r="26" spans="1:89" s="2" customFormat="1" ht="12" customHeight="1" thickBot="1">
      <c r="A26" s="2400"/>
      <c r="B26" s="820"/>
      <c r="C26" s="820"/>
      <c r="D26" s="820"/>
      <c r="E26" s="820"/>
      <c r="F26" s="820"/>
      <c r="G26" s="820"/>
      <c r="H26" s="820"/>
      <c r="I26" s="820"/>
      <c r="J26" s="820"/>
      <c r="K26" s="820"/>
      <c r="L26" s="820"/>
      <c r="M26" s="820"/>
      <c r="N26" s="820"/>
      <c r="O26" s="3665" t="s">
        <v>45</v>
      </c>
      <c r="P26" s="3665"/>
      <c r="Q26" s="3665" t="s">
        <v>45</v>
      </c>
      <c r="R26" s="3665"/>
      <c r="S26" s="3665" t="s">
        <v>208</v>
      </c>
      <c r="T26" s="3665"/>
      <c r="U26" s="3665" t="s">
        <v>208</v>
      </c>
      <c r="V26" s="3665"/>
      <c r="W26" s="188"/>
      <c r="X26" s="3665" t="s">
        <v>45</v>
      </c>
      <c r="Y26" s="3665"/>
      <c r="Z26" s="3665" t="s">
        <v>45</v>
      </c>
      <c r="AA26" s="3665"/>
      <c r="AB26" s="3665" t="s">
        <v>208</v>
      </c>
      <c r="AC26" s="3665"/>
      <c r="AD26" s="3665" t="s">
        <v>208</v>
      </c>
      <c r="AE26" s="3665"/>
      <c r="AF26" s="695"/>
      <c r="AG26" s="821"/>
      <c r="AH26" s="822"/>
      <c r="AI26" s="822"/>
      <c r="AJ26" s="822"/>
      <c r="AK26" s="822"/>
      <c r="AL26" s="822"/>
      <c r="AM26" s="822"/>
      <c r="AN26" s="822"/>
      <c r="AO26" s="3"/>
      <c r="AP26" s="3"/>
      <c r="AQ26" s="3"/>
      <c r="AR26" s="3"/>
      <c r="AS26" s="3"/>
      <c r="AT26" s="3"/>
      <c r="AU26" s="3"/>
      <c r="AV26" s="3"/>
      <c r="AW26" s="3"/>
      <c r="AX26" s="3"/>
      <c r="AY26" s="3"/>
      <c r="AZ26" s="3"/>
      <c r="BA26" s="3"/>
      <c r="BB26" s="3"/>
      <c r="BC26" s="23"/>
      <c r="BD26" s="4"/>
      <c r="BE26" s="4"/>
      <c r="BF26" s="3"/>
      <c r="BG26" s="3"/>
      <c r="BH26" s="3541"/>
      <c r="BI26" s="3541"/>
      <c r="BJ26" s="3541"/>
      <c r="BK26" s="3541"/>
      <c r="BL26" s="3541"/>
      <c r="BM26" s="3541"/>
      <c r="BN26" s="3541"/>
      <c r="BO26" s="3541"/>
      <c r="BP26" s="3541"/>
      <c r="BQ26" s="3541"/>
      <c r="BR26" s="3541"/>
      <c r="BS26" s="3541"/>
      <c r="BT26" s="3541"/>
      <c r="BU26" s="3541"/>
      <c r="BV26" s="3541"/>
      <c r="BW26" s="3541"/>
      <c r="BX26" s="3541"/>
      <c r="BY26" s="3541"/>
      <c r="BZ26" s="3541"/>
      <c r="CA26" s="3541"/>
      <c r="CB26" s="3541"/>
      <c r="CC26" s="3541"/>
      <c r="CD26" s="3541"/>
      <c r="CE26" s="3541"/>
      <c r="CF26" s="3541"/>
      <c r="CG26" s="3541"/>
      <c r="CH26" s="3541"/>
      <c r="CI26" s="3541"/>
      <c r="CJ26" s="3541"/>
      <c r="CK26" s="3541"/>
    </row>
    <row r="27" spans="1:89" s="2" customFormat="1" ht="15" customHeight="1" thickTop="1">
      <c r="A27" s="2378" t="s">
        <v>657</v>
      </c>
      <c r="B27" s="715"/>
      <c r="C27" s="689"/>
      <c r="D27" s="689"/>
      <c r="E27" s="689"/>
      <c r="F27" s="689"/>
      <c r="G27" s="689"/>
      <c r="H27" s="716"/>
      <c r="I27" s="716"/>
      <c r="J27" s="716"/>
      <c r="K27" s="716"/>
      <c r="L27" s="188"/>
      <c r="M27" s="188"/>
      <c r="N27" s="3"/>
      <c r="O27" s="713"/>
      <c r="P27" s="713"/>
      <c r="Q27" s="713"/>
      <c r="R27" s="713"/>
      <c r="S27" s="713"/>
      <c r="T27" s="713"/>
      <c r="U27" s="713"/>
      <c r="V27" s="713"/>
      <c r="W27" s="713"/>
      <c r="X27" s="713"/>
      <c r="Y27" s="713"/>
      <c r="Z27" s="713"/>
      <c r="AA27" s="713"/>
      <c r="AB27" s="713"/>
      <c r="AC27" s="713"/>
      <c r="AD27" s="713"/>
      <c r="AE27" s="713"/>
      <c r="AF27" s="714"/>
      <c r="AG27" s="696"/>
      <c r="AH27" s="688" t="s">
        <v>200</v>
      </c>
      <c r="AI27" s="695"/>
      <c r="AJ27" s="695"/>
      <c r="AK27" s="692"/>
      <c r="AL27" s="692"/>
      <c r="AM27" s="692"/>
      <c r="AN27" s="692"/>
      <c r="AO27" s="712"/>
      <c r="AP27" s="712"/>
      <c r="AQ27" s="720"/>
      <c r="AR27" s="720"/>
      <c r="AS27" s="720"/>
      <c r="AT27" s="721"/>
      <c r="AU27" s="713"/>
      <c r="AV27" s="713"/>
      <c r="AW27" s="713"/>
      <c r="AX27" s="713"/>
      <c r="AY27" s="713"/>
      <c r="AZ27" s="713"/>
      <c r="BA27" s="713"/>
      <c r="BB27" s="713"/>
      <c r="BC27" s="2401"/>
      <c r="BD27" s="4"/>
      <c r="BE27" s="4"/>
      <c r="BF27" s="4"/>
      <c r="BG27" s="4"/>
    </row>
    <row r="28" spans="1:89" s="2" customFormat="1" ht="11.25" customHeight="1">
      <c r="A28" s="24"/>
      <c r="B28" s="3"/>
      <c r="C28" s="3"/>
      <c r="D28" s="3"/>
      <c r="E28" s="3"/>
      <c r="F28" s="3"/>
      <c r="G28" s="3"/>
      <c r="H28" s="3"/>
      <c r="I28" s="3"/>
      <c r="J28" s="3"/>
      <c r="K28" s="3"/>
      <c r="L28" s="3"/>
      <c r="M28" s="3685"/>
      <c r="N28" s="3685"/>
      <c r="O28" s="3685"/>
      <c r="P28" s="3685"/>
      <c r="Q28" s="3685"/>
      <c r="R28" s="3685"/>
      <c r="S28" s="3682" t="s">
        <v>650</v>
      </c>
      <c r="T28" s="3682"/>
      <c r="U28" s="3682"/>
      <c r="V28" s="3682"/>
      <c r="W28" s="3683"/>
      <c r="X28" s="3683"/>
      <c r="Y28" s="3"/>
      <c r="Z28" s="3684" t="s">
        <v>651</v>
      </c>
      <c r="AA28" s="3684"/>
      <c r="AB28" s="3684"/>
      <c r="AC28" s="3684"/>
      <c r="AD28" s="3684"/>
      <c r="AE28" s="3684"/>
      <c r="AF28" s="718"/>
      <c r="AG28" s="691"/>
      <c r="AH28" s="3677" t="s">
        <v>202</v>
      </c>
      <c r="AI28" s="3677"/>
      <c r="AJ28" s="3677"/>
      <c r="AK28" s="3677"/>
      <c r="AL28" s="3677"/>
      <c r="AM28" s="3677"/>
      <c r="AN28" s="692"/>
      <c r="AO28" s="188"/>
      <c r="AP28" s="188"/>
      <c r="AQ28" s="695"/>
      <c r="AR28" s="695"/>
      <c r="AS28" s="695"/>
      <c r="AT28" s="81"/>
      <c r="AU28" s="3"/>
      <c r="AV28" s="3"/>
      <c r="AW28" s="3"/>
      <c r="AX28" s="3"/>
      <c r="AY28" s="3"/>
      <c r="AZ28" s="3"/>
      <c r="BA28" s="3"/>
      <c r="BB28" s="3"/>
      <c r="BC28" s="23"/>
      <c r="BD28" s="4"/>
      <c r="BE28" s="4"/>
      <c r="BF28" s="4"/>
      <c r="BG28" s="4"/>
    </row>
    <row r="29" spans="1:89" s="2" customFormat="1" ht="9" customHeight="1">
      <c r="A29" s="24"/>
      <c r="B29" s="3"/>
      <c r="C29" s="3"/>
      <c r="D29" s="3"/>
      <c r="E29" s="3"/>
      <c r="F29" s="3"/>
      <c r="G29" s="3"/>
      <c r="H29" s="3"/>
      <c r="I29" s="3"/>
      <c r="J29" s="3"/>
      <c r="K29" s="3"/>
      <c r="L29" s="3"/>
      <c r="M29" s="188"/>
      <c r="N29" s="188"/>
      <c r="O29" s="1141"/>
      <c r="P29" s="3455"/>
      <c r="Q29" s="698"/>
      <c r="R29" s="698"/>
      <c r="S29" s="698"/>
      <c r="T29" s="698"/>
      <c r="U29" s="698"/>
      <c r="V29" s="699"/>
      <c r="W29" s="2419"/>
      <c r="X29" s="2402"/>
      <c r="Y29" s="1141"/>
      <c r="Z29" s="3455"/>
      <c r="AA29" s="698"/>
      <c r="AB29" s="698"/>
      <c r="AC29" s="698"/>
      <c r="AD29" s="698"/>
      <c r="AE29" s="699"/>
      <c r="AF29" s="718"/>
      <c r="AG29" s="696"/>
      <c r="AH29" s="3677"/>
      <c r="AI29" s="3677"/>
      <c r="AJ29" s="3677"/>
      <c r="AK29" s="3677"/>
      <c r="AL29" s="3677"/>
      <c r="AM29" s="3677"/>
      <c r="AN29" s="722"/>
      <c r="AO29" s="188"/>
      <c r="AP29" s="188"/>
      <c r="AQ29" s="695"/>
      <c r="AR29" s="695"/>
      <c r="AS29" s="695"/>
      <c r="AT29" s="81"/>
      <c r="AU29" s="3"/>
      <c r="AV29" s="3"/>
      <c r="AW29" s="3"/>
      <c r="AX29" s="188"/>
      <c r="AY29" s="188"/>
      <c r="AZ29" s="188"/>
      <c r="BA29" s="188"/>
      <c r="BB29" s="188"/>
      <c r="BC29" s="2402"/>
      <c r="BD29" s="4"/>
      <c r="BE29" s="4"/>
      <c r="BF29" s="4"/>
      <c r="BG29" s="4"/>
    </row>
    <row r="30" spans="1:89" s="2" customFormat="1" ht="12.95" customHeight="1">
      <c r="A30" s="2379"/>
      <c r="B30" s="723"/>
      <c r="C30" s="690"/>
      <c r="D30" s="3"/>
      <c r="E30" s="690"/>
      <c r="F30" s="3"/>
      <c r="G30" s="2290" t="s">
        <v>196</v>
      </c>
      <c r="H30" s="690"/>
      <c r="I30" s="690"/>
      <c r="J30" s="188"/>
      <c r="K30" s="188"/>
      <c r="L30" s="188"/>
      <c r="M30" s="188"/>
      <c r="N30" s="188"/>
      <c r="O30" s="705"/>
      <c r="P30" s="703"/>
      <c r="Q30" s="703"/>
      <c r="R30" s="703"/>
      <c r="S30" s="703"/>
      <c r="T30" s="703"/>
      <c r="U30" s="703"/>
      <c r="V30" s="704"/>
      <c r="W30" s="2419"/>
      <c r="X30" s="2402"/>
      <c r="Y30" s="705"/>
      <c r="Z30" s="703"/>
      <c r="AA30" s="703"/>
      <c r="AB30" s="703"/>
      <c r="AC30" s="703"/>
      <c r="AD30" s="703"/>
      <c r="AE30" s="704"/>
      <c r="AF30" s="690"/>
      <c r="AG30" s="696"/>
      <c r="AH30" s="2288"/>
      <c r="AI30" s="2290"/>
      <c r="AJ30" s="2290"/>
      <c r="AK30" s="722"/>
      <c r="AL30" s="722"/>
      <c r="AM30" s="722"/>
      <c r="AN30" s="722"/>
      <c r="AO30" s="188"/>
      <c r="AP30" s="188"/>
      <c r="AQ30" s="695"/>
      <c r="AR30" s="695"/>
      <c r="AS30" s="695"/>
      <c r="AT30" s="81"/>
      <c r="AU30" s="3"/>
      <c r="AV30" s="3"/>
      <c r="AW30" s="3"/>
      <c r="AX30" s="1141"/>
      <c r="AY30" s="698"/>
      <c r="AZ30" s="698"/>
      <c r="BA30" s="698"/>
      <c r="BB30" s="698"/>
      <c r="BC30" s="699"/>
      <c r="BD30" s="4"/>
      <c r="BE30" s="4"/>
      <c r="BF30" s="4"/>
      <c r="BG30" s="4"/>
    </row>
    <row r="31" spans="1:89" s="2" customFormat="1" ht="9.75" customHeight="1">
      <c r="A31" s="2379"/>
      <c r="B31" s="187"/>
      <c r="C31" s="695"/>
      <c r="D31" s="3"/>
      <c r="E31" s="695"/>
      <c r="F31" s="188"/>
      <c r="G31" s="3"/>
      <c r="H31" s="695"/>
      <c r="I31" s="695"/>
      <c r="J31" s="188"/>
      <c r="K31" s="188"/>
      <c r="L31" s="188"/>
      <c r="M31" s="188"/>
      <c r="N31" s="188"/>
      <c r="O31" s="188"/>
      <c r="P31" s="188"/>
      <c r="Q31" s="188"/>
      <c r="R31" s="3"/>
      <c r="S31" s="3"/>
      <c r="T31" s="3"/>
      <c r="U31" s="3"/>
      <c r="V31" s="3"/>
      <c r="W31" s="3"/>
      <c r="X31" s="188"/>
      <c r="Y31" s="3"/>
      <c r="Z31" s="3"/>
      <c r="AA31" s="188"/>
      <c r="AB31" s="188"/>
      <c r="AC31" s="188"/>
      <c r="AD31" s="188"/>
      <c r="AE31" s="188"/>
      <c r="AF31" s="695"/>
      <c r="AG31" s="696"/>
      <c r="AI31" s="3"/>
      <c r="AJ31" s="3"/>
      <c r="AK31" s="722"/>
      <c r="AL31" s="722"/>
      <c r="AM31" s="722"/>
      <c r="AN31" s="722"/>
      <c r="AO31" s="723"/>
      <c r="AP31" s="723"/>
      <c r="AQ31" s="2290"/>
      <c r="AR31" s="2290"/>
      <c r="AS31" s="2290"/>
      <c r="AT31" s="724"/>
      <c r="AU31" s="725" t="s">
        <v>89</v>
      </c>
      <c r="AV31" s="3"/>
      <c r="AW31" s="3"/>
      <c r="AX31" s="705"/>
      <c r="AY31" s="703"/>
      <c r="AZ31" s="706"/>
      <c r="BA31" s="703"/>
      <c r="BB31" s="706"/>
      <c r="BC31" s="704"/>
      <c r="BD31" s="4"/>
      <c r="BE31" s="4"/>
      <c r="BF31" s="4"/>
      <c r="BG31" s="4"/>
    </row>
    <row r="32" spans="1:89" s="2" customFormat="1" ht="12.95" customHeight="1">
      <c r="A32" s="2379" t="s">
        <v>197</v>
      </c>
      <c r="B32" s="187"/>
      <c r="C32" s="695"/>
      <c r="D32" s="695"/>
      <c r="E32" s="695"/>
      <c r="F32" s="695"/>
      <c r="G32" s="695"/>
      <c r="H32" s="188"/>
      <c r="I32" s="188"/>
      <c r="J32" s="188"/>
      <c r="K32" s="188"/>
      <c r="L32" s="188"/>
      <c r="M32" s="188"/>
      <c r="N32" s="188"/>
      <c r="O32" s="188"/>
      <c r="P32" s="188"/>
      <c r="Q32" s="188"/>
      <c r="R32" s="3"/>
      <c r="S32" s="3"/>
      <c r="T32" s="3"/>
      <c r="U32" s="3"/>
      <c r="V32" s="3"/>
      <c r="W32" s="3"/>
      <c r="X32" s="3"/>
      <c r="Y32" s="3"/>
      <c r="Z32" s="3"/>
      <c r="AA32" s="188"/>
      <c r="AB32" s="188"/>
      <c r="AC32" s="188"/>
      <c r="AD32" s="188"/>
      <c r="AE32" s="188"/>
      <c r="AF32" s="695"/>
      <c r="AG32" s="696"/>
      <c r="AH32" s="2290" t="s">
        <v>189</v>
      </c>
      <c r="AI32" s="2290"/>
      <c r="AJ32" s="2290"/>
      <c r="AK32" s="2403"/>
      <c r="AL32" s="2403"/>
      <c r="AM32" s="2403"/>
      <c r="AN32" s="2403"/>
      <c r="AO32" s="2404"/>
      <c r="AP32" s="2404"/>
      <c r="AQ32" s="2405"/>
      <c r="AR32" s="2405"/>
      <c r="AS32" s="2405"/>
      <c r="AT32" s="2406"/>
      <c r="AU32" s="3"/>
      <c r="AV32" s="798"/>
      <c r="AW32" s="798"/>
      <c r="AX32" s="3"/>
      <c r="AY32" s="3"/>
      <c r="AZ32" s="3"/>
      <c r="BA32" s="3"/>
      <c r="BB32" s="3"/>
      <c r="BC32" s="23"/>
      <c r="BE32" s="4"/>
      <c r="BF32" s="4"/>
      <c r="BG32" s="4"/>
    </row>
    <row r="33" spans="1:59" s="2" customFormat="1" ht="11.25" customHeight="1">
      <c r="A33" s="2410"/>
      <c r="B33" s="2411"/>
      <c r="C33" s="2412"/>
      <c r="D33" s="2412"/>
      <c r="E33" s="2412"/>
      <c r="F33" s="2412"/>
      <c r="G33" s="2412"/>
      <c r="H33" s="2407"/>
      <c r="I33" s="2407"/>
      <c r="J33" s="2407"/>
      <c r="K33" s="2407"/>
      <c r="L33" s="2407"/>
      <c r="M33" s="2407"/>
      <c r="N33" s="2407"/>
      <c r="O33" s="2407"/>
      <c r="P33" s="2408"/>
      <c r="Q33" s="2408"/>
      <c r="R33" s="2388"/>
      <c r="S33" s="2388"/>
      <c r="T33" s="2388"/>
      <c r="U33" s="2388"/>
      <c r="V33" s="2388"/>
      <c r="W33" s="2388"/>
      <c r="X33" s="2388"/>
      <c r="Y33" s="2388"/>
      <c r="Z33" s="2386"/>
      <c r="AA33" s="2386"/>
      <c r="AB33" s="2386"/>
      <c r="AC33" s="2386"/>
      <c r="AD33" s="2386"/>
      <c r="AE33" s="2386"/>
      <c r="AF33" s="695"/>
      <c r="AG33" s="696"/>
      <c r="AH33" s="3666" t="s">
        <v>201</v>
      </c>
      <c r="AI33" s="3666"/>
      <c r="AJ33" s="3666"/>
      <c r="AK33" s="3666"/>
      <c r="AL33" s="722"/>
      <c r="AM33" s="722"/>
      <c r="AN33" s="722"/>
      <c r="AO33" s="723"/>
      <c r="AP33" s="723"/>
      <c r="AQ33" s="2290"/>
      <c r="AR33" s="2290"/>
      <c r="AS33" s="2290"/>
      <c r="AT33" s="724"/>
      <c r="AU33" s="3"/>
      <c r="AW33" s="726"/>
      <c r="AX33" s="2414"/>
      <c r="AY33" s="2415"/>
      <c r="AZ33" s="2415"/>
      <c r="BA33" s="2415"/>
      <c r="BB33" s="2415"/>
      <c r="BC33" s="2416"/>
      <c r="BD33" s="4"/>
      <c r="BE33" s="4"/>
      <c r="BF33" s="4"/>
      <c r="BG33" s="4"/>
    </row>
    <row r="34" spans="1:59" s="2" customFormat="1" ht="23.25" customHeight="1">
      <c r="A34" s="2418" t="s">
        <v>652</v>
      </c>
      <c r="B34" s="2417"/>
      <c r="C34" s="695"/>
      <c r="D34" s="695"/>
      <c r="E34" s="695"/>
      <c r="F34" s="695"/>
      <c r="G34" s="695"/>
      <c r="H34" s="188"/>
      <c r="I34" s="188"/>
      <c r="J34" s="188"/>
      <c r="K34" s="188"/>
      <c r="L34" s="188"/>
      <c r="M34" s="188"/>
      <c r="N34" s="188"/>
      <c r="O34" s="188"/>
      <c r="P34" s="25"/>
      <c r="Q34" s="27"/>
      <c r="R34" s="27"/>
      <c r="S34" s="27"/>
      <c r="T34" s="27"/>
      <c r="U34" s="27"/>
      <c r="V34" s="27"/>
      <c r="W34" s="27"/>
      <c r="X34" s="27"/>
      <c r="Y34" s="27"/>
      <c r="Z34" s="3456"/>
      <c r="AA34" s="3456"/>
      <c r="AB34" s="3456"/>
      <c r="AC34" s="3456"/>
      <c r="AD34" s="3456"/>
      <c r="AE34" s="3457"/>
      <c r="AF34" s="695"/>
      <c r="AG34" s="696"/>
      <c r="AH34" s="3666"/>
      <c r="AI34" s="3666"/>
      <c r="AJ34" s="3666"/>
      <c r="AK34" s="3666"/>
      <c r="AL34" s="2403"/>
      <c r="AM34" s="2403"/>
      <c r="AN34" s="2403"/>
      <c r="AO34" s="2404"/>
      <c r="AP34" s="2404"/>
      <c r="AQ34" s="2405"/>
      <c r="AR34" s="2405"/>
      <c r="AS34" s="2405"/>
      <c r="AT34" s="2406"/>
      <c r="AU34" s="726"/>
      <c r="AV34" s="2413" t="s">
        <v>654</v>
      </c>
      <c r="AW34" s="726"/>
      <c r="AX34" s="817"/>
      <c r="AY34" s="818"/>
      <c r="AZ34" s="818"/>
      <c r="BA34" s="818"/>
      <c r="BB34" s="818"/>
      <c r="BC34" s="819"/>
      <c r="BD34" s="4"/>
      <c r="BE34" s="4"/>
      <c r="BF34" s="4"/>
      <c r="BG34" s="4"/>
    </row>
    <row r="35" spans="1:59" s="2" customFormat="1" ht="7.5" customHeight="1">
      <c r="A35" s="2419"/>
      <c r="B35" s="188"/>
      <c r="C35" s="188"/>
      <c r="D35" s="188"/>
      <c r="E35" s="188"/>
      <c r="F35" s="188"/>
      <c r="G35" s="188"/>
      <c r="H35" s="188"/>
      <c r="I35" s="188"/>
      <c r="J35" s="188"/>
      <c r="K35" s="188"/>
      <c r="L35" s="188"/>
      <c r="M35" s="188"/>
      <c r="N35" s="188"/>
      <c r="O35" s="188"/>
      <c r="P35" s="188"/>
      <c r="Q35" s="188"/>
      <c r="R35" s="188"/>
      <c r="S35" s="2290"/>
      <c r="T35" s="2290"/>
      <c r="U35" s="2290"/>
      <c r="V35" s="2290"/>
      <c r="W35" s="187"/>
      <c r="X35" s="695"/>
      <c r="Y35" s="188"/>
      <c r="Z35" s="695"/>
      <c r="AA35" s="695"/>
      <c r="AB35" s="695"/>
      <c r="AC35" s="695"/>
      <c r="AD35" s="695"/>
      <c r="AE35" s="695"/>
      <c r="AF35" s="695"/>
      <c r="AG35" s="696"/>
      <c r="AH35" s="3686"/>
      <c r="AI35" s="3686"/>
      <c r="AJ35" s="3686"/>
      <c r="AK35" s="3686"/>
      <c r="AL35" s="3686"/>
      <c r="AM35" s="3686"/>
      <c r="AN35" s="3686"/>
      <c r="AO35" s="3686"/>
      <c r="AP35" s="3686"/>
      <c r="AQ35" s="3686"/>
      <c r="AR35" s="3686"/>
      <c r="AS35" s="3686"/>
      <c r="AT35" s="3686"/>
      <c r="AU35" s="3686"/>
      <c r="AV35" s="3686"/>
      <c r="AW35" s="3686"/>
      <c r="AX35" s="3686"/>
      <c r="AY35" s="726"/>
      <c r="AZ35" s="726"/>
      <c r="BA35" s="726"/>
      <c r="BB35" s="726"/>
      <c r="BC35" s="2409"/>
      <c r="BD35" s="4"/>
      <c r="BE35" s="4"/>
      <c r="BF35" s="4"/>
      <c r="BG35" s="4"/>
    </row>
    <row r="36" spans="1:59" s="2" customFormat="1" ht="12.95" customHeight="1">
      <c r="A36" s="3678" t="s">
        <v>1417</v>
      </c>
      <c r="B36" s="3679"/>
      <c r="C36" s="3679"/>
      <c r="D36" s="3679"/>
      <c r="E36" s="3679"/>
      <c r="F36" s="3679"/>
      <c r="G36" s="3679"/>
      <c r="H36" s="188"/>
      <c r="I36" s="1141"/>
      <c r="J36" s="698"/>
      <c r="K36" s="699"/>
      <c r="L36" s="188"/>
      <c r="M36" s="188"/>
      <c r="N36" s="188"/>
      <c r="O36" s="188"/>
      <c r="P36" s="3680" t="s">
        <v>656</v>
      </c>
      <c r="Q36" s="3680"/>
      <c r="R36" s="3680"/>
      <c r="S36" s="3680"/>
      <c r="T36" s="3680"/>
      <c r="U36" s="3680"/>
      <c r="V36" s="3680"/>
      <c r="W36" s="3680"/>
      <c r="X36" s="3680"/>
      <c r="Y36" s="3680"/>
      <c r="Z36" s="3680"/>
      <c r="AA36" s="188"/>
      <c r="AB36" s="1141"/>
      <c r="AC36" s="717"/>
      <c r="AD36" s="698"/>
      <c r="AE36" s="699"/>
      <c r="AF36" s="695"/>
      <c r="AG36" s="696"/>
      <c r="AH36" s="2288" t="s">
        <v>203</v>
      </c>
      <c r="AI36" s="2290"/>
      <c r="AJ36" s="2290"/>
      <c r="AK36" s="722"/>
      <c r="AL36" s="722"/>
      <c r="AM36" s="722"/>
      <c r="AN36" s="722"/>
      <c r="AO36" s="188"/>
      <c r="AP36" s="188"/>
      <c r="AQ36" s="695"/>
      <c r="AR36" s="695"/>
      <c r="AS36" s="695"/>
      <c r="AT36" s="81"/>
      <c r="AU36" s="3"/>
      <c r="AV36" s="3"/>
      <c r="AW36" s="3"/>
      <c r="AX36" s="1141"/>
      <c r="AY36" s="698"/>
      <c r="AZ36" s="698"/>
      <c r="BA36" s="698"/>
      <c r="BB36" s="698"/>
      <c r="BC36" s="699"/>
      <c r="BD36" s="4"/>
      <c r="BE36" s="4"/>
      <c r="BF36" s="4"/>
      <c r="BG36" s="4"/>
    </row>
    <row r="37" spans="1:59" s="2" customFormat="1" ht="13.5" customHeight="1">
      <c r="A37" s="3678"/>
      <c r="B37" s="3679"/>
      <c r="C37" s="3679"/>
      <c r="D37" s="3679"/>
      <c r="E37" s="3679"/>
      <c r="F37" s="3679"/>
      <c r="G37" s="3679"/>
      <c r="H37" s="188"/>
      <c r="I37" s="705"/>
      <c r="J37" s="703"/>
      <c r="K37" s="704"/>
      <c r="L37" s="188"/>
      <c r="M37" s="188"/>
      <c r="N37" s="188"/>
      <c r="O37" s="188"/>
      <c r="P37" s="3680"/>
      <c r="Q37" s="3680"/>
      <c r="R37" s="3680"/>
      <c r="S37" s="3680"/>
      <c r="T37" s="3680"/>
      <c r="U37" s="3680"/>
      <c r="V37" s="3680"/>
      <c r="W37" s="3680"/>
      <c r="X37" s="3680"/>
      <c r="Y37" s="3680"/>
      <c r="Z37" s="3680"/>
      <c r="AA37" s="188"/>
      <c r="AB37" s="705"/>
      <c r="AC37" s="719"/>
      <c r="AD37" s="703"/>
      <c r="AE37" s="704"/>
      <c r="AF37" s="695"/>
      <c r="AG37" s="730"/>
      <c r="AI37" s="3"/>
      <c r="AJ37" s="3"/>
      <c r="AK37" s="722"/>
      <c r="AL37" s="722"/>
      <c r="AM37" s="722"/>
      <c r="AN37" s="722"/>
      <c r="AO37" s="723"/>
      <c r="AP37" s="723"/>
      <c r="AQ37" s="2290"/>
      <c r="AR37" s="2290"/>
      <c r="AS37" s="2290"/>
      <c r="AT37" s="724"/>
      <c r="AU37" s="725" t="s">
        <v>89</v>
      </c>
      <c r="AV37" s="3"/>
      <c r="AW37" s="3"/>
      <c r="AX37" s="705"/>
      <c r="AY37" s="703"/>
      <c r="AZ37" s="706"/>
      <c r="BA37" s="703"/>
      <c r="BB37" s="706"/>
      <c r="BC37" s="704"/>
      <c r="BD37" s="4"/>
      <c r="BE37" s="4"/>
      <c r="BF37" s="4"/>
      <c r="BG37" s="4"/>
    </row>
    <row r="38" spans="1:59" s="2" customFormat="1" ht="12.75" customHeight="1">
      <c r="A38" s="3678"/>
      <c r="B38" s="3679"/>
      <c r="C38" s="3679"/>
      <c r="D38" s="3679"/>
      <c r="E38" s="3679"/>
      <c r="F38" s="3679"/>
      <c r="G38" s="3679"/>
      <c r="H38" s="188"/>
      <c r="I38" s="188"/>
      <c r="J38" s="188"/>
      <c r="K38" s="188"/>
      <c r="L38" s="188"/>
      <c r="M38" s="188"/>
      <c r="N38" s="188"/>
      <c r="O38" s="188"/>
      <c r="P38" s="3681"/>
      <c r="Q38" s="3681"/>
      <c r="R38" s="3681"/>
      <c r="S38" s="3681"/>
      <c r="T38" s="3681"/>
      <c r="U38" s="3681"/>
      <c r="V38" s="3681"/>
      <c r="W38" s="3681"/>
      <c r="X38" s="3681"/>
      <c r="Y38" s="3681"/>
      <c r="Z38" s="3681"/>
      <c r="AA38" s="695"/>
      <c r="AB38" s="695"/>
      <c r="AC38" s="695"/>
      <c r="AD38" s="695"/>
      <c r="AE38" s="695"/>
      <c r="AF38" s="695"/>
      <c r="AG38" s="696"/>
      <c r="AH38" s="2290" t="s">
        <v>189</v>
      </c>
      <c r="AI38" s="2290"/>
      <c r="AJ38" s="2290"/>
      <c r="AK38" s="2403"/>
      <c r="AL38" s="2403"/>
      <c r="AM38" s="2403"/>
      <c r="AN38" s="2403"/>
      <c r="AO38" s="2404"/>
      <c r="AP38" s="2404"/>
      <c r="AQ38" s="2405"/>
      <c r="AR38" s="2405"/>
      <c r="AS38" s="2405"/>
      <c r="AT38" s="2406"/>
      <c r="AU38" s="3"/>
      <c r="AV38" s="798"/>
      <c r="AW38" s="798"/>
      <c r="AX38" s="3"/>
      <c r="AY38" s="3"/>
      <c r="AZ38" s="3"/>
      <c r="BA38" s="3"/>
      <c r="BB38" s="3"/>
      <c r="BC38" s="23"/>
      <c r="BD38" s="4"/>
      <c r="BE38" s="4"/>
      <c r="BF38" s="4"/>
      <c r="BG38" s="4"/>
    </row>
    <row r="39" spans="1:59" s="2" customFormat="1" ht="10.5" customHeight="1">
      <c r="A39" s="3671" t="s">
        <v>198</v>
      </c>
      <c r="B39" s="3672"/>
      <c r="C39" s="3672"/>
      <c r="D39" s="3672"/>
      <c r="E39" s="3672"/>
      <c r="F39" s="3672"/>
      <c r="G39" s="3672"/>
      <c r="H39" s="3672"/>
      <c r="I39" s="3672"/>
      <c r="J39" s="3673"/>
      <c r="K39" s="1141"/>
      <c r="L39" s="698"/>
      <c r="M39" s="698"/>
      <c r="N39" s="698"/>
      <c r="O39" s="698"/>
      <c r="P39" s="698"/>
      <c r="Q39" s="698"/>
      <c r="R39" s="698"/>
      <c r="S39" s="717"/>
      <c r="T39" s="717"/>
      <c r="U39" s="717"/>
      <c r="V39" s="717"/>
      <c r="W39" s="717"/>
      <c r="X39" s="698"/>
      <c r="Y39" s="698"/>
      <c r="Z39" s="698"/>
      <c r="AA39" s="698"/>
      <c r="AB39" s="698"/>
      <c r="AC39" s="698"/>
      <c r="AD39" s="698"/>
      <c r="AE39" s="708"/>
      <c r="AF39" s="695"/>
      <c r="AG39" s="696"/>
      <c r="AH39" s="2290"/>
      <c r="AI39" s="2290"/>
      <c r="AJ39" s="3"/>
      <c r="AK39" s="722"/>
      <c r="AL39" s="722"/>
      <c r="AM39" s="722"/>
      <c r="AN39" s="722"/>
      <c r="AO39" s="723"/>
      <c r="AP39" s="723"/>
      <c r="AQ39" s="2290"/>
      <c r="AR39" s="2290"/>
      <c r="AS39" s="2290"/>
      <c r="AT39" s="724"/>
      <c r="AU39" s="726"/>
      <c r="AV39" s="726"/>
      <c r="AW39" s="726"/>
      <c r="AX39" s="726"/>
      <c r="AY39" s="726"/>
      <c r="AZ39" s="726"/>
      <c r="BA39" s="726"/>
      <c r="BB39" s="726"/>
      <c r="BC39" s="2409"/>
      <c r="BD39" s="4"/>
      <c r="BE39" s="4"/>
      <c r="BF39" s="4"/>
      <c r="BG39" s="4"/>
    </row>
    <row r="40" spans="1:59" s="2" customFormat="1" ht="13.5">
      <c r="A40" s="3671"/>
      <c r="B40" s="3672"/>
      <c r="C40" s="3672"/>
      <c r="D40" s="3672"/>
      <c r="E40" s="3672"/>
      <c r="F40" s="3672"/>
      <c r="G40" s="3672"/>
      <c r="H40" s="3672"/>
      <c r="I40" s="3672"/>
      <c r="J40" s="3673"/>
      <c r="K40" s="733"/>
      <c r="L40" s="734"/>
      <c r="M40" s="734"/>
      <c r="N40" s="734"/>
      <c r="O40" s="734"/>
      <c r="P40" s="734"/>
      <c r="Q40" s="734"/>
      <c r="R40" s="734"/>
      <c r="S40" s="734"/>
      <c r="T40" s="734"/>
      <c r="U40" s="734"/>
      <c r="V40" s="734"/>
      <c r="W40" s="735"/>
      <c r="X40" s="735"/>
      <c r="Y40" s="735"/>
      <c r="Z40" s="735"/>
      <c r="AA40" s="735"/>
      <c r="AB40" s="735"/>
      <c r="AC40" s="735"/>
      <c r="AD40" s="735"/>
      <c r="AE40" s="736"/>
      <c r="AF40" s="185"/>
      <c r="AG40" s="730"/>
      <c r="AH40" s="2290" t="s">
        <v>201</v>
      </c>
      <c r="AI40" s="3"/>
      <c r="AJ40" s="3"/>
      <c r="AK40" s="722"/>
      <c r="AL40" s="722"/>
      <c r="AM40" s="722"/>
      <c r="AN40" s="722"/>
      <c r="AO40" s="723"/>
      <c r="AP40" s="723"/>
      <c r="AQ40" s="2290"/>
      <c r="AR40" s="2290"/>
      <c r="AS40" s="2290"/>
      <c r="AT40" s="724"/>
      <c r="AU40" s="3"/>
      <c r="AV40" s="2413" t="s">
        <v>654</v>
      </c>
      <c r="AW40" s="726"/>
      <c r="AX40" s="2414"/>
      <c r="AY40" s="2415"/>
      <c r="AZ40" s="2415"/>
      <c r="BA40" s="2415"/>
      <c r="BB40" s="2415"/>
      <c r="BC40" s="2416"/>
      <c r="BD40" s="4"/>
      <c r="BE40" s="4"/>
      <c r="BF40" s="4"/>
      <c r="BG40" s="4"/>
    </row>
    <row r="41" spans="1:59" s="2" customFormat="1" ht="6" customHeight="1">
      <c r="A41" s="2419"/>
      <c r="B41" s="188"/>
      <c r="C41" s="188"/>
      <c r="D41" s="188"/>
      <c r="E41" s="188"/>
      <c r="F41" s="188"/>
      <c r="G41" s="188"/>
      <c r="H41" s="188"/>
      <c r="I41" s="188"/>
      <c r="J41" s="188"/>
      <c r="K41" s="188"/>
      <c r="L41" s="188"/>
      <c r="M41" s="188"/>
      <c r="N41" s="188"/>
      <c r="O41" s="188"/>
      <c r="P41" s="188"/>
      <c r="Q41" s="188"/>
      <c r="R41" s="188"/>
      <c r="S41" s="2290"/>
      <c r="T41" s="2290"/>
      <c r="U41" s="2290"/>
      <c r="V41" s="2290"/>
      <c r="W41" s="187"/>
      <c r="X41" s="695"/>
      <c r="Y41" s="188"/>
      <c r="Z41" s="695"/>
      <c r="AA41" s="695"/>
      <c r="AB41" s="695"/>
      <c r="AC41" s="695"/>
      <c r="AD41" s="695"/>
      <c r="AE41" s="695"/>
      <c r="AF41" s="695"/>
      <c r="AG41" s="696"/>
      <c r="AI41" s="2290"/>
      <c r="AJ41" s="2290"/>
      <c r="AK41" s="2403"/>
      <c r="AL41" s="2403"/>
      <c r="AM41" s="2403"/>
      <c r="AN41" s="2403"/>
      <c r="AO41" s="2404"/>
      <c r="AP41" s="2404"/>
      <c r="AQ41" s="2405"/>
      <c r="AR41" s="2405"/>
      <c r="AS41" s="2405"/>
      <c r="AT41" s="2406"/>
      <c r="AU41" s="726"/>
      <c r="AW41" s="726"/>
      <c r="AX41" s="817"/>
      <c r="AY41" s="818"/>
      <c r="AZ41" s="818"/>
      <c r="BA41" s="818"/>
      <c r="BB41" s="818"/>
      <c r="BC41" s="819"/>
      <c r="BD41" s="20"/>
      <c r="BE41" s="4"/>
      <c r="BF41" s="4"/>
      <c r="BG41" s="4"/>
    </row>
    <row r="42" spans="1:59" ht="12.95" customHeight="1">
      <c r="A42" s="3671" t="s">
        <v>653</v>
      </c>
      <c r="B42" s="3672"/>
      <c r="C42" s="3672"/>
      <c r="D42" s="3672"/>
      <c r="E42" s="3672"/>
      <c r="F42" s="3672"/>
      <c r="G42" s="3672"/>
      <c r="H42" s="3672"/>
      <c r="I42" s="3672"/>
      <c r="J42" s="3673"/>
      <c r="K42" s="2420"/>
      <c r="L42" s="823"/>
      <c r="M42" s="823"/>
      <c r="N42" s="195"/>
      <c r="O42" s="195"/>
      <c r="P42" s="195"/>
      <c r="Q42" s="195"/>
      <c r="R42" s="195"/>
      <c r="S42" s="195"/>
      <c r="T42" s="195"/>
      <c r="U42" s="195"/>
      <c r="V42" s="195"/>
      <c r="W42" s="196"/>
      <c r="X42" s="196"/>
      <c r="Y42" s="196"/>
      <c r="Z42" s="196"/>
      <c r="AA42" s="196"/>
      <c r="AB42" s="196"/>
      <c r="AC42" s="196"/>
      <c r="AD42" s="196"/>
      <c r="AE42" s="197"/>
      <c r="AF42" s="2421"/>
      <c r="AG42" s="194"/>
      <c r="AH42" s="2421"/>
      <c r="AI42" s="2421"/>
      <c r="AJ42" s="2421"/>
      <c r="AK42" s="2421"/>
      <c r="AL42" s="2421"/>
      <c r="AM42" s="2421"/>
      <c r="AN42" s="2421"/>
      <c r="AO42" s="2421"/>
      <c r="AP42" s="2421"/>
      <c r="AQ42" s="2422"/>
      <c r="AR42" s="2422"/>
      <c r="AS42" s="2422"/>
      <c r="AT42" s="54"/>
      <c r="AU42" s="54"/>
      <c r="AV42" s="54"/>
      <c r="AW42" s="54"/>
      <c r="AX42" s="54"/>
      <c r="AY42" s="54"/>
      <c r="AZ42" s="54"/>
      <c r="BA42" s="54"/>
      <c r="BB42" s="54"/>
      <c r="BC42" s="2423"/>
      <c r="BD42" s="4"/>
      <c r="BE42" s="20"/>
      <c r="BF42" s="20"/>
      <c r="BG42" s="20"/>
    </row>
    <row r="43" spans="1:59" s="2" customFormat="1" ht="9.75" customHeight="1">
      <c r="A43" s="3674"/>
      <c r="B43" s="3675"/>
      <c r="C43" s="3675"/>
      <c r="D43" s="3675"/>
      <c r="E43" s="3675"/>
      <c r="F43" s="3675"/>
      <c r="G43" s="3675"/>
      <c r="H43" s="3675"/>
      <c r="I43" s="3675"/>
      <c r="J43" s="3676"/>
      <c r="K43" s="824"/>
      <c r="L43" s="825"/>
      <c r="M43" s="825"/>
      <c r="N43" s="198"/>
      <c r="O43" s="198"/>
      <c r="P43" s="198"/>
      <c r="Q43" s="198"/>
      <c r="R43" s="198"/>
      <c r="S43" s="198"/>
      <c r="T43" s="198"/>
      <c r="U43" s="198"/>
      <c r="V43" s="198"/>
      <c r="W43" s="199"/>
      <c r="X43" s="199"/>
      <c r="Y43" s="199"/>
      <c r="Z43" s="199"/>
      <c r="AA43" s="199"/>
      <c r="AB43" s="199"/>
      <c r="AC43" s="199"/>
      <c r="AD43" s="199"/>
      <c r="AE43" s="200"/>
      <c r="AF43" s="199"/>
      <c r="AG43" s="2424"/>
      <c r="AH43" s="2425"/>
      <c r="AI43" s="2425"/>
      <c r="AJ43" s="719"/>
      <c r="AK43" s="2426"/>
      <c r="AL43" s="2426"/>
      <c r="AM43" s="2426"/>
      <c r="AN43" s="2426"/>
      <c r="AO43" s="2427"/>
      <c r="AP43" s="2427"/>
      <c r="AQ43" s="2428"/>
      <c r="AR43" s="2428"/>
      <c r="AS43" s="2428"/>
      <c r="AT43" s="2429"/>
      <c r="AU43" s="818"/>
      <c r="AV43" s="818"/>
      <c r="AW43" s="818"/>
      <c r="AX43" s="818"/>
      <c r="AY43" s="818"/>
      <c r="AZ43" s="818"/>
      <c r="BA43" s="818"/>
      <c r="BB43" s="818"/>
      <c r="BC43" s="819"/>
      <c r="BD43" s="4"/>
      <c r="BE43" s="4"/>
      <c r="BF43" s="4"/>
      <c r="BG43" s="4"/>
    </row>
    <row r="44" spans="1:59" ht="12.95" customHeight="1">
      <c r="AH44" s="202"/>
      <c r="AI44" s="202"/>
      <c r="AJ44" s="731"/>
      <c r="AV44" s="732"/>
      <c r="AW44" s="732"/>
      <c r="AX44" s="732"/>
      <c r="AY44" s="732"/>
      <c r="AZ44" s="732"/>
      <c r="BA44" s="201"/>
      <c r="BB44" s="201"/>
      <c r="BC44" s="201"/>
      <c r="BD44" s="4"/>
    </row>
    <row r="45" spans="1:59" ht="12.95" customHeight="1">
      <c r="BD45" s="4"/>
    </row>
    <row r="46" spans="1:59" ht="12.95" customHeight="1">
      <c r="BD46" s="20"/>
    </row>
    <row r="47" spans="1:59" ht="12.95" customHeight="1">
      <c r="BD47" s="4"/>
    </row>
    <row r="48" spans="1:59" ht="12.95" customHeight="1">
      <c r="BD48" s="79"/>
    </row>
    <row r="49" ht="12.95" customHeight="1"/>
    <row r="50" ht="12.95" customHeight="1"/>
    <row r="51" ht="12.95" customHeight="1"/>
    <row r="52" ht="12.95" customHeight="1"/>
    <row r="53" ht="12.95" customHeight="1"/>
    <row r="54" ht="12.95" customHeight="1"/>
    <row r="55" ht="12.95" customHeight="1"/>
    <row r="56" ht="12.95" customHeight="1"/>
    <row r="57" ht="12.95" customHeight="1"/>
    <row r="58" ht="12.95" customHeight="1"/>
    <row r="59" ht="12.95" customHeight="1"/>
    <row r="76" ht="12.95" customHeight="1"/>
  </sheetData>
  <customSheetViews>
    <customSheetView guid="{BDF1A126-BD1D-4A5E-80B8-98941684E462}" showPageBreaks="1" printArea="1">
      <selection activeCell="AJ20" sqref="AJ20"/>
      <colBreaks count="1" manualBreakCount="1">
        <brk id="55" max="1048575" man="1"/>
      </colBreaks>
      <pageMargins left="0.5" right="0.5" top="0.59" bottom="0.5" header="0.35" footer="0.3"/>
      <printOptions horizontalCentered="1" verticalCentered="1"/>
      <pageSetup paperSize="9" orientation="landscape" r:id="rId1"/>
      <headerFooter alignWithMargins="0"/>
    </customSheetView>
    <customSheetView guid="{04F0793E-5444-463D-A1D5-E52E08A4C249}" showPageBreaks="1" printArea="1" topLeftCell="A25">
      <selection activeCell="AG44" sqref="AG44"/>
      <colBreaks count="1" manualBreakCount="1">
        <brk id="55" max="1048575" man="1"/>
      </colBreaks>
      <pageMargins left="0.5" right="0.5" top="0.5" bottom="0.5" header="0.3" footer="0.3"/>
      <printOptions horizontalCentered="1" verticalCentered="1"/>
      <pageSetup paperSize="9" orientation="landscape" r:id="rId2"/>
      <headerFooter alignWithMargins="0"/>
    </customSheetView>
    <customSheetView guid="{925F74B5-C2F5-4E55-AFE4-045C56169B44}" showPageBreaks="1" printArea="1">
      <selection activeCell="A3" sqref="A3:BC4"/>
      <colBreaks count="1" manualBreakCount="1">
        <brk id="55" max="1048575" man="1"/>
      </colBreaks>
      <pageMargins left="0.5" right="0.5" top="0.5" bottom="0.5" header="0.3" footer="0.3"/>
      <printOptions horizontalCentered="1" verticalCentered="1"/>
      <pageSetup paperSize="9" orientation="landscape" r:id="rId3"/>
      <headerFooter alignWithMargins="0"/>
    </customSheetView>
    <customSheetView guid="{1FF58891-F32F-4F97-9812-E2D02F4497AA}" topLeftCell="A28">
      <selection activeCell="B5" sqref="B5:B23"/>
      <colBreaks count="1" manualBreakCount="1">
        <brk id="55" max="1048575" man="1"/>
      </colBreaks>
      <pageMargins left="0.5" right="0.5" top="0.59" bottom="0.5" header="0.35" footer="0.3"/>
      <printOptions horizontalCentered="1" verticalCentered="1"/>
      <pageSetup paperSize="9" orientation="landscape" r:id="rId4"/>
      <headerFooter alignWithMargins="0"/>
    </customSheetView>
    <customSheetView guid="{2A6091F0-BAF4-46A2-BC20-0DE610E67601}" showPageBreaks="1" printArea="1">
      <selection activeCell="B5" sqref="B5:B23"/>
      <colBreaks count="1" manualBreakCount="1">
        <brk id="55" max="1048575" man="1"/>
      </colBreaks>
      <pageMargins left="0.5" right="0.5" top="0.59" bottom="0.5" header="0.35" footer="0.3"/>
      <printOptions horizontalCentered="1" verticalCentered="1"/>
      <pageSetup paperSize="9" orientation="landscape" r:id="rId5"/>
      <headerFooter alignWithMargins="0"/>
    </customSheetView>
    <customSheetView guid="{5111FDC7-EEAC-46C3-8033-47A3563F0C00}" showPageBreaks="1" printArea="1">
      <selection activeCell="B5" sqref="B5:B23"/>
      <colBreaks count="1" manualBreakCount="1">
        <brk id="55" max="1048575" man="1"/>
      </colBreaks>
      <pageMargins left="0.5" right="0.5" top="0.59" bottom="0.5" header="0.35" footer="0.3"/>
      <printOptions horizontalCentered="1" verticalCentered="1"/>
      <pageSetup paperSize="9" orientation="landscape" r:id="rId6"/>
      <headerFooter alignWithMargins="0"/>
    </customSheetView>
    <customSheetView guid="{2A5E79E4-584C-4F65-A220-87928CEA02AF}" showPageBreaks="1" printArea="1" topLeftCell="A18">
      <selection activeCell="B18" sqref="B18"/>
      <colBreaks count="1" manualBreakCount="1">
        <brk id="55" max="1048575" man="1"/>
      </colBreaks>
      <pageMargins left="0.5" right="0.5" top="0.59" bottom="0.5" header="0.35" footer="0.3"/>
      <printOptions horizontalCentered="1" verticalCentered="1"/>
      <pageSetup paperSize="9" orientation="landscape" r:id="rId7"/>
      <headerFooter alignWithMargins="0"/>
    </customSheetView>
    <customSheetView guid="{66872EF1-41BD-4D4B-B603-B8B0D03DAD22}" showPageBreaks="1" printArea="1" topLeftCell="A18">
      <selection activeCell="B18" sqref="B18"/>
      <colBreaks count="1" manualBreakCount="1">
        <brk id="55" max="1048575" man="1"/>
      </colBreaks>
      <pageMargins left="0.5" right="0.5" top="0.59" bottom="0.5" header="0.35" footer="0.3"/>
      <printOptions horizontalCentered="1" verticalCentered="1"/>
      <pageSetup paperSize="9" orientation="landscape" r:id="rId8"/>
      <headerFooter alignWithMargins="0"/>
    </customSheetView>
    <customSheetView guid="{ACE56013-11B3-4BF4-BD0B-BF59142DAC13}" showPageBreaks="1" printArea="1" topLeftCell="A18">
      <selection activeCell="B18" sqref="B18"/>
      <colBreaks count="1" manualBreakCount="1">
        <brk id="55" max="1048575" man="1"/>
      </colBreaks>
      <pageMargins left="0.5" right="0.5" top="0.59" bottom="0.5" header="0.35" footer="0.3"/>
      <printOptions horizontalCentered="1" verticalCentered="1"/>
      <pageSetup paperSize="9" orientation="landscape" r:id="rId9"/>
      <headerFooter alignWithMargins="0"/>
    </customSheetView>
  </customSheetViews>
  <mergeCells count="24">
    <mergeCell ref="CC21:CG21"/>
    <mergeCell ref="X16:AB16"/>
    <mergeCell ref="A42:J43"/>
    <mergeCell ref="AH28:AM29"/>
    <mergeCell ref="A39:J40"/>
    <mergeCell ref="A36:G38"/>
    <mergeCell ref="P36:Z38"/>
    <mergeCell ref="S28:X28"/>
    <mergeCell ref="Z28:AE28"/>
    <mergeCell ref="M28:R28"/>
    <mergeCell ref="AH33:AK34"/>
    <mergeCell ref="AH35:AX35"/>
    <mergeCell ref="A3:BC4"/>
    <mergeCell ref="O26:P26"/>
    <mergeCell ref="Q26:R26"/>
    <mergeCell ref="S26:T26"/>
    <mergeCell ref="U26:V26"/>
    <mergeCell ref="X26:Y26"/>
    <mergeCell ref="Z26:AA26"/>
    <mergeCell ref="AB26:AC26"/>
    <mergeCell ref="AD26:AE26"/>
    <mergeCell ref="AH18:AZ18"/>
    <mergeCell ref="M25:N25"/>
    <mergeCell ref="A18:E18"/>
  </mergeCells>
  <phoneticPr fontId="19" type="noConversion"/>
  <printOptions horizontalCentered="1" verticalCentered="1"/>
  <pageMargins left="0.25" right="0.25" top="0.75" bottom="0.75" header="0.3" footer="0.3"/>
  <pageSetup paperSize="9" orientation="landscape" r:id="rId10"/>
  <headerFooter alignWithMargins="0"/>
  <colBreaks count="1" manualBreakCount="1">
    <brk id="55" max="1048575" man="1"/>
  </colBreaks>
  <drawing r:id="rId11"/>
  <legacyDrawing r:id="rId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40"/>
  <sheetViews>
    <sheetView showGridLines="0" view="pageLayout" topLeftCell="A11" zoomScaleNormal="100" workbookViewId="0">
      <selection activeCell="G11" sqref="G11"/>
    </sheetView>
  </sheetViews>
  <sheetFormatPr defaultColWidth="9.140625" defaultRowHeight="12.75"/>
  <cols>
    <col min="1" max="1" width="2.7109375" style="21" customWidth="1"/>
    <col min="2" max="2" width="6" style="22" customWidth="1"/>
    <col min="3" max="4" width="9.140625" style="22"/>
    <col min="5" max="5" width="51" style="22" customWidth="1"/>
    <col min="6" max="6" width="6.5703125" style="85" bestFit="1" customWidth="1"/>
    <col min="7" max="16384" width="9.140625" style="22"/>
  </cols>
  <sheetData>
    <row r="1" spans="1:8" ht="18" customHeight="1" thickTop="1" thickBot="1">
      <c r="A1" s="3687" t="s">
        <v>34</v>
      </c>
      <c r="B1" s="3688"/>
      <c r="C1" s="3688"/>
      <c r="D1" s="3688"/>
      <c r="E1" s="3688"/>
      <c r="F1" s="3689"/>
    </row>
    <row r="2" spans="1:8" ht="13.5" customHeight="1">
      <c r="A2" s="2109"/>
      <c r="B2" s="2088" t="s">
        <v>1339</v>
      </c>
      <c r="C2" s="554"/>
      <c r="D2" s="554"/>
      <c r="E2" s="554"/>
      <c r="F2" s="2110" t="s">
        <v>35</v>
      </c>
    </row>
    <row r="3" spans="1:8" ht="13.5" customHeight="1">
      <c r="A3" s="2111"/>
      <c r="B3" s="2322" t="s">
        <v>1409</v>
      </c>
      <c r="C3" s="2323"/>
      <c r="D3" s="2323"/>
      <c r="E3" s="2324"/>
      <c r="F3" s="2112" t="s">
        <v>1410</v>
      </c>
    </row>
    <row r="4" spans="1:8" ht="13.5" customHeight="1">
      <c r="A4" s="2111"/>
      <c r="B4" s="2106" t="s">
        <v>1340</v>
      </c>
      <c r="C4" s="2107"/>
      <c r="D4" s="2107"/>
      <c r="E4" s="2107"/>
      <c r="F4" s="2112" t="s">
        <v>524</v>
      </c>
    </row>
    <row r="5" spans="1:8" ht="13.5" customHeight="1">
      <c r="A5" s="2111"/>
      <c r="B5" s="2103" t="s">
        <v>1529</v>
      </c>
      <c r="C5" s="2085"/>
      <c r="D5" s="2085"/>
      <c r="E5" s="2085"/>
      <c r="F5" s="2325"/>
      <c r="G5" s="2326"/>
      <c r="H5" s="2326"/>
    </row>
    <row r="6" spans="1:8" ht="12.75" customHeight="1">
      <c r="A6" s="2111"/>
      <c r="B6" s="553"/>
      <c r="C6" s="2084" t="s">
        <v>523</v>
      </c>
      <c r="D6" s="2084"/>
      <c r="E6" s="2108"/>
      <c r="F6" s="2112" t="s">
        <v>525</v>
      </c>
    </row>
    <row r="7" spans="1:8" ht="12.75" customHeight="1">
      <c r="A7" s="2111"/>
      <c r="B7" s="553"/>
      <c r="C7" s="2084" t="s">
        <v>1330</v>
      </c>
      <c r="D7" s="2084"/>
      <c r="E7" s="2108"/>
      <c r="F7" s="2112" t="s">
        <v>526</v>
      </c>
    </row>
    <row r="8" spans="1:8" ht="12.75" customHeight="1">
      <c r="A8" s="2111"/>
      <c r="B8" s="553"/>
      <c r="C8" s="2084" t="s">
        <v>1331</v>
      </c>
      <c r="D8" s="2084"/>
      <c r="E8" s="2108"/>
      <c r="F8" s="2118">
        <v>8</v>
      </c>
    </row>
    <row r="9" spans="1:8" ht="12.75" customHeight="1">
      <c r="A9" s="2111"/>
      <c r="B9" s="553"/>
      <c r="C9" s="2084" t="s">
        <v>1475</v>
      </c>
      <c r="D9" s="2084"/>
      <c r="E9" s="2084"/>
      <c r="F9" s="2118">
        <v>9</v>
      </c>
    </row>
    <row r="10" spans="1:8" ht="12.75" customHeight="1">
      <c r="A10" s="2111"/>
      <c r="B10" s="553"/>
      <c r="C10" s="2084" t="s">
        <v>1528</v>
      </c>
      <c r="D10" s="2084"/>
      <c r="E10" s="2084"/>
      <c r="F10" s="2118">
        <v>10</v>
      </c>
    </row>
    <row r="11" spans="1:8" ht="13.5" customHeight="1">
      <c r="A11" s="2111"/>
      <c r="B11" s="2103" t="s">
        <v>1349</v>
      </c>
      <c r="C11" s="2085"/>
      <c r="D11" s="2085"/>
      <c r="E11" s="2085"/>
      <c r="F11" s="2112" t="s">
        <v>1531</v>
      </c>
    </row>
    <row r="12" spans="1:8" ht="13.5" customHeight="1">
      <c r="A12" s="2111"/>
      <c r="B12" s="2103" t="s">
        <v>1341</v>
      </c>
      <c r="C12" s="2085"/>
      <c r="D12" s="2085"/>
      <c r="E12" s="2085"/>
      <c r="F12" s="2112" t="s">
        <v>1530</v>
      </c>
    </row>
    <row r="13" spans="1:8" ht="13.5" customHeight="1">
      <c r="A13" s="2111"/>
      <c r="B13" s="2103" t="s">
        <v>1342</v>
      </c>
      <c r="C13" s="2085"/>
      <c r="D13" s="2085"/>
      <c r="E13" s="2085"/>
      <c r="F13" s="2118">
        <v>17</v>
      </c>
    </row>
    <row r="14" spans="1:8" ht="13.5" customHeight="1">
      <c r="A14" s="2111"/>
      <c r="B14" s="2103" t="s">
        <v>1397</v>
      </c>
      <c r="C14" s="2085"/>
      <c r="D14" s="2085"/>
      <c r="E14" s="2086"/>
      <c r="F14" s="2327"/>
    </row>
    <row r="15" spans="1:8" ht="12.75" customHeight="1">
      <c r="A15" s="2111"/>
      <c r="B15" s="2085"/>
      <c r="C15" s="2085" t="s">
        <v>1332</v>
      </c>
      <c r="D15" s="2085"/>
      <c r="E15" s="2085"/>
      <c r="F15" s="2118">
        <v>18</v>
      </c>
    </row>
    <row r="16" spans="1:8" ht="12.75" customHeight="1">
      <c r="A16" s="2111"/>
      <c r="B16" s="2085"/>
      <c r="C16" s="2085" t="s">
        <v>1362</v>
      </c>
      <c r="D16" s="2085"/>
      <c r="E16" s="2085"/>
      <c r="F16" s="2112" t="s">
        <v>1532</v>
      </c>
    </row>
    <row r="17" spans="1:8" ht="12.75" customHeight="1">
      <c r="A17" s="2111"/>
      <c r="B17" s="2085"/>
      <c r="C17" s="2085" t="s">
        <v>1333</v>
      </c>
      <c r="D17" s="2085"/>
      <c r="E17" s="2085"/>
      <c r="F17" s="2112" t="s">
        <v>1533</v>
      </c>
    </row>
    <row r="18" spans="1:8" ht="12.75" customHeight="1">
      <c r="A18" s="2111"/>
      <c r="B18" s="2085"/>
      <c r="C18" s="2085" t="s">
        <v>1335</v>
      </c>
      <c r="D18" s="2085"/>
      <c r="E18" s="2085"/>
      <c r="F18" s="2113" t="s">
        <v>1534</v>
      </c>
    </row>
    <row r="19" spans="1:8" ht="12.75" customHeight="1">
      <c r="A19" s="2111"/>
      <c r="B19" s="2102"/>
      <c r="C19" s="2102" t="s">
        <v>1279</v>
      </c>
      <c r="D19" s="2102"/>
      <c r="E19" s="2102"/>
      <c r="F19" s="2113">
        <v>25</v>
      </c>
    </row>
    <row r="20" spans="1:8" ht="13.5" customHeight="1">
      <c r="A20" s="2114"/>
      <c r="B20" s="2103" t="s">
        <v>1343</v>
      </c>
      <c r="C20" s="2085"/>
      <c r="D20" s="2085"/>
      <c r="E20" s="2104"/>
      <c r="F20" s="2119" t="s">
        <v>1535</v>
      </c>
    </row>
    <row r="21" spans="1:8" ht="13.5" customHeight="1">
      <c r="A21" s="2115"/>
      <c r="B21" s="2103" t="s">
        <v>1344</v>
      </c>
      <c r="C21" s="2086"/>
      <c r="D21" s="2086"/>
      <c r="E21" s="2087"/>
      <c r="F21" s="2113">
        <v>28</v>
      </c>
    </row>
    <row r="22" spans="1:8" ht="13.5" customHeight="1">
      <c r="A22" s="2115"/>
      <c r="B22" s="2103" t="s">
        <v>1351</v>
      </c>
      <c r="C22" s="2086"/>
      <c r="D22" s="2086"/>
      <c r="E22" s="2086"/>
      <c r="F22" s="2327"/>
      <c r="G22" s="2326"/>
      <c r="H22" s="2326"/>
    </row>
    <row r="23" spans="1:8" ht="12.75" customHeight="1">
      <c r="A23" s="2115"/>
      <c r="B23" s="2103"/>
      <c r="C23" s="2085" t="s">
        <v>1352</v>
      </c>
      <c r="D23" s="2086"/>
      <c r="E23" s="2087"/>
      <c r="F23" s="2113">
        <v>29</v>
      </c>
    </row>
    <row r="24" spans="1:8" ht="12.75" customHeight="1">
      <c r="A24" s="2115"/>
      <c r="B24" s="2103"/>
      <c r="C24" s="2085" t="s">
        <v>1283</v>
      </c>
      <c r="D24" s="2086"/>
      <c r="E24" s="2087"/>
      <c r="F24" s="2113">
        <v>30</v>
      </c>
    </row>
    <row r="25" spans="1:8" ht="13.5" customHeight="1">
      <c r="A25" s="2115"/>
      <c r="B25" s="2103" t="s">
        <v>1353</v>
      </c>
      <c r="C25" s="2086"/>
      <c r="D25" s="2086"/>
      <c r="E25" s="2087"/>
      <c r="F25" s="2113" t="s">
        <v>1536</v>
      </c>
    </row>
    <row r="26" spans="1:8" ht="13.5" customHeight="1">
      <c r="A26" s="2115"/>
      <c r="B26" s="2103" t="s">
        <v>1354</v>
      </c>
      <c r="C26" s="2086"/>
      <c r="D26" s="2086"/>
      <c r="E26" s="2087"/>
      <c r="F26" s="2113">
        <v>33</v>
      </c>
    </row>
    <row r="27" spans="1:8" ht="13.5" customHeight="1">
      <c r="A27" s="2115"/>
      <c r="B27" s="2103" t="s">
        <v>1363</v>
      </c>
      <c r="C27" s="2164"/>
      <c r="D27" s="2086"/>
      <c r="E27" s="2087"/>
      <c r="F27" s="2113">
        <v>34</v>
      </c>
    </row>
    <row r="28" spans="1:8" ht="13.5" customHeight="1">
      <c r="A28" s="2115"/>
      <c r="B28" s="2103" t="s">
        <v>1549</v>
      </c>
      <c r="C28" s="2103"/>
      <c r="D28" s="2085"/>
      <c r="E28" s="2085"/>
      <c r="F28" s="2113">
        <v>35</v>
      </c>
    </row>
    <row r="29" spans="1:8" ht="13.5" customHeight="1">
      <c r="A29" s="2115"/>
      <c r="B29" s="2103" t="s">
        <v>1400</v>
      </c>
      <c r="C29" s="2164"/>
      <c r="D29" s="2086"/>
      <c r="E29" s="2087"/>
      <c r="F29" s="2113">
        <v>36</v>
      </c>
    </row>
    <row r="30" spans="1:8" ht="13.5" customHeight="1">
      <c r="A30" s="2115"/>
      <c r="B30" s="2103" t="s">
        <v>1401</v>
      </c>
      <c r="C30" s="2103"/>
      <c r="D30" s="2085"/>
      <c r="E30" s="2087"/>
      <c r="F30" s="2113">
        <v>37</v>
      </c>
    </row>
    <row r="31" spans="1:8" ht="13.5" customHeight="1">
      <c r="A31" s="2115"/>
      <c r="B31" s="2103" t="s">
        <v>1405</v>
      </c>
      <c r="C31" s="2164"/>
      <c r="D31" s="2086"/>
      <c r="E31" s="2087"/>
      <c r="F31" s="2113">
        <v>38</v>
      </c>
    </row>
    <row r="32" spans="1:8" ht="13.5" customHeight="1">
      <c r="A32" s="2115"/>
      <c r="B32" s="2879" t="s">
        <v>1644</v>
      </c>
      <c r="C32" s="2880"/>
      <c r="D32" s="2881"/>
      <c r="E32" s="2882"/>
      <c r="F32" s="2113">
        <v>39</v>
      </c>
    </row>
    <row r="33" spans="1:6" ht="13.5" customHeight="1">
      <c r="A33" s="2115"/>
      <c r="B33" s="2103" t="s">
        <v>1406</v>
      </c>
      <c r="C33" s="2164"/>
      <c r="D33" s="2086"/>
      <c r="E33" s="2087"/>
      <c r="F33" s="2118" t="s">
        <v>1537</v>
      </c>
    </row>
    <row r="34" spans="1:6" ht="13.5" customHeight="1">
      <c r="A34" s="2115"/>
      <c r="B34" s="2103" t="s">
        <v>1350</v>
      </c>
      <c r="C34" s="2164"/>
      <c r="D34" s="2086"/>
      <c r="E34" s="2087"/>
      <c r="F34" s="2113">
        <v>42</v>
      </c>
    </row>
    <row r="35" spans="1:6" ht="13.5" customHeight="1">
      <c r="A35" s="2115"/>
      <c r="B35" s="2103" t="s">
        <v>1345</v>
      </c>
      <c r="C35" s="2164"/>
      <c r="D35" s="2086"/>
      <c r="E35" s="2087"/>
      <c r="F35" s="2113">
        <v>43</v>
      </c>
    </row>
    <row r="36" spans="1:6" ht="13.5" customHeight="1" thickBot="1">
      <c r="A36" s="2115"/>
      <c r="B36" s="2165" t="s">
        <v>1411</v>
      </c>
      <c r="C36" s="2166"/>
      <c r="D36" s="2117"/>
      <c r="E36" s="2117"/>
      <c r="F36" s="2120">
        <v>44</v>
      </c>
    </row>
    <row r="37" spans="1:6" ht="9.75" customHeight="1" thickTop="1" thickBot="1">
      <c r="A37" s="2116"/>
      <c r="F37" s="2105"/>
    </row>
    <row r="38" spans="1:6" ht="13.5" thickTop="1">
      <c r="F38" s="2105"/>
    </row>
    <row r="39" spans="1:6">
      <c r="F39" s="2105"/>
    </row>
    <row r="40" spans="1:6">
      <c r="F40" s="2105"/>
    </row>
  </sheetData>
  <customSheetViews>
    <customSheetView guid="{BDF1A126-BD1D-4A5E-80B8-98941684E462}" showPageBreaks="1" showGridLines="0" printArea="1" view="pageLayout">
      <selection activeCell="H11" sqref="H11"/>
      <pageMargins left="2.72" right="0.196850393700787" top="1.0900000000000001" bottom="0.59055118110236204" header="0" footer="0"/>
      <pageSetup paperSize="9" orientation="landscape" r:id="rId1"/>
      <headerFooter alignWithMargins="0"/>
    </customSheetView>
    <customSheetView guid="{04F0793E-5444-463D-A1D5-E52E08A4C249}" showGridLines="0">
      <selection activeCell="B11" sqref="B11"/>
      <pageMargins left="0.59055118110236227" right="0.19685039370078741" top="0.59055118110236227" bottom="0.59055118110236227" header="0" footer="0"/>
      <pageSetup paperSize="166" orientation="portrait" r:id="rId2"/>
      <headerFooter alignWithMargins="0"/>
    </customSheetView>
    <customSheetView guid="{925F74B5-C2F5-4E55-AFE4-045C56169B44}" showGridLines="0" topLeftCell="A4">
      <selection activeCell="C15" sqref="C15"/>
      <pageMargins left="0.59055118110236227" right="0.19685039370078741" top="0.59055118110236227" bottom="0.59055118110236227" header="0" footer="0"/>
      <pageSetup paperSize="166" orientation="portrait" r:id="rId3"/>
      <headerFooter alignWithMargins="0"/>
    </customSheetView>
    <customSheetView guid="{1FF58891-F32F-4F97-9812-E2D02F4497AA}" showPageBreaks="1" showGridLines="0" printArea="1" view="pageLayout">
      <selection activeCell="B5" sqref="B5:B23"/>
      <pageMargins left="2.72" right="0.196850393700787" top="1.0900000000000001" bottom="0.59055118110236204" header="0" footer="0"/>
      <pageSetup paperSize="9" orientation="landscape" r:id="rId4"/>
      <headerFooter alignWithMargins="0"/>
    </customSheetView>
    <customSheetView guid="{2A6091F0-BAF4-46A2-BC20-0DE610E67601}" showPageBreaks="1" showGridLines="0" printArea="1" view="pageLayout">
      <selection activeCell="H11" sqref="H11"/>
      <pageMargins left="2.72" right="0.196850393700787" top="1.0900000000000001" bottom="0.59055118110236204" header="0" footer="0"/>
      <pageSetup paperSize="9" orientation="landscape" r:id="rId5"/>
      <headerFooter alignWithMargins="0"/>
    </customSheetView>
    <customSheetView guid="{5111FDC7-EEAC-46C3-8033-47A3563F0C00}" showPageBreaks="1" showGridLines="0" printArea="1" view="pageLayout" topLeftCell="A16">
      <selection activeCell="G33" sqref="G33:G35"/>
      <pageMargins left="2.72" right="0.196850393700787" top="1.0900000000000001" bottom="0.59055118110236204" header="0" footer="0"/>
      <pageSetup paperSize="9" orientation="landscape" r:id="rId6"/>
      <headerFooter alignWithMargins="0"/>
    </customSheetView>
    <customSheetView guid="{2A5E79E4-584C-4F65-A220-87928CEA02AF}" showPageBreaks="1" showGridLines="0" printArea="1" view="pageLayout" topLeftCell="A16">
      <selection activeCell="G33" sqref="G33:G35"/>
      <pageMargins left="2.72" right="0.196850393700787" top="1.0900000000000001" bottom="0.59055118110236204" header="0" footer="0"/>
      <pageSetup paperSize="9" orientation="landscape" r:id="rId7"/>
      <headerFooter alignWithMargins="0"/>
    </customSheetView>
    <customSheetView guid="{66872EF1-41BD-4D4B-B603-B8B0D03DAD22}" showPageBreaks="1" showGridLines="0" printArea="1" view="pageLayout" topLeftCell="A16">
      <selection activeCell="G33" sqref="G33:G35"/>
      <pageMargins left="2.72" right="0.196850393700787" top="1.0900000000000001" bottom="0.59055118110236204" header="0" footer="0"/>
      <pageSetup paperSize="9" orientation="landscape" r:id="rId8"/>
      <headerFooter alignWithMargins="0"/>
    </customSheetView>
    <customSheetView guid="{ACE56013-11B3-4BF4-BD0B-BF59142DAC13}" showPageBreaks="1" showGridLines="0" printArea="1" view="pageLayout" topLeftCell="A16">
      <selection activeCell="G33" sqref="G33:G35"/>
      <pageMargins left="2.72" right="0.196850393700787" top="1.0900000000000001" bottom="0.59055118110236204" header="0" footer="0"/>
      <pageSetup paperSize="9" orientation="landscape" r:id="rId9"/>
      <headerFooter alignWithMargins="0"/>
    </customSheetView>
  </customSheetViews>
  <mergeCells count="1">
    <mergeCell ref="A1:F1"/>
  </mergeCells>
  <phoneticPr fontId="0" type="noConversion"/>
  <pageMargins left="2.72" right="0.196850393700787" top="1.0900000000000001" bottom="0.59055118110236204" header="0" footer="0"/>
  <pageSetup paperSize="9" orientation="landscape" r:id="rId10"/>
  <headerFooter alignWithMargins="0"/>
  <drawing r:id="rId11"/>
  <legacyDrawing r:id="rId1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W40"/>
  <sheetViews>
    <sheetView showGridLines="0" tabSelected="1" view="pageLayout" topLeftCell="BF2" zoomScaleNormal="100" zoomScaleSheetLayoutView="100" workbookViewId="0">
      <selection activeCell="BI8" sqref="BI8"/>
    </sheetView>
  </sheetViews>
  <sheetFormatPr defaultColWidth="9.140625" defaultRowHeight="11.25"/>
  <cols>
    <col min="1" max="5" width="2.7109375" style="2977" customWidth="1"/>
    <col min="6" max="12" width="1.85546875" style="2977" customWidth="1"/>
    <col min="13" max="13" width="23.28515625" style="2977" customWidth="1"/>
    <col min="14" max="14" width="7.28515625" style="2977" customWidth="1"/>
    <col min="15" max="15" width="3.140625" style="2977" customWidth="1"/>
    <col min="16" max="16" width="17" style="2977" customWidth="1"/>
    <col min="17" max="17" width="3.140625" style="3131" customWidth="1"/>
    <col min="18" max="18" width="5" style="2977" customWidth="1"/>
    <col min="19" max="19" width="4" style="2977" customWidth="1"/>
    <col min="20" max="21" width="4.85546875" style="2977" customWidth="1"/>
    <col min="22" max="22" width="7.5703125" style="2977" customWidth="1"/>
    <col min="23" max="23" width="7.140625" style="2977" customWidth="1"/>
    <col min="24" max="24" width="6.42578125" style="2977" customWidth="1"/>
    <col min="25" max="25" width="11.140625" style="2977" customWidth="1"/>
    <col min="26" max="26" width="1.42578125" style="2977" customWidth="1"/>
    <col min="27" max="27" width="1.7109375" style="2977" customWidth="1"/>
    <col min="28" max="29" width="5.140625" style="2977" customWidth="1"/>
    <col min="30" max="30" width="3.140625" style="2977" customWidth="1"/>
    <col min="31" max="31" width="6.140625" style="2977" customWidth="1"/>
    <col min="32" max="32" width="5" style="2977" customWidth="1"/>
    <col min="33" max="33" width="1.7109375" style="2977" customWidth="1"/>
    <col min="34" max="34" width="4.7109375" style="2977" customWidth="1"/>
    <col min="35" max="35" width="1.5703125" style="2977" customWidth="1"/>
    <col min="36" max="36" width="2.7109375" style="2977" customWidth="1"/>
    <col min="37" max="38" width="2.28515625" style="2977" customWidth="1"/>
    <col min="39" max="39" width="5.42578125" style="2977" customWidth="1"/>
    <col min="40" max="40" width="7.140625" style="2977" customWidth="1"/>
    <col min="41" max="41" width="2.7109375" style="2977" customWidth="1"/>
    <col min="42" max="42" width="2" style="2977" customWidth="1"/>
    <col min="43" max="44" width="2.7109375" style="2977" customWidth="1"/>
    <col min="45" max="45" width="4.42578125" style="2977" customWidth="1"/>
    <col min="46" max="47" width="2.28515625" style="2977" customWidth="1"/>
    <col min="48" max="48" width="4.28515625" style="2977" customWidth="1"/>
    <col min="49" max="49" width="4.7109375" style="2977" customWidth="1"/>
    <col min="50" max="50" width="1.5703125" style="2977" customWidth="1"/>
    <col min="51" max="51" width="2.140625" style="2977" customWidth="1"/>
    <col min="52" max="52" width="15.28515625" style="2624" customWidth="1"/>
    <col min="53" max="53" width="5.28515625" style="2625" customWidth="1"/>
    <col min="54" max="54" width="6.5703125" style="2977" customWidth="1"/>
    <col min="55" max="55" width="5" style="2977" customWidth="1"/>
    <col min="56" max="56" width="2.5703125" style="2977" customWidth="1"/>
    <col min="57" max="57" width="7.140625" style="2977" customWidth="1"/>
    <col min="58" max="58" width="8.140625" style="2977" customWidth="1"/>
    <col min="59" max="59" width="13" style="2624" customWidth="1"/>
    <col min="60" max="60" width="4" style="2625" customWidth="1"/>
    <col min="61" max="61" width="26" style="2624" customWidth="1"/>
    <col min="62" max="62" width="5.5703125" style="2625" customWidth="1"/>
    <col min="63" max="63" width="20.7109375" style="2624" customWidth="1"/>
    <col min="64" max="64" width="3" style="2625" customWidth="1"/>
    <col min="65" max="65" width="13" style="2624" customWidth="1"/>
    <col min="66" max="66" width="4.28515625" style="2625" customWidth="1"/>
    <col min="67" max="67" width="4.85546875" style="2624" customWidth="1"/>
    <col min="68" max="68" width="3.85546875" style="2624" customWidth="1"/>
    <col min="69" max="69" width="4.85546875" style="2624" customWidth="1"/>
    <col min="70" max="70" width="20.5703125" style="2624" customWidth="1"/>
    <col min="71" max="71" width="2.7109375" style="2625" customWidth="1"/>
    <col min="72" max="72" width="7.7109375" style="2624" customWidth="1"/>
    <col min="73" max="73" width="11.42578125" style="2624" customWidth="1"/>
    <col min="74" max="93" width="2.7109375" style="2977" customWidth="1"/>
    <col min="94" max="16384" width="9.140625" style="2977"/>
  </cols>
  <sheetData>
    <row r="1" spans="1:89" ht="15" customHeight="1" thickBot="1">
      <c r="B1" s="2978"/>
      <c r="C1" s="2980" t="s">
        <v>1242</v>
      </c>
      <c r="D1" s="2978"/>
      <c r="E1" s="2978"/>
      <c r="F1" s="2978"/>
      <c r="G1" s="2978"/>
      <c r="H1" s="2978"/>
      <c r="I1" s="2978"/>
      <c r="J1" s="2978"/>
      <c r="K1" s="2978"/>
      <c r="L1" s="2978"/>
      <c r="M1" s="2978"/>
      <c r="N1" s="2981"/>
      <c r="O1" s="2981"/>
      <c r="P1" s="2981"/>
      <c r="Q1" s="2946"/>
      <c r="R1" s="2981"/>
      <c r="S1" s="2981"/>
      <c r="T1" s="2981"/>
      <c r="U1" s="2981"/>
      <c r="V1" s="2981"/>
      <c r="W1" s="2981"/>
      <c r="X1" s="2981"/>
      <c r="Z1" s="2979"/>
      <c r="AA1" s="2978"/>
      <c r="AB1" s="2978"/>
      <c r="AC1" s="2978"/>
      <c r="AD1" s="2979"/>
      <c r="AE1" s="2980" t="s">
        <v>1356</v>
      </c>
      <c r="AF1" s="2978"/>
      <c r="AG1" s="2978"/>
      <c r="AI1" s="2978"/>
      <c r="AJ1" s="2978"/>
      <c r="AL1" s="2978"/>
      <c r="AM1" s="2978"/>
      <c r="AN1" s="2978"/>
      <c r="AO1" s="2978"/>
      <c r="AP1" s="2978"/>
      <c r="AR1" s="2978"/>
      <c r="AS1" s="2978"/>
      <c r="AV1" s="2978"/>
      <c r="AX1" s="2978"/>
      <c r="AY1" s="2978"/>
      <c r="BB1" s="2978"/>
      <c r="BC1" s="2978"/>
      <c r="BD1" s="2978"/>
      <c r="BE1" s="2981"/>
      <c r="BF1" s="2981"/>
      <c r="BI1" s="2980" t="s">
        <v>1356</v>
      </c>
      <c r="BO1" s="2977"/>
      <c r="BP1" s="2982"/>
      <c r="BQ1" s="2977"/>
      <c r="BW1" s="2978"/>
      <c r="CK1" s="2978"/>
    </row>
    <row r="2" spans="1:89" ht="20.100000000000001" customHeight="1" thickBot="1">
      <c r="B2" s="2978"/>
      <c r="C2" s="2980"/>
      <c r="D2" s="2978"/>
      <c r="E2" s="2978"/>
      <c r="F2" s="2978"/>
      <c r="G2" s="2978"/>
      <c r="H2" s="2978"/>
      <c r="I2" s="2978"/>
      <c r="J2" s="2978"/>
      <c r="K2" s="2978"/>
      <c r="L2" s="2978"/>
      <c r="M2" s="2978"/>
      <c r="N2" s="2981"/>
      <c r="O2" s="2981"/>
      <c r="P2" s="2981"/>
      <c r="Q2" s="2946"/>
      <c r="R2" s="2981"/>
      <c r="S2" s="2981"/>
      <c r="T2" s="2981"/>
      <c r="U2" s="2981"/>
      <c r="V2" s="2981"/>
      <c r="W2" s="2981"/>
      <c r="X2" s="2981"/>
      <c r="Z2" s="2979"/>
      <c r="AA2" s="2978"/>
      <c r="AB2" s="2978"/>
      <c r="AC2" s="2978"/>
      <c r="AD2" s="2979"/>
      <c r="AE2" s="3434" t="s">
        <v>1713</v>
      </c>
      <c r="AF2" s="3435"/>
      <c r="AG2" s="3435"/>
      <c r="AH2" s="3435"/>
      <c r="AI2" s="3435"/>
      <c r="AJ2" s="3435"/>
      <c r="AK2" s="3435"/>
      <c r="AL2" s="3435"/>
      <c r="AM2" s="3436"/>
      <c r="AN2" s="3690" t="s">
        <v>1714</v>
      </c>
      <c r="AO2" s="3691"/>
      <c r="AP2" s="3691"/>
      <c r="AQ2" s="3691"/>
      <c r="AR2" s="3691"/>
      <c r="AS2" s="3691"/>
      <c r="AT2" s="3691"/>
      <c r="AU2" s="3691"/>
      <c r="AV2" s="3692"/>
      <c r="AX2" s="2978"/>
      <c r="AY2" s="2978"/>
      <c r="BB2" s="2978"/>
      <c r="BC2" s="2978"/>
      <c r="BD2" s="2978"/>
      <c r="BE2" s="2981"/>
      <c r="BF2" s="2981"/>
      <c r="BI2" s="2980"/>
      <c r="BO2" s="2977"/>
      <c r="BP2" s="2982"/>
      <c r="BQ2" s="2977"/>
      <c r="BW2" s="2978"/>
      <c r="CK2" s="2978"/>
    </row>
    <row r="3" spans="1:89" ht="13.5" customHeight="1">
      <c r="A3" s="2983"/>
      <c r="B3" s="2984"/>
      <c r="C3" s="3693">
        <v>1.01</v>
      </c>
      <c r="D3" s="3694"/>
      <c r="E3" s="3694"/>
      <c r="F3" s="3694"/>
      <c r="G3" s="3694"/>
      <c r="H3" s="3694"/>
      <c r="I3" s="3694"/>
      <c r="J3" s="3694"/>
      <c r="K3" s="3694"/>
      <c r="L3" s="3694"/>
      <c r="M3" s="3695"/>
      <c r="N3" s="3693">
        <v>1.02</v>
      </c>
      <c r="O3" s="3695"/>
      <c r="P3" s="2985">
        <f>N3+0.01</f>
        <v>1.03</v>
      </c>
      <c r="Q3" s="2986"/>
      <c r="R3" s="3696">
        <f>P3+0.01</f>
        <v>1.04</v>
      </c>
      <c r="S3" s="3695"/>
      <c r="T3" s="3697">
        <f>R3+0.01</f>
        <v>1.05</v>
      </c>
      <c r="U3" s="3698"/>
      <c r="V3" s="3699"/>
      <c r="W3" s="3693">
        <f>T3+0.01</f>
        <v>1.06</v>
      </c>
      <c r="X3" s="3695"/>
      <c r="Y3" s="3693">
        <f>W3+0.01</f>
        <v>1.07</v>
      </c>
      <c r="Z3" s="3694"/>
      <c r="AA3" s="3695"/>
      <c r="AB3" s="3693">
        <f>Y3+0.01</f>
        <v>1.08</v>
      </c>
      <c r="AC3" s="3694"/>
      <c r="AD3" s="3695"/>
      <c r="AE3" s="3729">
        <f>AB3+0.01</f>
        <v>1.0900000000000001</v>
      </c>
      <c r="AF3" s="3730"/>
      <c r="AG3" s="3730"/>
      <c r="AH3" s="3731">
        <f>AE3+0.01</f>
        <v>1.1000000000000001</v>
      </c>
      <c r="AI3" s="3732"/>
      <c r="AJ3" s="3733"/>
      <c r="AK3" s="3731">
        <f>AH3+0.01</f>
        <v>1.1100000000000001</v>
      </c>
      <c r="AL3" s="3732"/>
      <c r="AM3" s="3732"/>
      <c r="AN3" s="3749">
        <f>AK3+0.01</f>
        <v>1.1200000000000001</v>
      </c>
      <c r="AO3" s="3730"/>
      <c r="AP3" s="3750"/>
      <c r="AQ3" s="3731">
        <f t="shared" ref="AQ3" si="0">AN3+0.01</f>
        <v>1.1300000000000001</v>
      </c>
      <c r="AR3" s="3730"/>
      <c r="AS3" s="3750"/>
      <c r="AT3" s="3731">
        <f t="shared" ref="AT3" si="1">AQ3+0.01</f>
        <v>1.1400000000000001</v>
      </c>
      <c r="AU3" s="3732"/>
      <c r="AV3" s="3771"/>
      <c r="AW3" s="3736">
        <f>+AT3+0.01</f>
        <v>1.1500000000000001</v>
      </c>
      <c r="AX3" s="3736"/>
      <c r="AY3" s="3737"/>
      <c r="AZ3" s="3738">
        <f>+AW3+0.01</f>
        <v>1.1600000000000001</v>
      </c>
      <c r="BA3" s="3695"/>
      <c r="BB3" s="3739">
        <f>+AZ3+0.01</f>
        <v>1.1700000000000002</v>
      </c>
      <c r="BC3" s="3740"/>
      <c r="BD3" s="3741"/>
      <c r="BE3" s="3693">
        <f>BB3+0.01</f>
        <v>1.1800000000000002</v>
      </c>
      <c r="BF3" s="3695"/>
      <c r="BG3" s="3738">
        <f>+BE3+0.01</f>
        <v>1.1900000000000002</v>
      </c>
      <c r="BH3" s="3695"/>
      <c r="BI3" s="3738">
        <f>+BG3+0.01</f>
        <v>1.2000000000000002</v>
      </c>
      <c r="BJ3" s="3695"/>
      <c r="BK3" s="3738">
        <f>+BI3+0.01</f>
        <v>1.2100000000000002</v>
      </c>
      <c r="BL3" s="3695"/>
      <c r="BM3" s="3738">
        <f>+BK3+0.01</f>
        <v>1.2200000000000002</v>
      </c>
      <c r="BN3" s="3695"/>
      <c r="BO3" s="3738">
        <f>BM3+0.01</f>
        <v>1.2300000000000002</v>
      </c>
      <c r="BP3" s="3694"/>
      <c r="BQ3" s="3695"/>
      <c r="BR3" s="3738">
        <f>BO3+0.01</f>
        <v>1.2400000000000002</v>
      </c>
      <c r="BS3" s="3695"/>
      <c r="BT3" s="3738">
        <f>BR3+0.01</f>
        <v>1.2500000000000002</v>
      </c>
      <c r="BU3" s="3766"/>
      <c r="BW3" s="2978"/>
      <c r="CK3" s="2978"/>
    </row>
    <row r="4" spans="1:89" s="963" customFormat="1" ht="12.95" customHeight="1">
      <c r="A4" s="3820" t="s">
        <v>122</v>
      </c>
      <c r="B4" s="3821"/>
      <c r="C4" s="3705" t="s">
        <v>1896</v>
      </c>
      <c r="D4" s="3701"/>
      <c r="E4" s="3701"/>
      <c r="F4" s="3701"/>
      <c r="G4" s="3701"/>
      <c r="H4" s="3701"/>
      <c r="I4" s="3701"/>
      <c r="J4" s="3701"/>
      <c r="K4" s="3701"/>
      <c r="L4" s="3701"/>
      <c r="M4" s="3702"/>
      <c r="N4" s="3705" t="s">
        <v>856</v>
      </c>
      <c r="O4" s="3702"/>
      <c r="P4" s="3767" t="s">
        <v>4</v>
      </c>
      <c r="Q4" s="3768"/>
      <c r="R4" s="3769" t="s">
        <v>118</v>
      </c>
      <c r="S4" s="3708"/>
      <c r="T4" s="3716" t="s">
        <v>119</v>
      </c>
      <c r="U4" s="3717"/>
      <c r="V4" s="3718"/>
      <c r="W4" s="3705" t="s">
        <v>120</v>
      </c>
      <c r="X4" s="3702"/>
      <c r="Y4" s="3707" t="s">
        <v>114</v>
      </c>
      <c r="Z4" s="3700"/>
      <c r="AA4" s="3708"/>
      <c r="AB4" s="3716" t="s">
        <v>1463</v>
      </c>
      <c r="AC4" s="3717"/>
      <c r="AD4" s="3718"/>
      <c r="AE4" s="3700" t="s">
        <v>1364</v>
      </c>
      <c r="AF4" s="3701"/>
      <c r="AG4" s="3702"/>
      <c r="AH4" s="3705" t="s">
        <v>480</v>
      </c>
      <c r="AI4" s="3701"/>
      <c r="AJ4" s="3702"/>
      <c r="AK4" s="3716" t="s">
        <v>1716</v>
      </c>
      <c r="AL4" s="3717"/>
      <c r="AM4" s="3717"/>
      <c r="AN4" s="3829" t="s">
        <v>1365</v>
      </c>
      <c r="AO4" s="3700"/>
      <c r="AP4" s="3708"/>
      <c r="AQ4" s="3707" t="s">
        <v>1366</v>
      </c>
      <c r="AR4" s="3700"/>
      <c r="AS4" s="3708"/>
      <c r="AT4" s="3716" t="s">
        <v>1715</v>
      </c>
      <c r="AU4" s="3717"/>
      <c r="AV4" s="3773"/>
      <c r="AW4" s="3796" t="s">
        <v>849</v>
      </c>
      <c r="AX4" s="3797"/>
      <c r="AY4" s="3798"/>
      <c r="AZ4" s="3707" t="s">
        <v>850</v>
      </c>
      <c r="BA4" s="3708"/>
      <c r="BB4" s="3705" t="s">
        <v>851</v>
      </c>
      <c r="BC4" s="3701"/>
      <c r="BD4" s="3702"/>
      <c r="BE4" s="3705" t="s">
        <v>852</v>
      </c>
      <c r="BF4" s="3702"/>
      <c r="BG4" s="3705" t="s">
        <v>483</v>
      </c>
      <c r="BH4" s="3702"/>
      <c r="BI4" s="3705" t="s">
        <v>484</v>
      </c>
      <c r="BJ4" s="3702"/>
      <c r="BK4" s="3705" t="s">
        <v>853</v>
      </c>
      <c r="BL4" s="3702"/>
      <c r="BM4" s="3705" t="s">
        <v>123</v>
      </c>
      <c r="BN4" s="3702"/>
      <c r="BO4" s="3778" t="s">
        <v>658</v>
      </c>
      <c r="BP4" s="3779"/>
      <c r="BQ4" s="3780"/>
      <c r="BR4" s="2987" t="s">
        <v>64</v>
      </c>
      <c r="BS4" s="2988"/>
      <c r="BT4" s="3705" t="s">
        <v>38</v>
      </c>
      <c r="BU4" s="3702"/>
      <c r="BW4" s="327"/>
      <c r="BX4" s="327"/>
    </row>
    <row r="5" spans="1:89" s="963" customFormat="1" ht="12.95" customHeight="1">
      <c r="A5" s="3822"/>
      <c r="B5" s="3823"/>
      <c r="C5" s="3706"/>
      <c r="D5" s="3703"/>
      <c r="E5" s="3703"/>
      <c r="F5" s="3703"/>
      <c r="G5" s="3703"/>
      <c r="H5" s="3703"/>
      <c r="I5" s="3703"/>
      <c r="J5" s="3703"/>
      <c r="K5" s="3703"/>
      <c r="L5" s="3703"/>
      <c r="M5" s="3704"/>
      <c r="N5" s="3706"/>
      <c r="O5" s="3704"/>
      <c r="P5" s="3712" t="s">
        <v>848</v>
      </c>
      <c r="Q5" s="3713"/>
      <c r="R5" s="3770"/>
      <c r="S5" s="3704"/>
      <c r="T5" s="3709"/>
      <c r="U5" s="3710"/>
      <c r="V5" s="3711"/>
      <c r="W5" s="3706"/>
      <c r="X5" s="3704"/>
      <c r="Y5" s="3706"/>
      <c r="Z5" s="3703"/>
      <c r="AA5" s="3704"/>
      <c r="AB5" s="3709"/>
      <c r="AC5" s="3710"/>
      <c r="AD5" s="3711"/>
      <c r="AE5" s="3703"/>
      <c r="AF5" s="3703"/>
      <c r="AG5" s="3704"/>
      <c r="AH5" s="3706"/>
      <c r="AI5" s="3703"/>
      <c r="AJ5" s="3704"/>
      <c r="AK5" s="3709"/>
      <c r="AL5" s="3710"/>
      <c r="AM5" s="3710"/>
      <c r="AN5" s="3830"/>
      <c r="AO5" s="3703"/>
      <c r="AP5" s="3704"/>
      <c r="AQ5" s="3706"/>
      <c r="AR5" s="3703"/>
      <c r="AS5" s="3704"/>
      <c r="AT5" s="3709"/>
      <c r="AU5" s="3710"/>
      <c r="AV5" s="3774"/>
      <c r="AW5" s="3799"/>
      <c r="AX5" s="3799"/>
      <c r="AY5" s="3800"/>
      <c r="AZ5" s="3706"/>
      <c r="BA5" s="3704"/>
      <c r="BB5" s="3706"/>
      <c r="BC5" s="3703"/>
      <c r="BD5" s="3704"/>
      <c r="BE5" s="3706"/>
      <c r="BF5" s="3704"/>
      <c r="BG5" s="3706"/>
      <c r="BH5" s="3704"/>
      <c r="BI5" s="3706"/>
      <c r="BJ5" s="3704"/>
      <c r="BK5" s="3706"/>
      <c r="BL5" s="3704"/>
      <c r="BM5" s="3706"/>
      <c r="BN5" s="3704"/>
      <c r="BO5" s="3781"/>
      <c r="BP5" s="3782"/>
      <c r="BQ5" s="3783"/>
      <c r="BR5" s="1233"/>
      <c r="BS5" s="2217"/>
      <c r="BT5" s="3706"/>
      <c r="BU5" s="3704"/>
      <c r="BW5" s="327"/>
      <c r="BX5" s="327"/>
    </row>
    <row r="6" spans="1:89" s="963" customFormat="1" ht="12.95" customHeight="1">
      <c r="A6" s="3822"/>
      <c r="B6" s="3823"/>
      <c r="C6" s="3706"/>
      <c r="D6" s="3703"/>
      <c r="E6" s="3703"/>
      <c r="F6" s="3703"/>
      <c r="G6" s="3703"/>
      <c r="H6" s="3703"/>
      <c r="I6" s="3703"/>
      <c r="J6" s="3703"/>
      <c r="K6" s="3703"/>
      <c r="L6" s="3703"/>
      <c r="M6" s="3704"/>
      <c r="N6" s="3706"/>
      <c r="O6" s="3704"/>
      <c r="P6" s="3714"/>
      <c r="Q6" s="3715"/>
      <c r="R6" s="3770"/>
      <c r="S6" s="3704"/>
      <c r="T6" s="3719" t="s">
        <v>1479</v>
      </c>
      <c r="U6" s="3721"/>
      <c r="V6" s="3720"/>
      <c r="W6" s="3706"/>
      <c r="X6" s="3704"/>
      <c r="Y6" s="3706"/>
      <c r="Z6" s="3703"/>
      <c r="AA6" s="3704"/>
      <c r="AB6" s="3709"/>
      <c r="AC6" s="3710"/>
      <c r="AD6" s="3711"/>
      <c r="AE6" s="3703"/>
      <c r="AF6" s="3703"/>
      <c r="AG6" s="3704"/>
      <c r="AH6" s="3706"/>
      <c r="AI6" s="3703"/>
      <c r="AJ6" s="3704"/>
      <c r="AK6" s="3709"/>
      <c r="AL6" s="3710"/>
      <c r="AM6" s="3710"/>
      <c r="AN6" s="3830"/>
      <c r="AO6" s="3703"/>
      <c r="AP6" s="3704"/>
      <c r="AQ6" s="3706"/>
      <c r="AR6" s="3703"/>
      <c r="AS6" s="3704"/>
      <c r="AT6" s="3709"/>
      <c r="AU6" s="3710"/>
      <c r="AV6" s="3774"/>
      <c r="AW6" s="3799"/>
      <c r="AX6" s="3799"/>
      <c r="AY6" s="3800"/>
      <c r="AZ6" s="3706"/>
      <c r="BA6" s="3704"/>
      <c r="BB6" s="3706"/>
      <c r="BC6" s="3703"/>
      <c r="BD6" s="3704"/>
      <c r="BE6" s="3706"/>
      <c r="BF6" s="3704"/>
      <c r="BG6" s="3706"/>
      <c r="BH6" s="3704"/>
      <c r="BI6" s="3706"/>
      <c r="BJ6" s="3704"/>
      <c r="BK6" s="3706"/>
      <c r="BL6" s="3704"/>
      <c r="BM6" s="3706"/>
      <c r="BN6" s="3704"/>
      <c r="BO6" s="3781"/>
      <c r="BP6" s="3782"/>
      <c r="BQ6" s="3783"/>
      <c r="BR6" s="3709" t="s">
        <v>1049</v>
      </c>
      <c r="BS6" s="3711"/>
      <c r="BT6" s="3706"/>
      <c r="BU6" s="3704"/>
      <c r="BW6" s="327"/>
      <c r="BX6" s="327"/>
    </row>
    <row r="7" spans="1:89" s="963" customFormat="1" ht="12.95" customHeight="1">
      <c r="A7" s="3822"/>
      <c r="B7" s="3823"/>
      <c r="C7" s="3706"/>
      <c r="D7" s="3703"/>
      <c r="E7" s="3703"/>
      <c r="F7" s="3703"/>
      <c r="G7" s="3703"/>
      <c r="H7" s="3703"/>
      <c r="I7" s="3703"/>
      <c r="J7" s="3703"/>
      <c r="K7" s="3703"/>
      <c r="L7" s="3703"/>
      <c r="M7" s="3704"/>
      <c r="N7" s="3706"/>
      <c r="O7" s="3704"/>
      <c r="P7" s="3714"/>
      <c r="Q7" s="3715"/>
      <c r="R7" s="3770"/>
      <c r="S7" s="3704"/>
      <c r="T7" s="3719"/>
      <c r="U7" s="3721"/>
      <c r="V7" s="3720"/>
      <c r="Y7" s="3706"/>
      <c r="Z7" s="3703"/>
      <c r="AA7" s="3704"/>
      <c r="AB7" s="3709"/>
      <c r="AC7" s="3710"/>
      <c r="AD7" s="3711"/>
      <c r="AE7" s="3703"/>
      <c r="AF7" s="3703"/>
      <c r="AG7" s="3704"/>
      <c r="AH7" s="3706"/>
      <c r="AI7" s="3703"/>
      <c r="AJ7" s="3704"/>
      <c r="AK7" s="3709"/>
      <c r="AL7" s="3710"/>
      <c r="AM7" s="3710"/>
      <c r="AN7" s="3830"/>
      <c r="AO7" s="3703"/>
      <c r="AP7" s="3704"/>
      <c r="AQ7" s="3706"/>
      <c r="AR7" s="3703"/>
      <c r="AS7" s="3704"/>
      <c r="AT7" s="3709"/>
      <c r="AU7" s="3710"/>
      <c r="AV7" s="3774"/>
      <c r="AW7" s="3799"/>
      <c r="AX7" s="3799"/>
      <c r="AY7" s="3800"/>
      <c r="AZ7" s="3747" t="s">
        <v>1864</v>
      </c>
      <c r="BA7" s="3748"/>
      <c r="BB7" s="3706"/>
      <c r="BC7" s="3703"/>
      <c r="BD7" s="3704"/>
      <c r="BE7" s="3706"/>
      <c r="BF7" s="3704"/>
      <c r="BG7" s="3706"/>
      <c r="BH7" s="3704"/>
      <c r="BI7" s="2989"/>
      <c r="BJ7" s="2963"/>
      <c r="BK7" s="2989"/>
      <c r="BL7" s="2963"/>
      <c r="BM7" s="2989"/>
      <c r="BN7" s="2963"/>
      <c r="BO7" s="3781"/>
      <c r="BP7" s="3782"/>
      <c r="BQ7" s="3783"/>
      <c r="BR7" s="3709"/>
      <c r="BS7" s="3711"/>
      <c r="BT7" s="3706"/>
      <c r="BU7" s="3704"/>
      <c r="BW7" s="327"/>
      <c r="BX7" s="327"/>
    </row>
    <row r="8" spans="1:89" s="963" customFormat="1" ht="12.95" customHeight="1">
      <c r="A8" s="3822"/>
      <c r="B8" s="3823"/>
      <c r="C8" s="3706"/>
      <c r="D8" s="3703"/>
      <c r="E8" s="3703"/>
      <c r="F8" s="3703"/>
      <c r="G8" s="3703"/>
      <c r="H8" s="3703"/>
      <c r="I8" s="3703"/>
      <c r="J8" s="3703"/>
      <c r="K8" s="3703"/>
      <c r="L8" s="3703"/>
      <c r="M8" s="3704"/>
      <c r="N8" s="3706"/>
      <c r="O8" s="3704"/>
      <c r="P8" s="1251"/>
      <c r="Q8" s="2947"/>
      <c r="R8" s="3770"/>
      <c r="S8" s="3704"/>
      <c r="T8" s="3719"/>
      <c r="U8" s="3721"/>
      <c r="V8" s="3720"/>
      <c r="W8" s="3709" t="s">
        <v>1567</v>
      </c>
      <c r="X8" s="3711"/>
      <c r="Y8" s="3706"/>
      <c r="Z8" s="3703"/>
      <c r="AA8" s="3704"/>
      <c r="AB8" s="3709"/>
      <c r="AC8" s="3710"/>
      <c r="AD8" s="3711"/>
      <c r="AE8" s="3703"/>
      <c r="AF8" s="3703"/>
      <c r="AG8" s="3704"/>
      <c r="AH8" s="3706"/>
      <c r="AI8" s="3703"/>
      <c r="AJ8" s="3704"/>
      <c r="AK8" s="3709"/>
      <c r="AL8" s="3710"/>
      <c r="AM8" s="3710"/>
      <c r="AN8" s="3830"/>
      <c r="AO8" s="3703"/>
      <c r="AP8" s="3704"/>
      <c r="AQ8" s="3706"/>
      <c r="AR8" s="3703"/>
      <c r="AS8" s="3704"/>
      <c r="AT8" s="3709"/>
      <c r="AU8" s="3710"/>
      <c r="AV8" s="3774"/>
      <c r="AW8" s="3799"/>
      <c r="AX8" s="3799"/>
      <c r="AY8" s="3800"/>
      <c r="AZ8" s="3747"/>
      <c r="BA8" s="3748"/>
      <c r="BB8" s="3706"/>
      <c r="BC8" s="3703"/>
      <c r="BD8" s="3704"/>
      <c r="BE8" s="3706"/>
      <c r="BF8" s="3704"/>
      <c r="BG8" s="3747" t="s">
        <v>482</v>
      </c>
      <c r="BH8" s="3748"/>
      <c r="BI8" s="2989"/>
      <c r="BJ8" s="2963"/>
      <c r="BK8" s="2989"/>
      <c r="BL8" s="2963"/>
      <c r="BM8" s="2989"/>
      <c r="BN8" s="2963"/>
      <c r="BO8" s="3781"/>
      <c r="BP8" s="3782"/>
      <c r="BQ8" s="3783"/>
      <c r="BR8" s="3784"/>
      <c r="BS8" s="3785"/>
      <c r="BT8" s="3706"/>
      <c r="BU8" s="3704"/>
      <c r="BW8" s="327"/>
      <c r="BX8" s="327"/>
    </row>
    <row r="9" spans="1:89" s="963" customFormat="1" ht="12.95" customHeight="1">
      <c r="A9" s="3822"/>
      <c r="B9" s="3823"/>
      <c r="C9" s="3706"/>
      <c r="D9" s="3703"/>
      <c r="E9" s="3703"/>
      <c r="F9" s="3703"/>
      <c r="G9" s="3703"/>
      <c r="H9" s="3703"/>
      <c r="I9" s="3703"/>
      <c r="J9" s="3703"/>
      <c r="K9" s="3703"/>
      <c r="L9" s="3703"/>
      <c r="M9" s="3704"/>
      <c r="N9" s="3706"/>
      <c r="O9" s="3704"/>
      <c r="P9" s="2990" t="s">
        <v>866</v>
      </c>
      <c r="Q9" s="2991" t="s">
        <v>486</v>
      </c>
      <c r="R9" s="3770"/>
      <c r="S9" s="3704"/>
      <c r="T9" s="3719"/>
      <c r="U9" s="3721"/>
      <c r="V9" s="3720"/>
      <c r="W9" s="3709"/>
      <c r="X9" s="3711"/>
      <c r="Y9" s="2992" t="s">
        <v>879</v>
      </c>
      <c r="Z9" s="2993"/>
      <c r="AA9" s="2994">
        <v>1</v>
      </c>
      <c r="AB9" s="3709"/>
      <c r="AC9" s="3710"/>
      <c r="AD9" s="3711"/>
      <c r="AE9" s="3703"/>
      <c r="AF9" s="3703"/>
      <c r="AG9" s="3704"/>
      <c r="AH9" s="3706"/>
      <c r="AI9" s="3703"/>
      <c r="AJ9" s="3704"/>
      <c r="AK9" s="3709"/>
      <c r="AL9" s="3710"/>
      <c r="AM9" s="3710"/>
      <c r="AN9" s="3830"/>
      <c r="AO9" s="3703"/>
      <c r="AP9" s="3704"/>
      <c r="AQ9" s="3706"/>
      <c r="AR9" s="3703"/>
      <c r="AS9" s="3704"/>
      <c r="AT9" s="3709"/>
      <c r="AU9" s="3710"/>
      <c r="AV9" s="3774"/>
      <c r="AW9" s="3799"/>
      <c r="AX9" s="3799"/>
      <c r="AY9" s="3800"/>
      <c r="AZ9" s="2995"/>
      <c r="BA9" s="2996"/>
      <c r="BB9" s="3706"/>
      <c r="BC9" s="3703"/>
      <c r="BD9" s="3704"/>
      <c r="BE9" s="2989"/>
      <c r="BF9" s="964"/>
      <c r="BG9" s="3747"/>
      <c r="BH9" s="3748"/>
      <c r="BI9" s="2997" t="s">
        <v>1065</v>
      </c>
      <c r="BJ9" s="2998">
        <v>1</v>
      </c>
      <c r="BK9" s="2997" t="s">
        <v>896</v>
      </c>
      <c r="BL9" s="2998">
        <v>1</v>
      </c>
      <c r="BM9" s="2997" t="s">
        <v>907</v>
      </c>
      <c r="BN9" s="2998">
        <v>136</v>
      </c>
      <c r="BO9" s="3781"/>
      <c r="BP9" s="3782"/>
      <c r="BQ9" s="3783"/>
      <c r="BR9" s="2997" t="s">
        <v>901</v>
      </c>
      <c r="BS9" s="2998">
        <v>1</v>
      </c>
      <c r="BT9" s="3706"/>
      <c r="BU9" s="3704"/>
      <c r="BW9" s="327"/>
      <c r="BX9" s="327"/>
    </row>
    <row r="10" spans="1:89" s="963" customFormat="1" ht="12.95" customHeight="1">
      <c r="A10" s="3822"/>
      <c r="B10" s="3823"/>
      <c r="C10" s="3706"/>
      <c r="D10" s="3703"/>
      <c r="E10" s="3703"/>
      <c r="F10" s="3703"/>
      <c r="G10" s="3703"/>
      <c r="H10" s="3703"/>
      <c r="I10" s="3703"/>
      <c r="J10" s="3703"/>
      <c r="K10" s="3703"/>
      <c r="L10" s="3703"/>
      <c r="M10" s="3704"/>
      <c r="N10" s="3706"/>
      <c r="O10" s="3704"/>
      <c r="P10" s="2999" t="s">
        <v>1048</v>
      </c>
      <c r="Q10" s="2991" t="s">
        <v>487</v>
      </c>
      <c r="R10" s="3770"/>
      <c r="S10" s="3704"/>
      <c r="T10" s="3719"/>
      <c r="U10" s="3721"/>
      <c r="V10" s="3720"/>
      <c r="W10" s="3709"/>
      <c r="X10" s="3711"/>
      <c r="Y10" s="3000" t="s">
        <v>330</v>
      </c>
      <c r="Z10" s="3001"/>
      <c r="AA10" s="3002"/>
      <c r="AB10" s="3709" t="s">
        <v>37</v>
      </c>
      <c r="AC10" s="3710"/>
      <c r="AD10" s="3711"/>
      <c r="AE10" s="3751" t="s">
        <v>1908</v>
      </c>
      <c r="AF10" s="3752"/>
      <c r="AG10" s="3003"/>
      <c r="AH10" s="3706"/>
      <c r="AI10" s="3703"/>
      <c r="AJ10" s="3704"/>
      <c r="AK10" s="3709"/>
      <c r="AL10" s="3710"/>
      <c r="AM10" s="3710"/>
      <c r="AN10" s="3751" t="s">
        <v>1908</v>
      </c>
      <c r="AO10" s="3752"/>
      <c r="AP10" s="3003"/>
      <c r="AQ10" s="3706"/>
      <c r="AR10" s="3703"/>
      <c r="AS10" s="3704"/>
      <c r="AT10" s="3709"/>
      <c r="AU10" s="3710"/>
      <c r="AV10" s="3774"/>
      <c r="AW10" s="3799"/>
      <c r="AX10" s="3799"/>
      <c r="AY10" s="3800"/>
      <c r="AZ10" s="3004" t="s">
        <v>907</v>
      </c>
      <c r="BA10" s="3005" t="s">
        <v>485</v>
      </c>
      <c r="BB10" s="3706"/>
      <c r="BC10" s="3703"/>
      <c r="BD10" s="3704"/>
      <c r="BE10" s="2989"/>
      <c r="BF10" s="964"/>
      <c r="BG10" s="2997" t="s">
        <v>905</v>
      </c>
      <c r="BH10" s="3006" t="s">
        <v>485</v>
      </c>
      <c r="BI10" s="2997" t="s">
        <v>1066</v>
      </c>
      <c r="BJ10" s="2998">
        <v>2</v>
      </c>
      <c r="BK10" s="2028" t="s">
        <v>897</v>
      </c>
      <c r="BL10" s="2998">
        <v>2</v>
      </c>
      <c r="BM10" s="3004" t="s">
        <v>886</v>
      </c>
      <c r="BN10" s="3007">
        <v>102</v>
      </c>
      <c r="BO10" s="3781"/>
      <c r="BP10" s="3782"/>
      <c r="BQ10" s="3783"/>
      <c r="BR10" s="2997" t="s">
        <v>472</v>
      </c>
      <c r="BS10" s="2998">
        <v>2</v>
      </c>
      <c r="BT10" s="3706"/>
      <c r="BU10" s="3704"/>
      <c r="BW10" s="327"/>
      <c r="BX10" s="327"/>
    </row>
    <row r="11" spans="1:89" s="963" customFormat="1" ht="12.75" customHeight="1">
      <c r="A11" s="3822"/>
      <c r="B11" s="3823"/>
      <c r="C11" s="3706"/>
      <c r="D11" s="3703"/>
      <c r="E11" s="3703"/>
      <c r="F11" s="3703"/>
      <c r="G11" s="3703"/>
      <c r="H11" s="3703"/>
      <c r="I11" s="3703"/>
      <c r="J11" s="3703"/>
      <c r="K11" s="3703"/>
      <c r="L11" s="3703"/>
      <c r="M11" s="3704"/>
      <c r="N11" s="3706"/>
      <c r="O11" s="3704"/>
      <c r="P11" s="2999" t="s">
        <v>867</v>
      </c>
      <c r="Q11" s="2991" t="s">
        <v>488</v>
      </c>
      <c r="R11" s="3770"/>
      <c r="S11" s="3704"/>
      <c r="T11" s="3719"/>
      <c r="U11" s="3721"/>
      <c r="V11" s="3720"/>
      <c r="W11" s="3709"/>
      <c r="X11" s="3711"/>
      <c r="Y11" s="3008" t="s">
        <v>880</v>
      </c>
      <c r="Z11" s="2916"/>
      <c r="AA11" s="2916">
        <v>2</v>
      </c>
      <c r="AB11" s="3709"/>
      <c r="AC11" s="3710"/>
      <c r="AD11" s="3711"/>
      <c r="AE11" s="3751"/>
      <c r="AF11" s="3752"/>
      <c r="AG11" s="438"/>
      <c r="AH11" s="3706"/>
      <c r="AI11" s="3703"/>
      <c r="AJ11" s="3704"/>
      <c r="AK11" s="3709"/>
      <c r="AL11" s="3710"/>
      <c r="AM11" s="3710"/>
      <c r="AN11" s="3751"/>
      <c r="AO11" s="3752"/>
      <c r="AP11" s="438"/>
      <c r="AQ11" s="3706"/>
      <c r="AR11" s="3703"/>
      <c r="AS11" s="3704"/>
      <c r="AT11" s="3709"/>
      <c r="AU11" s="3710"/>
      <c r="AV11" s="3774"/>
      <c r="AW11" s="3799"/>
      <c r="AX11" s="3799"/>
      <c r="AY11" s="3800"/>
      <c r="AZ11" s="3004" t="s">
        <v>886</v>
      </c>
      <c r="BA11" s="3007">
        <v>102</v>
      </c>
      <c r="BB11" s="3706"/>
      <c r="BC11" s="3703"/>
      <c r="BD11" s="3704"/>
      <c r="BE11" s="3709"/>
      <c r="BF11" s="3711"/>
      <c r="BG11" s="3004" t="s">
        <v>886</v>
      </c>
      <c r="BH11" s="3007">
        <v>102</v>
      </c>
      <c r="BI11" s="2997" t="s">
        <v>1064</v>
      </c>
      <c r="BJ11" s="2998">
        <v>3</v>
      </c>
      <c r="BK11" s="3772" t="s">
        <v>1055</v>
      </c>
      <c r="BL11" s="3775">
        <v>3</v>
      </c>
      <c r="BM11" s="3004" t="s">
        <v>887</v>
      </c>
      <c r="BN11" s="3007">
        <v>104</v>
      </c>
      <c r="BO11" s="3781"/>
      <c r="BP11" s="3782"/>
      <c r="BQ11" s="3783"/>
      <c r="BR11" s="2997" t="s">
        <v>1051</v>
      </c>
      <c r="BS11" s="2998">
        <v>3</v>
      </c>
      <c r="BT11" s="3706"/>
      <c r="BU11" s="3704"/>
      <c r="BW11" s="327"/>
      <c r="BX11" s="327"/>
    </row>
    <row r="12" spans="1:89" s="963" customFormat="1" ht="12.75" customHeight="1">
      <c r="A12" s="3822"/>
      <c r="B12" s="3823"/>
      <c r="C12" s="3706"/>
      <c r="D12" s="3703"/>
      <c r="E12" s="3703"/>
      <c r="F12" s="3703"/>
      <c r="G12" s="3703"/>
      <c r="H12" s="3703"/>
      <c r="I12" s="3703"/>
      <c r="J12" s="3703"/>
      <c r="K12" s="3703"/>
      <c r="L12" s="3703"/>
      <c r="M12" s="3704"/>
      <c r="N12" s="3706"/>
      <c r="O12" s="3704"/>
      <c r="P12" s="3010" t="s">
        <v>868</v>
      </c>
      <c r="Q12" s="3011" t="s">
        <v>489</v>
      </c>
      <c r="R12" s="3770"/>
      <c r="S12" s="3704"/>
      <c r="T12" s="3719"/>
      <c r="U12" s="3721"/>
      <c r="V12" s="3720"/>
      <c r="W12" s="1251"/>
      <c r="X12" s="3012"/>
      <c r="Y12" s="3013" t="s">
        <v>1045</v>
      </c>
      <c r="Z12" s="3014"/>
      <c r="AA12" s="3015"/>
      <c r="AB12" s="3709"/>
      <c r="AC12" s="3710"/>
      <c r="AD12" s="3711"/>
      <c r="AE12" s="3753"/>
      <c r="AF12" s="3754"/>
      <c r="AG12" s="438"/>
      <c r="AH12" s="3008"/>
      <c r="AI12" s="445"/>
      <c r="AJ12" s="438"/>
      <c r="AK12" s="3709"/>
      <c r="AL12" s="3710"/>
      <c r="AM12" s="3710"/>
      <c r="AN12" s="3753"/>
      <c r="AO12" s="3754"/>
      <c r="AP12" s="438"/>
      <c r="AQ12" s="3706"/>
      <c r="AR12" s="3703"/>
      <c r="AS12" s="3704"/>
      <c r="AT12" s="3709"/>
      <c r="AU12" s="3710"/>
      <c r="AV12" s="3774"/>
      <c r="AW12" s="445"/>
      <c r="AX12" s="445"/>
      <c r="AY12" s="438"/>
      <c r="AZ12" s="3004" t="s">
        <v>887</v>
      </c>
      <c r="BA12" s="3007">
        <v>104</v>
      </c>
      <c r="BB12" s="3706"/>
      <c r="BC12" s="3703"/>
      <c r="BD12" s="3704"/>
      <c r="BE12" s="3709"/>
      <c r="BF12" s="3711"/>
      <c r="BG12" s="3004" t="s">
        <v>887</v>
      </c>
      <c r="BH12" s="3007">
        <v>104</v>
      </c>
      <c r="BI12" s="2997" t="s">
        <v>1067</v>
      </c>
      <c r="BJ12" s="2998">
        <v>4</v>
      </c>
      <c r="BK12" s="3772" t="s">
        <v>898</v>
      </c>
      <c r="BL12" s="3775"/>
      <c r="BM12" s="3004" t="s">
        <v>888</v>
      </c>
      <c r="BN12" s="3007">
        <v>145</v>
      </c>
      <c r="BO12" s="3781"/>
      <c r="BP12" s="3782"/>
      <c r="BQ12" s="3783"/>
      <c r="BR12" s="2997" t="s">
        <v>1050</v>
      </c>
      <c r="BS12" s="2998">
        <v>4</v>
      </c>
      <c r="BT12" s="3776" t="s">
        <v>1367</v>
      </c>
      <c r="BU12" s="3777"/>
      <c r="BW12" s="327"/>
      <c r="BX12" s="327"/>
    </row>
    <row r="13" spans="1:89" s="963" customFormat="1" ht="12.95" customHeight="1">
      <c r="A13" s="3822"/>
      <c r="B13" s="3823"/>
      <c r="C13" s="3706"/>
      <c r="D13" s="3703"/>
      <c r="E13" s="3703"/>
      <c r="F13" s="3703"/>
      <c r="G13" s="3703"/>
      <c r="H13" s="3703"/>
      <c r="I13" s="3703"/>
      <c r="J13" s="3703"/>
      <c r="K13" s="3703"/>
      <c r="L13" s="3703"/>
      <c r="M13" s="3704"/>
      <c r="N13" s="3706"/>
      <c r="O13" s="3704"/>
      <c r="P13" s="3016" t="s">
        <v>869</v>
      </c>
      <c r="Q13" s="2991" t="s">
        <v>490</v>
      </c>
      <c r="R13" s="3770"/>
      <c r="S13" s="3704"/>
      <c r="T13" s="3719"/>
      <c r="U13" s="3721"/>
      <c r="V13" s="3720"/>
      <c r="W13" s="3719" t="s">
        <v>1568</v>
      </c>
      <c r="X13" s="3720"/>
      <c r="Y13" s="3017" t="s">
        <v>880</v>
      </c>
      <c r="Z13" s="3018"/>
      <c r="AA13" s="3019">
        <v>3</v>
      </c>
      <c r="AB13" s="3709"/>
      <c r="AC13" s="3710"/>
      <c r="AD13" s="3711"/>
      <c r="AE13" s="3020" t="s">
        <v>862</v>
      </c>
      <c r="AF13" s="2930"/>
      <c r="AG13" s="3021">
        <v>1</v>
      </c>
      <c r="AH13" s="2945" t="s">
        <v>862</v>
      </c>
      <c r="AI13" s="3022"/>
      <c r="AJ13" s="3021">
        <v>1</v>
      </c>
      <c r="AK13" s="3709"/>
      <c r="AL13" s="3710"/>
      <c r="AM13" s="3710"/>
      <c r="AN13" s="3023" t="s">
        <v>862</v>
      </c>
      <c r="AO13" s="3024"/>
      <c r="AP13" s="3025">
        <v>1</v>
      </c>
      <c r="AQ13" s="3026" t="s">
        <v>862</v>
      </c>
      <c r="AR13" s="3024"/>
      <c r="AS13" s="3025">
        <v>1</v>
      </c>
      <c r="AT13" s="3709"/>
      <c r="AU13" s="3710"/>
      <c r="AV13" s="3774"/>
      <c r="AW13" s="3026" t="s">
        <v>862</v>
      </c>
      <c r="AX13" s="3027"/>
      <c r="AY13" s="3028">
        <v>1</v>
      </c>
      <c r="AZ13" s="3004" t="s">
        <v>888</v>
      </c>
      <c r="BA13" s="3007">
        <v>145</v>
      </c>
      <c r="BB13" s="2929" t="s">
        <v>862</v>
      </c>
      <c r="BC13" s="3022"/>
      <c r="BD13" s="3021">
        <v>1</v>
      </c>
      <c r="BE13" s="3709"/>
      <c r="BF13" s="3711"/>
      <c r="BG13" s="3004" t="s">
        <v>888</v>
      </c>
      <c r="BH13" s="3007">
        <v>145</v>
      </c>
      <c r="BI13" s="2997" t="s">
        <v>1068</v>
      </c>
      <c r="BJ13" s="2998">
        <v>5</v>
      </c>
      <c r="BK13" s="2997" t="s">
        <v>1056</v>
      </c>
      <c r="BL13" s="2998">
        <v>4</v>
      </c>
      <c r="BM13" s="3004" t="s">
        <v>889</v>
      </c>
      <c r="BN13" s="3007">
        <v>153</v>
      </c>
      <c r="BO13" s="3029" t="s">
        <v>862</v>
      </c>
      <c r="BP13" s="3030"/>
      <c r="BQ13" s="3028">
        <v>1</v>
      </c>
      <c r="BR13" s="2997" t="s">
        <v>1052</v>
      </c>
      <c r="BS13" s="2998">
        <v>5</v>
      </c>
      <c r="BT13" s="3776"/>
      <c r="BU13" s="3777"/>
      <c r="BW13" s="327"/>
      <c r="BX13" s="327"/>
    </row>
    <row r="14" spans="1:89" s="963" customFormat="1" ht="12.95" customHeight="1">
      <c r="A14" s="3822"/>
      <c r="B14" s="3823"/>
      <c r="C14" s="3706"/>
      <c r="D14" s="3703"/>
      <c r="E14" s="3703"/>
      <c r="F14" s="3703"/>
      <c r="G14" s="3703"/>
      <c r="H14" s="3703"/>
      <c r="I14" s="3703"/>
      <c r="J14" s="3703"/>
      <c r="K14" s="3703"/>
      <c r="L14" s="3703"/>
      <c r="M14" s="3704"/>
      <c r="N14" s="583"/>
      <c r="O14" s="1261"/>
      <c r="P14" s="3031" t="s">
        <v>870</v>
      </c>
      <c r="Q14" s="2991" t="s">
        <v>491</v>
      </c>
      <c r="R14" s="3032"/>
      <c r="S14" s="1261"/>
      <c r="T14" s="3033"/>
      <c r="U14" s="434"/>
      <c r="V14" s="3034"/>
      <c r="W14" s="3719"/>
      <c r="X14" s="3720"/>
      <c r="Y14" s="1251" t="s">
        <v>1046</v>
      </c>
      <c r="Z14" s="966"/>
      <c r="AA14" s="1261"/>
      <c r="AB14" s="3035"/>
      <c r="AC14" s="3036"/>
      <c r="AD14" s="3037"/>
      <c r="AE14" s="3038" t="s">
        <v>863</v>
      </c>
      <c r="AF14" s="3039"/>
      <c r="AG14" s="3040">
        <v>2</v>
      </c>
      <c r="AH14" s="3041" t="s">
        <v>863</v>
      </c>
      <c r="AI14" s="3039"/>
      <c r="AJ14" s="3042">
        <v>2</v>
      </c>
      <c r="AK14" s="3709"/>
      <c r="AL14" s="3710"/>
      <c r="AM14" s="3710"/>
      <c r="AN14" s="3043" t="s">
        <v>1566</v>
      </c>
      <c r="AO14" s="3044"/>
      <c r="AP14" s="3045">
        <v>2</v>
      </c>
      <c r="AQ14" s="3038" t="s">
        <v>863</v>
      </c>
      <c r="AR14" s="3044"/>
      <c r="AS14" s="3045">
        <v>2</v>
      </c>
      <c r="AT14" s="3709"/>
      <c r="AU14" s="3710"/>
      <c r="AV14" s="3774"/>
      <c r="AW14" s="3038" t="s">
        <v>863</v>
      </c>
      <c r="AX14" s="445"/>
      <c r="AY14" s="438">
        <v>2</v>
      </c>
      <c r="AZ14" s="3004" t="s">
        <v>889</v>
      </c>
      <c r="BA14" s="3007">
        <v>153</v>
      </c>
      <c r="BB14" s="3046" t="s">
        <v>863</v>
      </c>
      <c r="BC14" s="3039"/>
      <c r="BD14" s="3042">
        <v>2</v>
      </c>
      <c r="BE14" s="3709"/>
      <c r="BF14" s="3711"/>
      <c r="BG14" s="3004" t="s">
        <v>889</v>
      </c>
      <c r="BH14" s="3007">
        <v>153</v>
      </c>
      <c r="BI14" s="2997" t="s">
        <v>1069</v>
      </c>
      <c r="BJ14" s="2998">
        <v>6</v>
      </c>
      <c r="BK14" s="3772" t="s">
        <v>1062</v>
      </c>
      <c r="BL14" s="3775">
        <v>5</v>
      </c>
      <c r="BM14" s="3004" t="s">
        <v>890</v>
      </c>
      <c r="BN14" s="3007">
        <v>154</v>
      </c>
      <c r="BO14" s="3047" t="s">
        <v>863</v>
      </c>
      <c r="BP14" s="3048"/>
      <c r="BQ14" s="3049">
        <v>2</v>
      </c>
      <c r="BR14" s="2997" t="s">
        <v>1076</v>
      </c>
      <c r="BS14" s="2998">
        <v>6</v>
      </c>
      <c r="BT14" s="3776"/>
      <c r="BU14" s="3777"/>
      <c r="BW14" s="327"/>
      <c r="BX14" s="327"/>
    </row>
    <row r="15" spans="1:89" s="963" customFormat="1" ht="12.95" customHeight="1">
      <c r="A15" s="3822"/>
      <c r="B15" s="3823"/>
      <c r="C15" s="3706"/>
      <c r="D15" s="3703"/>
      <c r="E15" s="3703"/>
      <c r="F15" s="3703"/>
      <c r="G15" s="3703"/>
      <c r="H15" s="3703"/>
      <c r="I15" s="3703"/>
      <c r="J15" s="3703"/>
      <c r="K15" s="3703"/>
      <c r="L15" s="3703"/>
      <c r="M15" s="3704"/>
      <c r="N15" s="583"/>
      <c r="O15" s="1261"/>
      <c r="P15" s="3050" t="s">
        <v>871</v>
      </c>
      <c r="Q15" s="3051" t="s">
        <v>492</v>
      </c>
      <c r="R15" s="3032"/>
      <c r="S15" s="1261"/>
      <c r="T15" s="3033"/>
      <c r="U15" s="434"/>
      <c r="V15" s="3034"/>
      <c r="W15" s="3719"/>
      <c r="X15" s="3720"/>
      <c r="Y15" s="3052" t="s">
        <v>881</v>
      </c>
      <c r="Z15" s="3053"/>
      <c r="AA15" s="3054"/>
      <c r="AB15" s="3035"/>
      <c r="AC15" s="3036"/>
      <c r="AD15" s="3037"/>
      <c r="AE15" s="3734" t="s">
        <v>331</v>
      </c>
      <c r="AF15" s="3727"/>
      <c r="AG15" s="3735"/>
      <c r="AH15" s="3831" t="s">
        <v>331</v>
      </c>
      <c r="AI15" s="3832"/>
      <c r="AJ15" s="3833"/>
      <c r="AK15" s="3055"/>
      <c r="AL15" s="3056"/>
      <c r="AM15" s="3056"/>
      <c r="AN15" s="3726" t="s">
        <v>332</v>
      </c>
      <c r="AO15" s="3727"/>
      <c r="AP15" s="3728"/>
      <c r="AQ15" s="3792" t="s">
        <v>332</v>
      </c>
      <c r="AR15" s="3727"/>
      <c r="AS15" s="3728"/>
      <c r="AT15" s="3055"/>
      <c r="AU15" s="3056"/>
      <c r="AV15" s="3057"/>
      <c r="AW15" s="3058" t="s">
        <v>481</v>
      </c>
      <c r="AX15" s="3059"/>
      <c r="AY15" s="3060"/>
      <c r="AZ15" s="3004" t="s">
        <v>890</v>
      </c>
      <c r="BA15" s="3007">
        <v>154</v>
      </c>
      <c r="BB15" s="3762" t="s">
        <v>481</v>
      </c>
      <c r="BC15" s="3763"/>
      <c r="BD15" s="3764"/>
      <c r="BE15" s="3709"/>
      <c r="BF15" s="3711"/>
      <c r="BG15" s="3004" t="s">
        <v>890</v>
      </c>
      <c r="BH15" s="3007">
        <v>154</v>
      </c>
      <c r="BI15" s="3061" t="s">
        <v>1628</v>
      </c>
      <c r="BJ15" s="2998">
        <v>7</v>
      </c>
      <c r="BK15" s="3772" t="s">
        <v>899</v>
      </c>
      <c r="BL15" s="3775"/>
      <c r="BM15" s="3004" t="s">
        <v>1293</v>
      </c>
      <c r="BN15" s="3007">
        <v>155</v>
      </c>
      <c r="BO15" s="3786" t="s">
        <v>1719</v>
      </c>
      <c r="BP15" s="3787"/>
      <c r="BQ15" s="3788"/>
      <c r="BR15" s="2997" t="s">
        <v>902</v>
      </c>
      <c r="BS15" s="2998">
        <v>7</v>
      </c>
      <c r="BT15" s="3776"/>
      <c r="BU15" s="3777"/>
      <c r="BW15" s="327"/>
      <c r="BX15" s="327"/>
    </row>
    <row r="16" spans="1:89" s="963" customFormat="1" ht="12.95" customHeight="1">
      <c r="A16" s="3822"/>
      <c r="B16" s="3823"/>
      <c r="C16" s="3706"/>
      <c r="D16" s="3703"/>
      <c r="E16" s="3703"/>
      <c r="F16" s="3703"/>
      <c r="G16" s="3703"/>
      <c r="H16" s="3703"/>
      <c r="I16" s="3703"/>
      <c r="J16" s="3703"/>
      <c r="K16" s="3703"/>
      <c r="L16" s="3703"/>
      <c r="M16" s="3704"/>
      <c r="N16" s="583"/>
      <c r="O16" s="1261"/>
      <c r="P16" s="3050" t="s">
        <v>872</v>
      </c>
      <c r="Q16" s="3051" t="s">
        <v>493</v>
      </c>
      <c r="R16" s="3032"/>
      <c r="S16" s="1261"/>
      <c r="T16" s="3719" t="s">
        <v>1480</v>
      </c>
      <c r="U16" s="3721"/>
      <c r="V16" s="3720"/>
      <c r="W16" s="3719"/>
      <c r="X16" s="3720"/>
      <c r="Y16" s="963" t="s">
        <v>882</v>
      </c>
      <c r="Z16" s="3062"/>
      <c r="AA16" s="2994">
        <v>4</v>
      </c>
      <c r="AB16" s="3709" t="s">
        <v>1720</v>
      </c>
      <c r="AC16" s="3710"/>
      <c r="AD16" s="3711"/>
      <c r="AE16" s="3044" t="s">
        <v>878</v>
      </c>
      <c r="AF16" s="3039"/>
      <c r="AG16" s="3042">
        <v>9</v>
      </c>
      <c r="AH16" s="3008"/>
      <c r="AI16" s="445"/>
      <c r="AJ16" s="438"/>
      <c r="AK16" s="3055"/>
      <c r="AL16" s="3056"/>
      <c r="AM16" s="3056"/>
      <c r="AN16" s="3063" t="s">
        <v>878</v>
      </c>
      <c r="AO16" s="3044"/>
      <c r="AP16" s="3045">
        <v>9</v>
      </c>
      <c r="AQ16" s="3008"/>
      <c r="AR16" s="445"/>
      <c r="AS16" s="438"/>
      <c r="AT16" s="3055"/>
      <c r="AU16" s="3056"/>
      <c r="AV16" s="3057"/>
      <c r="AW16" s="3064"/>
      <c r="AX16" s="3065"/>
      <c r="AY16" s="3066"/>
      <c r="AZ16" s="3004" t="s">
        <v>1293</v>
      </c>
      <c r="BA16" s="3007">
        <v>155</v>
      </c>
      <c r="BB16" s="3046" t="s">
        <v>878</v>
      </c>
      <c r="BC16" s="3039"/>
      <c r="BD16" s="3042">
        <v>9</v>
      </c>
      <c r="BE16" s="3709"/>
      <c r="BF16" s="3711"/>
      <c r="BG16" s="3004" t="s">
        <v>1293</v>
      </c>
      <c r="BH16" s="3007">
        <v>155</v>
      </c>
      <c r="BI16" s="2997" t="s">
        <v>893</v>
      </c>
      <c r="BJ16" s="2998">
        <v>8</v>
      </c>
      <c r="BK16" s="2997" t="s">
        <v>1057</v>
      </c>
      <c r="BL16" s="2998">
        <v>6</v>
      </c>
      <c r="BM16" s="3004" t="s">
        <v>1292</v>
      </c>
      <c r="BN16" s="3007">
        <v>138</v>
      </c>
      <c r="BO16" s="3789"/>
      <c r="BP16" s="3790"/>
      <c r="BQ16" s="3791"/>
      <c r="BR16" s="2997" t="s">
        <v>903</v>
      </c>
      <c r="BS16" s="2998">
        <v>8</v>
      </c>
      <c r="BT16" s="3776"/>
      <c r="BU16" s="3777"/>
      <c r="BW16" s="327"/>
      <c r="BX16" s="327"/>
    </row>
    <row r="17" spans="1:101" s="963" customFormat="1" ht="12.95" customHeight="1">
      <c r="A17" s="3822"/>
      <c r="B17" s="3823"/>
      <c r="C17" s="3719" t="s">
        <v>1248</v>
      </c>
      <c r="D17" s="3721"/>
      <c r="E17" s="3721"/>
      <c r="F17" s="3721"/>
      <c r="G17" s="3721"/>
      <c r="H17" s="3721"/>
      <c r="I17" s="3721"/>
      <c r="J17" s="3721"/>
      <c r="K17" s="3721"/>
      <c r="L17" s="3721"/>
      <c r="M17" s="3720"/>
      <c r="N17" s="2929" t="s">
        <v>876</v>
      </c>
      <c r="O17" s="3067">
        <v>1</v>
      </c>
      <c r="P17" s="3068" t="s">
        <v>873</v>
      </c>
      <c r="Q17" s="3051" t="s">
        <v>698</v>
      </c>
      <c r="R17" s="3069" t="s">
        <v>862</v>
      </c>
      <c r="S17" s="3067">
        <v>1</v>
      </c>
      <c r="T17" s="3719"/>
      <c r="U17" s="3721"/>
      <c r="V17" s="3720"/>
      <c r="W17" s="3070"/>
      <c r="X17" s="3071"/>
      <c r="Y17" s="1251" t="s">
        <v>883</v>
      </c>
      <c r="Z17" s="2954"/>
      <c r="AA17" s="2950"/>
      <c r="AB17" s="3709"/>
      <c r="AC17" s="3710"/>
      <c r="AD17" s="3711"/>
      <c r="AE17" s="3734" t="s">
        <v>331</v>
      </c>
      <c r="AF17" s="3727"/>
      <c r="AG17" s="3735"/>
      <c r="AH17" s="3072"/>
      <c r="AI17" s="3724"/>
      <c r="AJ17" s="3725"/>
      <c r="AK17" s="3055"/>
      <c r="AL17" s="3056"/>
      <c r="AM17" s="3056"/>
      <c r="AN17" s="3726" t="s">
        <v>332</v>
      </c>
      <c r="AO17" s="3727"/>
      <c r="AP17" s="3728"/>
      <c r="AQ17" s="3072"/>
      <c r="AR17" s="3724"/>
      <c r="AS17" s="3725"/>
      <c r="AT17" s="3055"/>
      <c r="AU17" s="3056"/>
      <c r="AV17" s="3057"/>
      <c r="AW17" s="3073"/>
      <c r="AX17" s="3724"/>
      <c r="AY17" s="3725"/>
      <c r="AZ17" s="3004" t="s">
        <v>1292</v>
      </c>
      <c r="BA17" s="3007">
        <v>138</v>
      </c>
      <c r="BB17" s="3762" t="s">
        <v>481</v>
      </c>
      <c r="BC17" s="3763"/>
      <c r="BD17" s="3764"/>
      <c r="BE17" s="3709"/>
      <c r="BF17" s="3711"/>
      <c r="BG17" s="3004" t="s">
        <v>1292</v>
      </c>
      <c r="BH17" s="3007">
        <v>138</v>
      </c>
      <c r="BI17" s="2997" t="s">
        <v>1070</v>
      </c>
      <c r="BJ17" s="2998">
        <v>9</v>
      </c>
      <c r="BK17" s="2997" t="s">
        <v>1058</v>
      </c>
      <c r="BL17" s="2998">
        <v>7</v>
      </c>
      <c r="BM17" s="3074" t="s">
        <v>891</v>
      </c>
      <c r="BN17" s="3746">
        <v>100</v>
      </c>
      <c r="BO17" s="3075"/>
      <c r="BP17" s="1818"/>
      <c r="BQ17" s="3003"/>
      <c r="BR17" s="2997" t="s">
        <v>1053</v>
      </c>
      <c r="BS17" s="2998">
        <v>9</v>
      </c>
      <c r="BT17" s="3776"/>
      <c r="BU17" s="3777"/>
      <c r="BW17" s="327"/>
      <c r="BX17" s="327"/>
    </row>
    <row r="18" spans="1:101" s="963" customFormat="1" ht="12.95" customHeight="1">
      <c r="A18" s="3822"/>
      <c r="B18" s="3823"/>
      <c r="C18" s="3719"/>
      <c r="D18" s="3721"/>
      <c r="E18" s="3721"/>
      <c r="F18" s="3721"/>
      <c r="G18" s="3721"/>
      <c r="H18" s="3721"/>
      <c r="I18" s="3721"/>
      <c r="J18" s="3721"/>
      <c r="K18" s="3721"/>
      <c r="L18" s="3721"/>
      <c r="M18" s="3720"/>
      <c r="N18" s="2929" t="s">
        <v>877</v>
      </c>
      <c r="O18" s="3067">
        <v>2</v>
      </c>
      <c r="P18" s="3076" t="s">
        <v>1913</v>
      </c>
      <c r="Q18" s="2991">
        <v>10</v>
      </c>
      <c r="R18" s="3077" t="s">
        <v>863</v>
      </c>
      <c r="S18" s="3078">
        <v>2</v>
      </c>
      <c r="T18" s="3719"/>
      <c r="U18" s="3721"/>
      <c r="V18" s="3720"/>
      <c r="W18" s="3070"/>
      <c r="X18" s="3071"/>
      <c r="Y18" s="3046" t="s">
        <v>884</v>
      </c>
      <c r="Z18" s="3079"/>
      <c r="AA18" s="3080">
        <v>5</v>
      </c>
      <c r="AB18" s="3709"/>
      <c r="AC18" s="3710"/>
      <c r="AD18" s="3711"/>
      <c r="AE18" s="445"/>
      <c r="AF18" s="445"/>
      <c r="AG18" s="445"/>
      <c r="AH18" s="3008"/>
      <c r="AI18" s="445"/>
      <c r="AJ18" s="438"/>
      <c r="AK18" s="3744"/>
      <c r="AL18" s="3745"/>
      <c r="AM18" s="3745"/>
      <c r="AN18" s="3063"/>
      <c r="AO18" s="3044"/>
      <c r="AP18" s="3045"/>
      <c r="AQ18" s="3008"/>
      <c r="AR18" s="445"/>
      <c r="AS18" s="438"/>
      <c r="AT18" s="3744"/>
      <c r="AU18" s="3745"/>
      <c r="AV18" s="3765"/>
      <c r="AW18" s="445"/>
      <c r="AX18" s="445"/>
      <c r="AY18" s="438"/>
      <c r="AZ18" s="3074" t="s">
        <v>891</v>
      </c>
      <c r="BA18" s="3746">
        <v>100</v>
      </c>
      <c r="BB18" s="3008"/>
      <c r="BC18" s="445"/>
      <c r="BD18" s="438"/>
      <c r="BE18" s="3709"/>
      <c r="BF18" s="3711"/>
      <c r="BG18" s="3074" t="s">
        <v>891</v>
      </c>
      <c r="BH18" s="3746">
        <v>100</v>
      </c>
      <c r="BI18" s="2997" t="s">
        <v>894</v>
      </c>
      <c r="BJ18" s="2998">
        <v>10</v>
      </c>
      <c r="BK18" s="2997" t="s">
        <v>1061</v>
      </c>
      <c r="BL18" s="2998">
        <v>8</v>
      </c>
      <c r="BM18" s="3081" t="s">
        <v>892</v>
      </c>
      <c r="BN18" s="3746"/>
      <c r="BO18" s="3075"/>
      <c r="BP18" s="1818"/>
      <c r="BQ18" s="3003"/>
      <c r="BR18" s="2931" t="s">
        <v>908</v>
      </c>
      <c r="BS18" s="2998">
        <v>10</v>
      </c>
      <c r="BT18" s="3776"/>
      <c r="BU18" s="3777"/>
      <c r="BW18" s="327"/>
      <c r="BX18" s="327"/>
    </row>
    <row r="19" spans="1:101" s="963" customFormat="1" ht="12.95" customHeight="1">
      <c r="A19" s="3822"/>
      <c r="B19" s="3823"/>
      <c r="C19" s="3719"/>
      <c r="D19" s="3721"/>
      <c r="E19" s="3721"/>
      <c r="F19" s="3721"/>
      <c r="G19" s="3721"/>
      <c r="H19" s="3721"/>
      <c r="I19" s="3721"/>
      <c r="J19" s="3721"/>
      <c r="K19" s="3721"/>
      <c r="L19" s="3721"/>
      <c r="M19" s="3720"/>
      <c r="N19" s="3755"/>
      <c r="O19" s="3756"/>
      <c r="P19" s="3076" t="s">
        <v>874</v>
      </c>
      <c r="Q19" s="2991">
        <v>11</v>
      </c>
      <c r="R19" s="3757" t="s">
        <v>329</v>
      </c>
      <c r="S19" s="3758"/>
      <c r="T19" s="3719"/>
      <c r="U19" s="3721"/>
      <c r="V19" s="3720"/>
      <c r="W19" s="3722" t="s">
        <v>1481</v>
      </c>
      <c r="X19" s="3723"/>
      <c r="Y19" s="3000" t="s">
        <v>330</v>
      </c>
      <c r="Z19" s="3001"/>
      <c r="AA19" s="3082"/>
      <c r="AB19" s="3709"/>
      <c r="AC19" s="3710"/>
      <c r="AD19" s="3711"/>
      <c r="AE19" s="445"/>
      <c r="AF19" s="445"/>
      <c r="AG19" s="445"/>
      <c r="AH19" s="3008"/>
      <c r="AI19" s="445"/>
      <c r="AJ19" s="438"/>
      <c r="AK19" s="3742"/>
      <c r="AL19" s="3743"/>
      <c r="AM19" s="3743"/>
      <c r="AN19" s="3009"/>
      <c r="AO19" s="445"/>
      <c r="AP19" s="445"/>
      <c r="AQ19" s="3008"/>
      <c r="AR19" s="445"/>
      <c r="AS19" s="438"/>
      <c r="AT19" s="3742"/>
      <c r="AU19" s="3743"/>
      <c r="AV19" s="3793"/>
      <c r="AW19" s="445"/>
      <c r="AX19" s="445"/>
      <c r="AY19" s="438"/>
      <c r="AZ19" s="3081" t="s">
        <v>892</v>
      </c>
      <c r="BA19" s="3746"/>
      <c r="BB19" s="3008"/>
      <c r="BC19" s="445"/>
      <c r="BD19" s="438"/>
      <c r="BE19" s="3709"/>
      <c r="BF19" s="3711"/>
      <c r="BG19" s="3081" t="s">
        <v>892</v>
      </c>
      <c r="BH19" s="3746"/>
      <c r="BI19" s="3083" t="s">
        <v>895</v>
      </c>
      <c r="BJ19" s="3084">
        <v>11</v>
      </c>
      <c r="BK19" s="2997" t="s">
        <v>1063</v>
      </c>
      <c r="BL19" s="3085" t="s">
        <v>698</v>
      </c>
      <c r="BM19" s="3004" t="s">
        <v>1073</v>
      </c>
      <c r="BN19" s="3007">
        <v>208</v>
      </c>
      <c r="BO19" s="3075"/>
      <c r="BP19" s="1818"/>
      <c r="BQ19" s="3003"/>
      <c r="BR19" s="3083" t="s">
        <v>904</v>
      </c>
      <c r="BS19" s="3084">
        <v>11</v>
      </c>
      <c r="BT19" s="3776"/>
      <c r="BU19" s="3777"/>
      <c r="BW19" s="327"/>
      <c r="BX19" s="327"/>
    </row>
    <row r="20" spans="1:101" s="963" customFormat="1" ht="12.95" customHeight="1">
      <c r="A20" s="3822"/>
      <c r="B20" s="3823"/>
      <c r="C20" s="3719"/>
      <c r="D20" s="3721"/>
      <c r="E20" s="3721"/>
      <c r="F20" s="3721"/>
      <c r="G20" s="3721"/>
      <c r="H20" s="3721"/>
      <c r="I20" s="3721"/>
      <c r="J20" s="3721"/>
      <c r="K20" s="3721"/>
      <c r="L20" s="3721"/>
      <c r="M20" s="3720"/>
      <c r="N20" s="3759"/>
      <c r="O20" s="3756"/>
      <c r="P20" s="3076" t="s">
        <v>875</v>
      </c>
      <c r="Q20" s="2991">
        <v>12</v>
      </c>
      <c r="R20" s="3760"/>
      <c r="S20" s="3761"/>
      <c r="T20" s="3719"/>
      <c r="U20" s="3721"/>
      <c r="V20" s="3720"/>
      <c r="W20" s="3722"/>
      <c r="X20" s="3723"/>
      <c r="Y20" s="3046" t="s">
        <v>1047</v>
      </c>
      <c r="Z20" s="3079"/>
      <c r="AA20" s="3080">
        <v>6</v>
      </c>
      <c r="AB20" s="3709"/>
      <c r="AC20" s="3710"/>
      <c r="AD20" s="3711"/>
      <c r="AE20" s="445"/>
      <c r="AF20" s="445"/>
      <c r="AG20" s="445"/>
      <c r="AH20" s="3008"/>
      <c r="AI20" s="445"/>
      <c r="AJ20" s="438"/>
      <c r="AK20" s="3055"/>
      <c r="AL20" s="3056"/>
      <c r="AM20" s="3056"/>
      <c r="AN20" s="3009"/>
      <c r="AO20" s="445"/>
      <c r="AP20" s="445"/>
      <c r="AQ20" s="3008"/>
      <c r="AR20" s="445"/>
      <c r="AS20" s="438"/>
      <c r="AT20" s="3055"/>
      <c r="AU20" s="3056"/>
      <c r="AV20" s="3057"/>
      <c r="AW20" s="445"/>
      <c r="AX20" s="445"/>
      <c r="AY20" s="438"/>
      <c r="AZ20" s="3004" t="s">
        <v>1073</v>
      </c>
      <c r="BA20" s="3007">
        <v>208</v>
      </c>
      <c r="BB20" s="3008"/>
      <c r="BC20" s="445"/>
      <c r="BD20" s="438"/>
      <c r="BE20" s="3709"/>
      <c r="BF20" s="3711"/>
      <c r="BG20" s="3004" t="s">
        <v>1073</v>
      </c>
      <c r="BH20" s="3007">
        <v>208</v>
      </c>
      <c r="BI20" s="3083" t="s">
        <v>1071</v>
      </c>
      <c r="BJ20" s="3084">
        <v>12</v>
      </c>
      <c r="BK20" s="2997" t="s">
        <v>1059</v>
      </c>
      <c r="BL20" s="3084">
        <v>10</v>
      </c>
      <c r="BM20" s="3086" t="s">
        <v>1629</v>
      </c>
      <c r="BN20" s="3087">
        <v>300</v>
      </c>
      <c r="BO20" s="3075"/>
      <c r="BP20" s="1818"/>
      <c r="BQ20" s="3003"/>
      <c r="BR20" s="2997" t="s">
        <v>1054</v>
      </c>
      <c r="BS20" s="2998">
        <v>12</v>
      </c>
      <c r="BT20" s="3776"/>
      <c r="BU20" s="3777"/>
      <c r="BW20" s="327"/>
      <c r="BX20" s="327"/>
    </row>
    <row r="21" spans="1:101" s="963" customFormat="1" ht="12.95" customHeight="1">
      <c r="A21" s="3822"/>
      <c r="B21" s="3823"/>
      <c r="C21" s="3719"/>
      <c r="D21" s="3721"/>
      <c r="E21" s="3721"/>
      <c r="F21" s="3721"/>
      <c r="G21" s="3721"/>
      <c r="H21" s="3721"/>
      <c r="I21" s="3721"/>
      <c r="J21" s="3721"/>
      <c r="K21" s="3721"/>
      <c r="L21" s="3721"/>
      <c r="M21" s="3720"/>
      <c r="N21" s="3088"/>
      <c r="O21" s="3089"/>
      <c r="P21" s="583"/>
      <c r="Q21" s="3090"/>
      <c r="R21" s="3091"/>
      <c r="S21" s="3089"/>
      <c r="T21" s="3719"/>
      <c r="U21" s="3721"/>
      <c r="V21" s="3720"/>
      <c r="W21" s="3722"/>
      <c r="X21" s="3723"/>
      <c r="Y21" s="3000" t="s">
        <v>330</v>
      </c>
      <c r="Z21" s="3001"/>
      <c r="AA21" s="3002"/>
      <c r="AB21" s="3709"/>
      <c r="AC21" s="3710"/>
      <c r="AD21" s="3711"/>
      <c r="AE21" s="445"/>
      <c r="AF21" s="445"/>
      <c r="AG21" s="445"/>
      <c r="AH21" s="3008"/>
      <c r="AI21" s="445"/>
      <c r="AJ21" s="438"/>
      <c r="AK21" s="3055"/>
      <c r="AL21" s="3056"/>
      <c r="AM21" s="3056"/>
      <c r="AN21" s="3009"/>
      <c r="AO21" s="445"/>
      <c r="AP21" s="445"/>
      <c r="AQ21" s="3008"/>
      <c r="AR21" s="445"/>
      <c r="AS21" s="438"/>
      <c r="AT21" s="3055"/>
      <c r="AU21" s="3056"/>
      <c r="AV21" s="3057"/>
      <c r="AW21" s="445"/>
      <c r="AX21" s="445"/>
      <c r="AY21" s="438"/>
      <c r="AZ21" s="3081" t="s">
        <v>1074</v>
      </c>
      <c r="BA21" s="3087">
        <v>300</v>
      </c>
      <c r="BB21" s="3008"/>
      <c r="BC21" s="445"/>
      <c r="BD21" s="438"/>
      <c r="BE21" s="3709"/>
      <c r="BF21" s="3711"/>
      <c r="BG21" s="3092" t="s">
        <v>1629</v>
      </c>
      <c r="BH21" s="3087">
        <v>300</v>
      </c>
      <c r="BI21" s="3083" t="s">
        <v>1072</v>
      </c>
      <c r="BJ21" s="3084">
        <v>13</v>
      </c>
      <c r="BK21" s="3083" t="s">
        <v>1060</v>
      </c>
      <c r="BL21" s="3084">
        <v>11</v>
      </c>
      <c r="BM21" s="3081" t="s">
        <v>1075</v>
      </c>
      <c r="BN21" s="3087">
        <v>700</v>
      </c>
      <c r="BO21" s="2949"/>
      <c r="BP21" s="2917"/>
      <c r="BQ21" s="2948"/>
      <c r="BR21" s="1940" t="s">
        <v>909</v>
      </c>
      <c r="BS21" s="3084">
        <v>13</v>
      </c>
      <c r="BT21" s="3776"/>
      <c r="BU21" s="3777"/>
      <c r="BW21" s="327"/>
      <c r="BX21" s="327"/>
    </row>
    <row r="22" spans="1:101" s="963" customFormat="1" ht="12.95" customHeight="1">
      <c r="A22" s="3822"/>
      <c r="B22" s="3823"/>
      <c r="C22" s="3719"/>
      <c r="D22" s="3721"/>
      <c r="E22" s="3721"/>
      <c r="F22" s="3721"/>
      <c r="G22" s="3721"/>
      <c r="H22" s="3721"/>
      <c r="I22" s="3721"/>
      <c r="J22" s="3721"/>
      <c r="K22" s="3721"/>
      <c r="L22" s="3721"/>
      <c r="M22" s="3720"/>
      <c r="N22" s="3093"/>
      <c r="O22" s="3094"/>
      <c r="P22" s="583"/>
      <c r="Q22" s="3090"/>
      <c r="R22" s="3095"/>
      <c r="S22" s="3094"/>
      <c r="T22" s="3093"/>
      <c r="U22" s="3096"/>
      <c r="V22" s="3094"/>
      <c r="W22" s="3722"/>
      <c r="X22" s="3723"/>
      <c r="Y22" s="3046" t="s">
        <v>885</v>
      </c>
      <c r="Z22" s="3079"/>
      <c r="AA22" s="3080">
        <v>7</v>
      </c>
      <c r="AB22" s="3035"/>
      <c r="AC22" s="3036"/>
      <c r="AD22" s="3037"/>
      <c r="AE22" s="445"/>
      <c r="AF22" s="445"/>
      <c r="AG22" s="445"/>
      <c r="AH22" s="3008"/>
      <c r="AI22" s="445"/>
      <c r="AJ22" s="438"/>
      <c r="AK22" s="3055"/>
      <c r="AL22" s="3056"/>
      <c r="AM22" s="3056"/>
      <c r="AN22" s="3009"/>
      <c r="AO22" s="445"/>
      <c r="AP22" s="445"/>
      <c r="AQ22" s="3008"/>
      <c r="AR22" s="445"/>
      <c r="AS22" s="438"/>
      <c r="AT22" s="3055"/>
      <c r="AU22" s="3056"/>
      <c r="AV22" s="3057"/>
      <c r="AW22" s="445"/>
      <c r="AX22" s="445"/>
      <c r="AY22" s="438"/>
      <c r="AZ22" s="3081" t="s">
        <v>1075</v>
      </c>
      <c r="BA22" s="3087">
        <v>700</v>
      </c>
      <c r="BB22" s="3008"/>
      <c r="BC22" s="445"/>
      <c r="BD22" s="438"/>
      <c r="BE22" s="3093"/>
      <c r="BF22" s="3094"/>
      <c r="BG22" s="3081" t="s">
        <v>1075</v>
      </c>
      <c r="BH22" s="3087">
        <v>700</v>
      </c>
      <c r="BI22" s="1940" t="s">
        <v>1721</v>
      </c>
      <c r="BJ22" s="2998">
        <v>14</v>
      </c>
      <c r="BK22" s="1940" t="s">
        <v>1721</v>
      </c>
      <c r="BL22" s="2998">
        <v>12</v>
      </c>
      <c r="BM22" s="3097" t="s">
        <v>906</v>
      </c>
      <c r="BN22" s="3098">
        <v>999</v>
      </c>
      <c r="BO22" s="2949"/>
      <c r="BP22" s="2917"/>
      <c r="BQ22" s="2948"/>
      <c r="BR22" s="3099"/>
      <c r="BS22" s="3100"/>
      <c r="BT22" s="3776"/>
      <c r="BU22" s="3777"/>
      <c r="BW22" s="327"/>
      <c r="BX22" s="327"/>
    </row>
    <row r="23" spans="1:101" s="963" customFormat="1" ht="12.95" customHeight="1">
      <c r="A23" s="3822"/>
      <c r="B23" s="3823"/>
      <c r="C23" s="3101"/>
      <c r="D23" s="3102"/>
      <c r="E23" s="3102"/>
      <c r="F23" s="3102"/>
      <c r="G23" s="3102"/>
      <c r="H23" s="3102"/>
      <c r="I23" s="3102"/>
      <c r="J23" s="3102"/>
      <c r="K23" s="3102"/>
      <c r="L23" s="3102"/>
      <c r="M23" s="3103"/>
      <c r="N23" s="3093"/>
      <c r="O23" s="3094"/>
      <c r="P23" s="583"/>
      <c r="Q23" s="2916"/>
      <c r="R23" s="3095"/>
      <c r="S23" s="3094"/>
      <c r="T23" s="3093"/>
      <c r="U23" s="3096"/>
      <c r="V23" s="3094"/>
      <c r="W23" s="3093"/>
      <c r="X23" s="3094"/>
      <c r="Y23" s="3000" t="s">
        <v>330</v>
      </c>
      <c r="Z23" s="3001"/>
      <c r="AA23" s="3002"/>
      <c r="AB23" s="3104"/>
      <c r="AC23" s="3105"/>
      <c r="AD23" s="3106"/>
      <c r="AE23" s="445"/>
      <c r="AF23" s="445"/>
      <c r="AG23" s="445"/>
      <c r="AH23" s="3008"/>
      <c r="AI23" s="445"/>
      <c r="AJ23" s="438"/>
      <c r="AK23" s="3824" t="s">
        <v>122</v>
      </c>
      <c r="AL23" s="3811"/>
      <c r="AM23" s="3811"/>
      <c r="AN23" s="3009"/>
      <c r="AO23" s="445"/>
      <c r="AP23" s="445"/>
      <c r="AQ23" s="3008"/>
      <c r="AR23" s="445"/>
      <c r="AS23" s="438"/>
      <c r="AT23" s="3824" t="s">
        <v>122</v>
      </c>
      <c r="AU23" s="3811"/>
      <c r="AV23" s="3827"/>
      <c r="AW23" s="445"/>
      <c r="AX23" s="445"/>
      <c r="AY23" s="438"/>
      <c r="AZ23" s="3097" t="s">
        <v>906</v>
      </c>
      <c r="BA23" s="3098">
        <v>999</v>
      </c>
      <c r="BB23" s="3008"/>
      <c r="BC23" s="445"/>
      <c r="BD23" s="438"/>
      <c r="BE23" s="3794" t="s">
        <v>1</v>
      </c>
      <c r="BF23" s="3794" t="s">
        <v>2</v>
      </c>
      <c r="BG23" s="3097" t="s">
        <v>906</v>
      </c>
      <c r="BH23" s="3098">
        <v>999</v>
      </c>
      <c r="BI23" s="1370"/>
      <c r="BJ23" s="3107"/>
      <c r="BM23" s="2921"/>
      <c r="BN23" s="2922"/>
      <c r="BO23" s="1251"/>
      <c r="BP23" s="1252"/>
      <c r="BQ23" s="3012"/>
      <c r="BT23" s="3776"/>
      <c r="BU23" s="3777"/>
      <c r="BW23" s="327"/>
      <c r="BX23" s="327"/>
    </row>
    <row r="24" spans="1:101" s="965" customFormat="1" ht="12.95" customHeight="1" thickBot="1">
      <c r="A24" s="3822"/>
      <c r="B24" s="3823"/>
      <c r="C24" s="3101"/>
      <c r="D24" s="3102"/>
      <c r="E24" s="3102"/>
      <c r="F24" s="3102"/>
      <c r="G24" s="3102"/>
      <c r="H24" s="3102"/>
      <c r="I24" s="3102"/>
      <c r="J24" s="3102"/>
      <c r="K24" s="3102"/>
      <c r="L24" s="3102"/>
      <c r="M24" s="3103"/>
      <c r="N24" s="3109"/>
      <c r="O24" s="3110"/>
      <c r="P24" s="3805" t="s">
        <v>5</v>
      </c>
      <c r="Q24" s="3811"/>
      <c r="R24" s="3111"/>
      <c r="S24" s="3112"/>
      <c r="T24" s="3113" t="s">
        <v>65</v>
      </c>
      <c r="U24" s="967" t="s">
        <v>121</v>
      </c>
      <c r="V24" s="3114" t="s">
        <v>2</v>
      </c>
      <c r="W24" s="3115" t="s">
        <v>11</v>
      </c>
      <c r="X24" s="3116" t="s">
        <v>0</v>
      </c>
      <c r="Y24" s="3805" t="s">
        <v>5</v>
      </c>
      <c r="Z24" s="3812"/>
      <c r="AA24" s="3806"/>
      <c r="AB24" s="3813" t="s">
        <v>122</v>
      </c>
      <c r="AC24" s="3814"/>
      <c r="AD24" s="3815"/>
      <c r="AE24" s="2916"/>
      <c r="AF24" s="2916"/>
      <c r="AG24" s="2916"/>
      <c r="AH24" s="3816"/>
      <c r="AI24" s="3809"/>
      <c r="AJ24" s="3810"/>
      <c r="AK24" s="3825"/>
      <c r="AL24" s="3826"/>
      <c r="AM24" s="3826"/>
      <c r="AN24" s="353"/>
      <c r="AO24" s="3117"/>
      <c r="AP24" s="3117"/>
      <c r="AQ24" s="3817"/>
      <c r="AR24" s="3818"/>
      <c r="AS24" s="3819"/>
      <c r="AT24" s="3825"/>
      <c r="AU24" s="3826"/>
      <c r="AV24" s="3828"/>
      <c r="AW24" s="3809"/>
      <c r="AX24" s="3809"/>
      <c r="AY24" s="3810"/>
      <c r="AZ24" s="1252"/>
      <c r="BA24" s="2922"/>
      <c r="BB24" s="3118"/>
      <c r="BC24" s="2916"/>
      <c r="BD24" s="2950"/>
      <c r="BE24" s="3795"/>
      <c r="BF24" s="3795"/>
      <c r="BG24" s="1252"/>
      <c r="BH24" s="2922"/>
      <c r="BI24" s="3719"/>
      <c r="BJ24" s="3720"/>
      <c r="BK24" s="3719"/>
      <c r="BL24" s="3720"/>
      <c r="BM24" s="3719"/>
      <c r="BN24" s="3720"/>
      <c r="BO24" s="3719"/>
      <c r="BP24" s="3721"/>
      <c r="BQ24" s="3720"/>
      <c r="BR24" s="3719"/>
      <c r="BS24" s="3720"/>
      <c r="BT24" s="3805" t="s">
        <v>0</v>
      </c>
      <c r="BU24" s="3806"/>
      <c r="BW24" s="968"/>
      <c r="BX24" s="968"/>
    </row>
    <row r="25" spans="1:101" s="3108" customFormat="1" ht="14.25" customHeight="1">
      <c r="A25" s="3807">
        <v>1</v>
      </c>
      <c r="B25" s="3808"/>
      <c r="C25" s="3119"/>
      <c r="D25" s="3119"/>
      <c r="E25" s="3119"/>
      <c r="F25" s="3119"/>
      <c r="G25" s="3119"/>
      <c r="H25" s="3119"/>
      <c r="I25" s="3119"/>
      <c r="J25" s="3119"/>
      <c r="K25" s="3119"/>
      <c r="L25" s="3119"/>
      <c r="M25" s="3119"/>
      <c r="N25" s="2957"/>
      <c r="O25" s="2959"/>
      <c r="P25" s="3120"/>
      <c r="Q25" s="969"/>
      <c r="R25" s="2581"/>
      <c r="S25" s="2959"/>
      <c r="T25" s="435"/>
      <c r="U25" s="970"/>
      <c r="V25" s="435"/>
      <c r="W25" s="2957"/>
      <c r="X25" s="971"/>
      <c r="Y25" s="2957"/>
      <c r="Z25" s="2958"/>
      <c r="AA25" s="2959"/>
      <c r="AB25" s="2923"/>
      <c r="AC25" s="2924"/>
      <c r="AD25" s="2925"/>
      <c r="AE25" s="2924"/>
      <c r="AF25" s="2924"/>
      <c r="AG25" s="2924"/>
      <c r="AH25" s="2923"/>
      <c r="AI25" s="2924"/>
      <c r="AJ25" s="2925"/>
      <c r="AK25" s="2923"/>
      <c r="AL25" s="2924"/>
      <c r="AM25" s="2925"/>
      <c r="AN25" s="2924"/>
      <c r="AO25" s="2924"/>
      <c r="AP25" s="2924"/>
      <c r="AQ25" s="2923"/>
      <c r="AR25" s="2924"/>
      <c r="AS25" s="2924"/>
      <c r="AT25" s="2923"/>
      <c r="AU25" s="2924"/>
      <c r="AV25" s="2925"/>
      <c r="AW25" s="2923"/>
      <c r="AX25" s="2924"/>
      <c r="AY25" s="2925"/>
      <c r="AZ25" s="2924"/>
      <c r="BA25" s="2925"/>
      <c r="BB25" s="2923"/>
      <c r="BC25" s="2924"/>
      <c r="BD25" s="2925"/>
      <c r="BE25" s="2957"/>
      <c r="BF25" s="971"/>
      <c r="BG25" s="2924"/>
      <c r="BH25" s="2925"/>
      <c r="BI25" s="2924"/>
      <c r="BJ25" s="2925"/>
      <c r="BK25" s="2924"/>
      <c r="BL25" s="2925"/>
      <c r="BM25" s="2923"/>
      <c r="BN25" s="2925"/>
      <c r="BO25" s="2923"/>
      <c r="BP25" s="2924"/>
      <c r="BQ25" s="2925"/>
      <c r="BR25" s="2924"/>
      <c r="BS25" s="2925"/>
      <c r="BT25" s="2923"/>
      <c r="BU25" s="975"/>
      <c r="BW25" s="3058"/>
      <c r="BX25" s="3058"/>
    </row>
    <row r="26" spans="1:101" s="963" customFormat="1" ht="14.25" customHeight="1">
      <c r="A26" s="3801">
        <v>2</v>
      </c>
      <c r="B26" s="3802"/>
      <c r="C26" s="3121"/>
      <c r="D26" s="3121"/>
      <c r="E26" s="3121"/>
      <c r="F26" s="3121"/>
      <c r="G26" s="3121"/>
      <c r="H26" s="3121"/>
      <c r="I26" s="3121"/>
      <c r="J26" s="3121"/>
      <c r="K26" s="3121"/>
      <c r="L26" s="3121"/>
      <c r="M26" s="3121"/>
      <c r="N26" s="2918"/>
      <c r="O26" s="2920"/>
      <c r="P26" s="2918"/>
      <c r="Q26" s="2317"/>
      <c r="R26" s="2582"/>
      <c r="S26" s="2920"/>
      <c r="T26" s="977"/>
      <c r="U26" s="978"/>
      <c r="V26" s="977"/>
      <c r="W26" s="2918"/>
      <c r="X26" s="979"/>
      <c r="Y26" s="2918"/>
      <c r="Z26" s="2919"/>
      <c r="AA26" s="2920"/>
      <c r="AB26" s="2926"/>
      <c r="AC26" s="2927"/>
      <c r="AD26" s="2928"/>
      <c r="AE26" s="2927"/>
      <c r="AF26" s="2927"/>
      <c r="AG26" s="2927"/>
      <c r="AH26" s="2926"/>
      <c r="AI26" s="2927"/>
      <c r="AJ26" s="2928"/>
      <c r="AK26" s="2926"/>
      <c r="AL26" s="2927"/>
      <c r="AM26" s="2928"/>
      <c r="AN26" s="2927"/>
      <c r="AO26" s="2927"/>
      <c r="AP26" s="2927"/>
      <c r="AQ26" s="2926"/>
      <c r="AR26" s="2927"/>
      <c r="AS26" s="2927"/>
      <c r="AT26" s="2926"/>
      <c r="AU26" s="2927"/>
      <c r="AV26" s="2928"/>
      <c r="AW26" s="2926"/>
      <c r="AX26" s="2927"/>
      <c r="AY26" s="2928"/>
      <c r="AZ26" s="2927"/>
      <c r="BA26" s="2928"/>
      <c r="BB26" s="2926"/>
      <c r="BC26" s="2927"/>
      <c r="BD26" s="2928"/>
      <c r="BE26" s="2918"/>
      <c r="BF26" s="979"/>
      <c r="BG26" s="2927"/>
      <c r="BH26" s="2928"/>
      <c r="BI26" s="2927"/>
      <c r="BJ26" s="2928"/>
      <c r="BK26" s="2927"/>
      <c r="BL26" s="2928"/>
      <c r="BM26" s="2926"/>
      <c r="BN26" s="2928"/>
      <c r="BO26" s="2926"/>
      <c r="BP26" s="2927"/>
      <c r="BQ26" s="2928"/>
      <c r="BR26" s="2927"/>
      <c r="BS26" s="2928"/>
      <c r="BT26" s="2926"/>
      <c r="BU26" s="982"/>
      <c r="BV26" s="411"/>
      <c r="BW26" s="418"/>
      <c r="BX26" s="418"/>
      <c r="BY26" s="411"/>
      <c r="BZ26" s="411"/>
      <c r="CA26" s="411"/>
      <c r="CB26" s="411"/>
      <c r="CC26" s="411"/>
      <c r="CD26" s="411"/>
      <c r="CE26" s="411"/>
      <c r="CF26" s="411"/>
      <c r="CG26" s="411"/>
      <c r="CH26" s="411"/>
      <c r="CI26" s="411"/>
      <c r="CJ26" s="411"/>
      <c r="CK26" s="411"/>
      <c r="CL26" s="411"/>
      <c r="CM26" s="411"/>
      <c r="CN26" s="411"/>
      <c r="CO26" s="411"/>
      <c r="CP26" s="411"/>
      <c r="CQ26" s="411"/>
      <c r="CR26" s="411"/>
      <c r="CS26" s="411"/>
      <c r="CT26" s="411"/>
      <c r="CU26" s="411"/>
      <c r="CV26" s="411"/>
      <c r="CW26" s="411"/>
    </row>
    <row r="27" spans="1:101" s="963" customFormat="1" ht="14.25" customHeight="1" thickBot="1">
      <c r="A27" s="3801">
        <v>3</v>
      </c>
      <c r="B27" s="3802"/>
      <c r="C27" s="3122"/>
      <c r="D27" s="3122"/>
      <c r="E27" s="3122"/>
      <c r="F27" s="3122"/>
      <c r="G27" s="3122"/>
      <c r="H27" s="3122"/>
      <c r="I27" s="3122"/>
      <c r="J27" s="3122"/>
      <c r="K27" s="3122"/>
      <c r="L27" s="3122"/>
      <c r="M27" s="3122"/>
      <c r="N27" s="2961"/>
      <c r="O27" s="2434"/>
      <c r="P27" s="2961"/>
      <c r="Q27" s="2580"/>
      <c r="R27" s="2583"/>
      <c r="S27" s="2962"/>
      <c r="T27" s="2433"/>
      <c r="U27" s="2208"/>
      <c r="V27" s="2433"/>
      <c r="W27" s="2961"/>
      <c r="X27" s="2208"/>
      <c r="Y27" s="2961"/>
      <c r="Z27" s="2433"/>
      <c r="AA27" s="2434"/>
      <c r="AB27" s="2938"/>
      <c r="AC27" s="983"/>
      <c r="AD27" s="2439"/>
      <c r="AE27" s="983"/>
      <c r="AF27" s="983"/>
      <c r="AG27" s="983"/>
      <c r="AH27" s="2938"/>
      <c r="AI27" s="983"/>
      <c r="AJ27" s="2439"/>
      <c r="AK27" s="2938"/>
      <c r="AL27" s="983"/>
      <c r="AM27" s="2439"/>
      <c r="AN27" s="983"/>
      <c r="AO27" s="983"/>
      <c r="AP27" s="983"/>
      <c r="AQ27" s="2938"/>
      <c r="AR27" s="983"/>
      <c r="AS27" s="983"/>
      <c r="AT27" s="2938"/>
      <c r="AU27" s="983"/>
      <c r="AV27" s="2439"/>
      <c r="AW27" s="2938"/>
      <c r="AX27" s="983"/>
      <c r="AY27" s="2439"/>
      <c r="AZ27" s="983"/>
      <c r="BA27" s="2439"/>
      <c r="BB27" s="2938"/>
      <c r="BC27" s="983"/>
      <c r="BD27" s="2439"/>
      <c r="BE27" s="2961"/>
      <c r="BF27" s="2208"/>
      <c r="BG27" s="983"/>
      <c r="BH27" s="2439"/>
      <c r="BI27" s="983"/>
      <c r="BJ27" s="2439"/>
      <c r="BK27" s="983"/>
      <c r="BL27" s="2439"/>
      <c r="BM27" s="2938"/>
      <c r="BN27" s="2439"/>
      <c r="BO27" s="2938"/>
      <c r="BP27" s="983"/>
      <c r="BQ27" s="2439"/>
      <c r="BR27" s="983"/>
      <c r="BS27" s="2439"/>
      <c r="BT27" s="2938"/>
      <c r="BU27" s="1640"/>
      <c r="BV27" s="411"/>
      <c r="BW27" s="418"/>
      <c r="BX27" s="418"/>
      <c r="BY27" s="411"/>
      <c r="BZ27" s="411"/>
      <c r="CA27" s="411"/>
      <c r="CB27" s="411"/>
      <c r="CC27" s="411"/>
      <c r="CD27" s="411"/>
      <c r="CE27" s="411"/>
      <c r="CF27" s="411"/>
      <c r="CG27" s="411"/>
      <c r="CH27" s="411"/>
      <c r="CI27" s="411"/>
      <c r="CJ27" s="411"/>
      <c r="CK27" s="411"/>
      <c r="CL27" s="411"/>
      <c r="CM27" s="411"/>
      <c r="CN27" s="411"/>
      <c r="CO27" s="411"/>
      <c r="CP27" s="411"/>
      <c r="CQ27" s="411"/>
      <c r="CR27" s="411"/>
      <c r="CS27" s="411"/>
      <c r="CT27" s="411"/>
      <c r="CU27" s="411"/>
      <c r="CV27" s="411"/>
      <c r="CW27" s="411"/>
    </row>
    <row r="28" spans="1:101" s="963" customFormat="1" ht="14.25" customHeight="1" thickTop="1">
      <c r="A28" s="3803">
        <v>4</v>
      </c>
      <c r="B28" s="3804"/>
      <c r="C28" s="3123"/>
      <c r="D28" s="3124"/>
      <c r="E28" s="3124"/>
      <c r="F28" s="3124"/>
      <c r="G28" s="3124"/>
      <c r="H28" s="3124"/>
      <c r="I28" s="3124"/>
      <c r="J28" s="3124"/>
      <c r="K28" s="3124"/>
      <c r="L28" s="3124"/>
      <c r="M28" s="3124"/>
      <c r="N28" s="1652"/>
      <c r="O28" s="2436"/>
      <c r="P28" s="1652"/>
      <c r="Q28" s="2441"/>
      <c r="R28" s="2584"/>
      <c r="S28" s="2436"/>
      <c r="T28" s="2435"/>
      <c r="U28" s="2209"/>
      <c r="V28" s="2435"/>
      <c r="W28" s="1652"/>
      <c r="X28" s="2209"/>
      <c r="Y28" s="1652"/>
      <c r="Z28" s="2435"/>
      <c r="AA28" s="2436"/>
      <c r="AB28" s="2939"/>
      <c r="AC28" s="2940"/>
      <c r="AD28" s="2941"/>
      <c r="AE28" s="2940"/>
      <c r="AF28" s="2940"/>
      <c r="AG28" s="2940"/>
      <c r="AH28" s="2939"/>
      <c r="AI28" s="2940"/>
      <c r="AJ28" s="2941"/>
      <c r="AK28" s="2939"/>
      <c r="AL28" s="2940"/>
      <c r="AM28" s="2941"/>
      <c r="AN28" s="2940"/>
      <c r="AO28" s="2940"/>
      <c r="AP28" s="2940"/>
      <c r="AQ28" s="2939"/>
      <c r="AR28" s="2940"/>
      <c r="AS28" s="2940"/>
      <c r="AT28" s="2939"/>
      <c r="AU28" s="2940"/>
      <c r="AV28" s="2941"/>
      <c r="AW28" s="2939"/>
      <c r="AX28" s="2940"/>
      <c r="AY28" s="2941"/>
      <c r="AZ28" s="2940"/>
      <c r="BA28" s="2941"/>
      <c r="BB28" s="2939"/>
      <c r="BC28" s="2940"/>
      <c r="BD28" s="2941"/>
      <c r="BE28" s="1652"/>
      <c r="BF28" s="2209"/>
      <c r="BG28" s="2940"/>
      <c r="BH28" s="2941"/>
      <c r="BI28" s="2940"/>
      <c r="BJ28" s="2941"/>
      <c r="BK28" s="2940"/>
      <c r="BL28" s="2941"/>
      <c r="BM28" s="2939"/>
      <c r="BN28" s="2941"/>
      <c r="BO28" s="2939"/>
      <c r="BP28" s="2940"/>
      <c r="BQ28" s="2941"/>
      <c r="BR28" s="2940"/>
      <c r="BS28" s="2941"/>
      <c r="BT28" s="2939"/>
      <c r="BU28" s="1663"/>
      <c r="BV28" s="411"/>
      <c r="BW28" s="418"/>
      <c r="BX28" s="418"/>
      <c r="BY28" s="411"/>
      <c r="BZ28" s="411"/>
      <c r="CA28" s="411"/>
      <c r="CB28" s="411"/>
      <c r="CC28" s="411"/>
      <c r="CD28" s="411"/>
      <c r="CE28" s="411"/>
      <c r="CF28" s="411"/>
      <c r="CG28" s="411"/>
      <c r="CH28" s="411"/>
      <c r="CI28" s="411"/>
      <c r="CJ28" s="411"/>
      <c r="CK28" s="411"/>
      <c r="CL28" s="411"/>
      <c r="CM28" s="411"/>
      <c r="CN28" s="411"/>
      <c r="CO28" s="411"/>
      <c r="CP28" s="411"/>
      <c r="CQ28" s="411"/>
      <c r="CR28" s="411"/>
      <c r="CS28" s="411"/>
      <c r="CT28" s="411"/>
      <c r="CU28" s="411"/>
      <c r="CV28" s="411"/>
      <c r="CW28" s="411"/>
    </row>
    <row r="29" spans="1:101" s="963" customFormat="1" ht="14.25" customHeight="1">
      <c r="A29" s="3803">
        <v>5</v>
      </c>
      <c r="B29" s="3804"/>
      <c r="C29" s="3125"/>
      <c r="D29" s="3126"/>
      <c r="E29" s="3126"/>
      <c r="F29" s="3126"/>
      <c r="G29" s="3126"/>
      <c r="H29" s="3126"/>
      <c r="I29" s="3126"/>
      <c r="J29" s="3126"/>
      <c r="K29" s="3126"/>
      <c r="L29" s="3126"/>
      <c r="M29" s="3126"/>
      <c r="N29" s="2918"/>
      <c r="O29" s="2920"/>
      <c r="P29" s="2918"/>
      <c r="Q29" s="2317"/>
      <c r="R29" s="2582"/>
      <c r="S29" s="2920"/>
      <c r="T29" s="2919"/>
      <c r="U29" s="979"/>
      <c r="V29" s="2919"/>
      <c r="W29" s="2918"/>
      <c r="X29" s="979"/>
      <c r="Y29" s="2918"/>
      <c r="Z29" s="2919"/>
      <c r="AA29" s="2920"/>
      <c r="AB29" s="2926"/>
      <c r="AC29" s="2927"/>
      <c r="AD29" s="2928"/>
      <c r="AE29" s="2927"/>
      <c r="AF29" s="2927"/>
      <c r="AG29" s="2927"/>
      <c r="AH29" s="2926"/>
      <c r="AI29" s="2927"/>
      <c r="AJ29" s="2928"/>
      <c r="AK29" s="2926"/>
      <c r="AL29" s="2927"/>
      <c r="AM29" s="2928"/>
      <c r="AN29" s="2927"/>
      <c r="AO29" s="2927"/>
      <c r="AP29" s="2927"/>
      <c r="AQ29" s="2926"/>
      <c r="AR29" s="2927"/>
      <c r="AS29" s="2927"/>
      <c r="AT29" s="2926"/>
      <c r="AU29" s="2927"/>
      <c r="AV29" s="2928"/>
      <c r="AW29" s="2926"/>
      <c r="AX29" s="2927"/>
      <c r="AY29" s="2928"/>
      <c r="AZ29" s="2927"/>
      <c r="BA29" s="2928"/>
      <c r="BB29" s="2926"/>
      <c r="BC29" s="2927"/>
      <c r="BD29" s="2928"/>
      <c r="BE29" s="2918"/>
      <c r="BF29" s="979"/>
      <c r="BG29" s="2927"/>
      <c r="BH29" s="2928"/>
      <c r="BI29" s="2927"/>
      <c r="BJ29" s="2928"/>
      <c r="BK29" s="2927"/>
      <c r="BL29" s="2928"/>
      <c r="BM29" s="2926"/>
      <c r="BN29" s="2928"/>
      <c r="BO29" s="2926"/>
      <c r="BP29" s="2927"/>
      <c r="BQ29" s="2928"/>
      <c r="BR29" s="2927"/>
      <c r="BS29" s="2928"/>
      <c r="BT29" s="2926"/>
      <c r="BU29" s="982"/>
      <c r="BV29" s="411"/>
      <c r="BW29" s="418"/>
      <c r="BX29" s="418"/>
      <c r="BY29" s="411"/>
      <c r="BZ29" s="411"/>
      <c r="CA29" s="411"/>
      <c r="CB29" s="411"/>
      <c r="CC29" s="411"/>
      <c r="CD29" s="411"/>
      <c r="CE29" s="411"/>
      <c r="CF29" s="411"/>
      <c r="CG29" s="411"/>
      <c r="CH29" s="411"/>
      <c r="CI29" s="411"/>
      <c r="CJ29" s="411"/>
      <c r="CK29" s="411"/>
      <c r="CL29" s="411"/>
      <c r="CM29" s="411"/>
      <c r="CN29" s="411"/>
      <c r="CO29" s="411"/>
      <c r="CP29" s="411"/>
      <c r="CQ29" s="411"/>
      <c r="CR29" s="411"/>
      <c r="CS29" s="411"/>
      <c r="CT29" s="411"/>
      <c r="CU29" s="411"/>
      <c r="CV29" s="411"/>
      <c r="CW29" s="411"/>
    </row>
    <row r="30" spans="1:101" s="963" customFormat="1" ht="14.25" customHeight="1" thickBot="1">
      <c r="A30" s="3803">
        <v>6</v>
      </c>
      <c r="B30" s="3804"/>
      <c r="C30" s="3127"/>
      <c r="D30" s="3128"/>
      <c r="E30" s="3128"/>
      <c r="F30" s="3128"/>
      <c r="G30" s="3128"/>
      <c r="H30" s="3128"/>
      <c r="I30" s="3128"/>
      <c r="J30" s="3128"/>
      <c r="K30" s="3128"/>
      <c r="L30" s="3128"/>
      <c r="M30" s="3128"/>
      <c r="N30" s="1669"/>
      <c r="O30" s="2438"/>
      <c r="P30" s="1669"/>
      <c r="Q30" s="2442"/>
      <c r="R30" s="2585"/>
      <c r="S30" s="2438"/>
      <c r="T30" s="2437"/>
      <c r="U30" s="2210"/>
      <c r="V30" s="2437"/>
      <c r="W30" s="1669"/>
      <c r="X30" s="2210"/>
      <c r="Y30" s="1669"/>
      <c r="Z30" s="2437"/>
      <c r="AA30" s="2438"/>
      <c r="AB30" s="2932"/>
      <c r="AC30" s="2933"/>
      <c r="AD30" s="2934"/>
      <c r="AE30" s="2933"/>
      <c r="AF30" s="2933"/>
      <c r="AG30" s="2933"/>
      <c r="AH30" s="2932"/>
      <c r="AI30" s="2933"/>
      <c r="AJ30" s="2934"/>
      <c r="AK30" s="2932"/>
      <c r="AL30" s="2933"/>
      <c r="AM30" s="2934"/>
      <c r="AN30" s="2933"/>
      <c r="AO30" s="2933"/>
      <c r="AP30" s="2933"/>
      <c r="AQ30" s="2932"/>
      <c r="AR30" s="2933"/>
      <c r="AS30" s="2933"/>
      <c r="AT30" s="2932"/>
      <c r="AU30" s="2933"/>
      <c r="AV30" s="2934"/>
      <c r="AW30" s="2932"/>
      <c r="AX30" s="2933"/>
      <c r="AY30" s="2934"/>
      <c r="AZ30" s="2933"/>
      <c r="BA30" s="2934"/>
      <c r="BB30" s="2932"/>
      <c r="BC30" s="2933"/>
      <c r="BD30" s="2934"/>
      <c r="BE30" s="1669"/>
      <c r="BF30" s="2210"/>
      <c r="BG30" s="2933"/>
      <c r="BH30" s="2934"/>
      <c r="BI30" s="2933"/>
      <c r="BJ30" s="2934"/>
      <c r="BK30" s="2933"/>
      <c r="BL30" s="2934"/>
      <c r="BM30" s="2932"/>
      <c r="BN30" s="2934"/>
      <c r="BO30" s="2932"/>
      <c r="BP30" s="2933"/>
      <c r="BQ30" s="2934"/>
      <c r="BR30" s="2933"/>
      <c r="BS30" s="2934"/>
      <c r="BT30" s="2932"/>
      <c r="BU30" s="1680"/>
      <c r="BV30" s="411"/>
      <c r="BW30" s="418"/>
      <c r="BX30" s="418"/>
      <c r="BY30" s="411"/>
      <c r="BZ30" s="411"/>
      <c r="CA30" s="411"/>
      <c r="CB30" s="411"/>
      <c r="CC30" s="411"/>
      <c r="CD30" s="411"/>
      <c r="CE30" s="411"/>
      <c r="CF30" s="411"/>
      <c r="CG30" s="411"/>
      <c r="CH30" s="411"/>
      <c r="CI30" s="411"/>
      <c r="CJ30" s="411"/>
      <c r="CK30" s="411"/>
      <c r="CL30" s="411"/>
      <c r="CM30" s="411"/>
      <c r="CN30" s="411"/>
      <c r="CO30" s="411"/>
      <c r="CP30" s="411"/>
      <c r="CQ30" s="411"/>
      <c r="CR30" s="411"/>
      <c r="CS30" s="411"/>
      <c r="CT30" s="411"/>
      <c r="CU30" s="411"/>
      <c r="CV30" s="411"/>
      <c r="CW30" s="411"/>
    </row>
    <row r="31" spans="1:101" s="963" customFormat="1" ht="14.25" customHeight="1" thickTop="1">
      <c r="A31" s="3801">
        <v>7</v>
      </c>
      <c r="B31" s="3802"/>
      <c r="C31" s="3129"/>
      <c r="D31" s="3129"/>
      <c r="E31" s="3129"/>
      <c r="F31" s="3129"/>
      <c r="G31" s="3129"/>
      <c r="H31" s="3129"/>
      <c r="I31" s="3129"/>
      <c r="J31" s="3129"/>
      <c r="K31" s="3129"/>
      <c r="L31" s="3129"/>
      <c r="M31" s="3129"/>
      <c r="N31" s="2955"/>
      <c r="O31" s="2956"/>
      <c r="P31" s="2955"/>
      <c r="Q31" s="2440"/>
      <c r="R31" s="2586"/>
      <c r="S31" s="2956"/>
      <c r="T31" s="2964"/>
      <c r="U31" s="2211"/>
      <c r="V31" s="2964"/>
      <c r="W31" s="2955"/>
      <c r="X31" s="2211"/>
      <c r="Y31" s="2955"/>
      <c r="Z31" s="2964"/>
      <c r="AA31" s="2956"/>
      <c r="AB31" s="2935"/>
      <c r="AC31" s="2936"/>
      <c r="AD31" s="2937"/>
      <c r="AE31" s="2936"/>
      <c r="AF31" s="2936"/>
      <c r="AG31" s="2936"/>
      <c r="AH31" s="2935"/>
      <c r="AI31" s="2936"/>
      <c r="AJ31" s="2937"/>
      <c r="AK31" s="2935"/>
      <c r="AL31" s="2936"/>
      <c r="AM31" s="2937"/>
      <c r="AN31" s="2936"/>
      <c r="AO31" s="2936"/>
      <c r="AP31" s="2936"/>
      <c r="AQ31" s="2935"/>
      <c r="AR31" s="2936"/>
      <c r="AS31" s="2936"/>
      <c r="AT31" s="2935"/>
      <c r="AU31" s="2936"/>
      <c r="AV31" s="2937"/>
      <c r="AW31" s="2935"/>
      <c r="AX31" s="2936"/>
      <c r="AY31" s="2937"/>
      <c r="AZ31" s="2936"/>
      <c r="BA31" s="2937"/>
      <c r="BB31" s="2935"/>
      <c r="BC31" s="2936"/>
      <c r="BD31" s="2937"/>
      <c r="BE31" s="2955"/>
      <c r="BF31" s="2211"/>
      <c r="BG31" s="2936"/>
      <c r="BH31" s="2937"/>
      <c r="BI31" s="2936"/>
      <c r="BJ31" s="2937"/>
      <c r="BK31" s="2936"/>
      <c r="BL31" s="2937"/>
      <c r="BM31" s="2935"/>
      <c r="BN31" s="2937"/>
      <c r="BO31" s="2935"/>
      <c r="BP31" s="2936"/>
      <c r="BQ31" s="2937"/>
      <c r="BR31" s="2936"/>
      <c r="BS31" s="2937"/>
      <c r="BT31" s="2935"/>
      <c r="BU31" s="2965"/>
      <c r="BV31" s="411"/>
      <c r="BW31" s="418"/>
      <c r="BX31" s="418"/>
      <c r="BY31" s="411"/>
      <c r="BZ31" s="411"/>
      <c r="CA31" s="411"/>
      <c r="CB31" s="411"/>
      <c r="CC31" s="411"/>
      <c r="CD31" s="411"/>
      <c r="CE31" s="411"/>
      <c r="CF31" s="411"/>
      <c r="CG31" s="411"/>
      <c r="CH31" s="411"/>
      <c r="CI31" s="411"/>
      <c r="CJ31" s="411"/>
      <c r="CK31" s="411"/>
      <c r="CL31" s="411"/>
      <c r="CM31" s="411"/>
      <c r="CN31" s="411"/>
      <c r="CO31" s="411"/>
      <c r="CP31" s="411"/>
      <c r="CQ31" s="411"/>
      <c r="CR31" s="411"/>
      <c r="CS31" s="411"/>
      <c r="CT31" s="411"/>
      <c r="CU31" s="411"/>
      <c r="CV31" s="411"/>
      <c r="CW31" s="411"/>
    </row>
    <row r="32" spans="1:101" s="963" customFormat="1" ht="14.25" customHeight="1">
      <c r="A32" s="3801">
        <v>8</v>
      </c>
      <c r="B32" s="3802"/>
      <c r="C32" s="3121"/>
      <c r="D32" s="3121"/>
      <c r="E32" s="3121"/>
      <c r="F32" s="3121"/>
      <c r="G32" s="3121"/>
      <c r="H32" s="3121"/>
      <c r="I32" s="3121"/>
      <c r="J32" s="3121"/>
      <c r="K32" s="3121"/>
      <c r="L32" s="3121"/>
      <c r="M32" s="3121"/>
      <c r="N32" s="2918"/>
      <c r="O32" s="2920"/>
      <c r="P32" s="2918"/>
      <c r="Q32" s="2317"/>
      <c r="R32" s="2582"/>
      <c r="S32" s="2920"/>
      <c r="T32" s="2919"/>
      <c r="U32" s="979"/>
      <c r="V32" s="2919"/>
      <c r="W32" s="2918"/>
      <c r="X32" s="979"/>
      <c r="Y32" s="2918"/>
      <c r="Z32" s="2919"/>
      <c r="AA32" s="2920"/>
      <c r="AB32" s="2926"/>
      <c r="AC32" s="2927"/>
      <c r="AD32" s="2928"/>
      <c r="AE32" s="2927"/>
      <c r="AF32" s="2927"/>
      <c r="AG32" s="2927"/>
      <c r="AH32" s="2926"/>
      <c r="AI32" s="2927"/>
      <c r="AJ32" s="2928"/>
      <c r="AK32" s="2926"/>
      <c r="AL32" s="2927"/>
      <c r="AM32" s="2928"/>
      <c r="AN32" s="2927"/>
      <c r="AO32" s="2927"/>
      <c r="AP32" s="2927"/>
      <c r="AQ32" s="2926"/>
      <c r="AR32" s="2927"/>
      <c r="AS32" s="2927"/>
      <c r="AT32" s="2926"/>
      <c r="AU32" s="2927"/>
      <c r="AV32" s="2928"/>
      <c r="AW32" s="2926"/>
      <c r="AX32" s="2927"/>
      <c r="AY32" s="2928"/>
      <c r="AZ32" s="2927"/>
      <c r="BA32" s="2928"/>
      <c r="BB32" s="2926"/>
      <c r="BC32" s="2927"/>
      <c r="BD32" s="2928"/>
      <c r="BE32" s="2918"/>
      <c r="BF32" s="979"/>
      <c r="BG32" s="2927"/>
      <c r="BH32" s="2928"/>
      <c r="BI32" s="2927"/>
      <c r="BJ32" s="2928"/>
      <c r="BK32" s="2927"/>
      <c r="BL32" s="2928"/>
      <c r="BM32" s="2926"/>
      <c r="BN32" s="2928"/>
      <c r="BO32" s="2926"/>
      <c r="BP32" s="2927"/>
      <c r="BQ32" s="2928"/>
      <c r="BR32" s="2927"/>
      <c r="BS32" s="2928"/>
      <c r="BT32" s="2926"/>
      <c r="BU32" s="982"/>
      <c r="BV32" s="411"/>
      <c r="BW32" s="418"/>
      <c r="BX32" s="418"/>
      <c r="BY32" s="411"/>
      <c r="BZ32" s="411"/>
      <c r="CA32" s="411"/>
      <c r="CB32" s="411"/>
      <c r="CC32" s="411"/>
      <c r="CD32" s="411"/>
      <c r="CE32" s="411"/>
      <c r="CF32" s="411"/>
      <c r="CG32" s="411"/>
      <c r="CH32" s="411"/>
      <c r="CI32" s="411"/>
      <c r="CJ32" s="411"/>
      <c r="CK32" s="411"/>
      <c r="CL32" s="411"/>
      <c r="CM32" s="411"/>
      <c r="CN32" s="411"/>
      <c r="CO32" s="411"/>
      <c r="CP32" s="411"/>
      <c r="CQ32" s="411"/>
      <c r="CR32" s="411"/>
      <c r="CS32" s="411"/>
      <c r="CT32" s="411"/>
      <c r="CU32" s="411"/>
      <c r="CV32" s="411"/>
      <c r="CW32" s="411"/>
    </row>
    <row r="33" spans="1:101" s="963" customFormat="1" ht="14.25" customHeight="1" thickBot="1">
      <c r="A33" s="3801">
        <v>9</v>
      </c>
      <c r="B33" s="3802"/>
      <c r="C33" s="3122"/>
      <c r="D33" s="3122"/>
      <c r="E33" s="3122"/>
      <c r="F33" s="3122"/>
      <c r="G33" s="3122"/>
      <c r="H33" s="3122"/>
      <c r="I33" s="3122"/>
      <c r="J33" s="3122"/>
      <c r="K33" s="3122"/>
      <c r="L33" s="3122"/>
      <c r="M33" s="3122"/>
      <c r="N33" s="2961"/>
      <c r="O33" s="2434"/>
      <c r="P33" s="2961"/>
      <c r="Q33" s="2580"/>
      <c r="R33" s="2583"/>
      <c r="S33" s="2962"/>
      <c r="T33" s="2433"/>
      <c r="U33" s="2208"/>
      <c r="V33" s="2433"/>
      <c r="W33" s="2961"/>
      <c r="X33" s="2208"/>
      <c r="Y33" s="2961"/>
      <c r="Z33" s="2433"/>
      <c r="AA33" s="2434"/>
      <c r="AB33" s="2938"/>
      <c r="AC33" s="983"/>
      <c r="AD33" s="2439"/>
      <c r="AE33" s="983"/>
      <c r="AF33" s="983"/>
      <c r="AG33" s="983"/>
      <c r="AH33" s="2938"/>
      <c r="AI33" s="2960"/>
      <c r="AJ33" s="2439"/>
      <c r="AK33" s="2938"/>
      <c r="AL33" s="2960"/>
      <c r="AM33" s="2439"/>
      <c r="AN33" s="983"/>
      <c r="AO33" s="983"/>
      <c r="AP33" s="983"/>
      <c r="AQ33" s="2938"/>
      <c r="AR33" s="2960"/>
      <c r="AS33" s="983"/>
      <c r="AT33" s="2938"/>
      <c r="AU33" s="2960"/>
      <c r="AV33" s="2439"/>
      <c r="AW33" s="2938"/>
      <c r="AX33" s="2960"/>
      <c r="AY33" s="2439"/>
      <c r="AZ33" s="983"/>
      <c r="BA33" s="2439"/>
      <c r="BB33" s="2938"/>
      <c r="BC33" s="983"/>
      <c r="BD33" s="2439"/>
      <c r="BE33" s="2961"/>
      <c r="BF33" s="2208"/>
      <c r="BG33" s="983"/>
      <c r="BH33" s="2439"/>
      <c r="BI33" s="983"/>
      <c r="BJ33" s="2439"/>
      <c r="BK33" s="983"/>
      <c r="BL33" s="2439"/>
      <c r="BM33" s="2938"/>
      <c r="BN33" s="2439"/>
      <c r="BO33" s="2938"/>
      <c r="BP33" s="983"/>
      <c r="BQ33" s="2439"/>
      <c r="BR33" s="983"/>
      <c r="BS33" s="2439"/>
      <c r="BT33" s="2938"/>
      <c r="BU33" s="1640"/>
      <c r="BV33" s="411"/>
      <c r="BW33" s="418"/>
      <c r="BX33" s="418"/>
      <c r="BY33" s="411"/>
      <c r="BZ33" s="411"/>
      <c r="CA33" s="411"/>
      <c r="CB33" s="411"/>
      <c r="CC33" s="411"/>
      <c r="CD33" s="411"/>
      <c r="CE33" s="411"/>
      <c r="CF33" s="411"/>
      <c r="CG33" s="411"/>
      <c r="CH33" s="411"/>
      <c r="CI33" s="411"/>
      <c r="CJ33" s="411"/>
      <c r="CK33" s="411"/>
      <c r="CL33" s="411"/>
      <c r="CM33" s="411"/>
      <c r="CN33" s="411"/>
      <c r="CO33" s="411"/>
      <c r="CP33" s="411"/>
      <c r="CQ33" s="411"/>
      <c r="CR33" s="411"/>
      <c r="CS33" s="411"/>
      <c r="CT33" s="411"/>
      <c r="CU33" s="411"/>
      <c r="CV33" s="411"/>
      <c r="CW33" s="411"/>
    </row>
    <row r="34" spans="1:101" s="963" customFormat="1" ht="14.25" customHeight="1" thickTop="1">
      <c r="A34" s="3803">
        <v>10</v>
      </c>
      <c r="B34" s="3804"/>
      <c r="C34" s="3123"/>
      <c r="D34" s="3124"/>
      <c r="E34" s="3124"/>
      <c r="F34" s="3124"/>
      <c r="G34" s="3124"/>
      <c r="H34" s="3124"/>
      <c r="I34" s="3124"/>
      <c r="J34" s="3124"/>
      <c r="K34" s="3124"/>
      <c r="L34" s="3124"/>
      <c r="M34" s="3124"/>
      <c r="N34" s="1652"/>
      <c r="O34" s="2436"/>
      <c r="P34" s="1652"/>
      <c r="Q34" s="2441"/>
      <c r="R34" s="2584"/>
      <c r="S34" s="2436"/>
      <c r="T34" s="2435"/>
      <c r="U34" s="2209"/>
      <c r="V34" s="2435"/>
      <c r="W34" s="1652"/>
      <c r="X34" s="2209"/>
      <c r="Y34" s="1652"/>
      <c r="Z34" s="2435"/>
      <c r="AA34" s="2436"/>
      <c r="AB34" s="2939"/>
      <c r="AC34" s="2940"/>
      <c r="AD34" s="2941"/>
      <c r="AE34" s="2940"/>
      <c r="AF34" s="2940"/>
      <c r="AG34" s="2940"/>
      <c r="AH34" s="2939"/>
      <c r="AI34" s="2940"/>
      <c r="AJ34" s="2941"/>
      <c r="AK34" s="2939"/>
      <c r="AL34" s="2940"/>
      <c r="AM34" s="2941"/>
      <c r="AN34" s="2940"/>
      <c r="AO34" s="2940"/>
      <c r="AP34" s="2940"/>
      <c r="AQ34" s="2939"/>
      <c r="AR34" s="2940"/>
      <c r="AS34" s="2940"/>
      <c r="AT34" s="2939"/>
      <c r="AU34" s="2940"/>
      <c r="AV34" s="2941"/>
      <c r="AW34" s="2939"/>
      <c r="AX34" s="2940"/>
      <c r="AY34" s="2941"/>
      <c r="AZ34" s="2940"/>
      <c r="BA34" s="2941"/>
      <c r="BB34" s="2939"/>
      <c r="BC34" s="2940"/>
      <c r="BD34" s="2941"/>
      <c r="BE34" s="1652"/>
      <c r="BF34" s="2209"/>
      <c r="BG34" s="2940"/>
      <c r="BH34" s="2941"/>
      <c r="BI34" s="2940"/>
      <c r="BJ34" s="2941"/>
      <c r="BK34" s="2940"/>
      <c r="BL34" s="2941"/>
      <c r="BM34" s="2939"/>
      <c r="BN34" s="2941"/>
      <c r="BO34" s="2939"/>
      <c r="BP34" s="2940"/>
      <c r="BQ34" s="2941"/>
      <c r="BR34" s="2940"/>
      <c r="BS34" s="2941"/>
      <c r="BT34" s="2939"/>
      <c r="BU34" s="1663"/>
      <c r="BV34" s="411"/>
      <c r="BW34" s="418"/>
      <c r="BX34" s="418"/>
      <c r="BY34" s="411"/>
      <c r="BZ34" s="411"/>
      <c r="CA34" s="411"/>
      <c r="CB34" s="411"/>
      <c r="CC34" s="411"/>
      <c r="CD34" s="411"/>
      <c r="CE34" s="411"/>
      <c r="CF34" s="411"/>
      <c r="CG34" s="411"/>
      <c r="CH34" s="411"/>
      <c r="CI34" s="411"/>
      <c r="CJ34" s="411"/>
      <c r="CK34" s="411"/>
      <c r="CL34" s="411"/>
      <c r="CM34" s="411"/>
      <c r="CN34" s="411"/>
      <c r="CO34" s="411"/>
      <c r="CP34" s="411"/>
      <c r="CQ34" s="411"/>
      <c r="CR34" s="411"/>
      <c r="CS34" s="411"/>
      <c r="CT34" s="411"/>
      <c r="CU34" s="411"/>
      <c r="CV34" s="411"/>
      <c r="CW34" s="411"/>
    </row>
    <row r="35" spans="1:101" s="963" customFormat="1" ht="14.25" customHeight="1">
      <c r="A35" s="3803">
        <v>11</v>
      </c>
      <c r="B35" s="3804"/>
      <c r="C35" s="3125"/>
      <c r="D35" s="3126"/>
      <c r="E35" s="3126"/>
      <c r="F35" s="3126"/>
      <c r="G35" s="3126"/>
      <c r="H35" s="3126"/>
      <c r="I35" s="3126"/>
      <c r="J35" s="3126"/>
      <c r="K35" s="3126"/>
      <c r="L35" s="3126"/>
      <c r="M35" s="3126"/>
      <c r="N35" s="2918"/>
      <c r="O35" s="2920"/>
      <c r="P35" s="2918"/>
      <c r="Q35" s="2317"/>
      <c r="R35" s="2582"/>
      <c r="S35" s="2920"/>
      <c r="T35" s="2919"/>
      <c r="U35" s="979"/>
      <c r="V35" s="2919"/>
      <c r="W35" s="2918"/>
      <c r="X35" s="979"/>
      <c r="Y35" s="2918"/>
      <c r="Z35" s="2919"/>
      <c r="AA35" s="2920"/>
      <c r="AB35" s="2926"/>
      <c r="AC35" s="2927"/>
      <c r="AD35" s="2928"/>
      <c r="AE35" s="2927"/>
      <c r="AF35" s="2927"/>
      <c r="AG35" s="2927"/>
      <c r="AH35" s="2926"/>
      <c r="AI35" s="2927"/>
      <c r="AJ35" s="2928"/>
      <c r="AK35" s="2926"/>
      <c r="AL35" s="2927"/>
      <c r="AM35" s="2928"/>
      <c r="AN35" s="2927"/>
      <c r="AO35" s="2927"/>
      <c r="AP35" s="2927"/>
      <c r="AQ35" s="2926"/>
      <c r="AR35" s="2927"/>
      <c r="AS35" s="2927"/>
      <c r="AT35" s="2926"/>
      <c r="AU35" s="2927"/>
      <c r="AV35" s="2928"/>
      <c r="AW35" s="2926"/>
      <c r="AX35" s="2927"/>
      <c r="AY35" s="2928"/>
      <c r="AZ35" s="2927"/>
      <c r="BA35" s="2928"/>
      <c r="BB35" s="2926"/>
      <c r="BC35" s="2927"/>
      <c r="BD35" s="2928"/>
      <c r="BE35" s="2918"/>
      <c r="BF35" s="979"/>
      <c r="BG35" s="2927"/>
      <c r="BH35" s="2928"/>
      <c r="BI35" s="2927"/>
      <c r="BJ35" s="2928"/>
      <c r="BK35" s="2927"/>
      <c r="BL35" s="2928"/>
      <c r="BM35" s="2926"/>
      <c r="BN35" s="2928"/>
      <c r="BO35" s="2926"/>
      <c r="BP35" s="2927"/>
      <c r="BQ35" s="2928"/>
      <c r="BR35" s="2927"/>
      <c r="BS35" s="2928"/>
      <c r="BT35" s="2926"/>
      <c r="BU35" s="982"/>
      <c r="BV35" s="411"/>
      <c r="BW35" s="418"/>
      <c r="BX35" s="418"/>
      <c r="BY35" s="411"/>
      <c r="BZ35" s="411"/>
      <c r="CA35" s="411"/>
      <c r="CB35" s="411"/>
      <c r="CC35" s="411"/>
      <c r="CD35" s="411"/>
      <c r="CE35" s="411"/>
      <c r="CF35" s="411"/>
      <c r="CG35" s="411"/>
      <c r="CH35" s="411"/>
      <c r="CI35" s="411"/>
      <c r="CJ35" s="411"/>
      <c r="CK35" s="411"/>
      <c r="CL35" s="411"/>
      <c r="CM35" s="411"/>
      <c r="CN35" s="411"/>
      <c r="CO35" s="411"/>
      <c r="CP35" s="411"/>
      <c r="CQ35" s="411"/>
      <c r="CR35" s="411"/>
      <c r="CS35" s="411"/>
      <c r="CT35" s="411"/>
      <c r="CU35" s="411"/>
      <c r="CV35" s="411"/>
      <c r="CW35" s="411"/>
    </row>
    <row r="36" spans="1:101" s="963" customFormat="1" ht="14.25" customHeight="1" thickBot="1">
      <c r="A36" s="3803">
        <v>12</v>
      </c>
      <c r="B36" s="3804"/>
      <c r="C36" s="3127"/>
      <c r="D36" s="3128"/>
      <c r="E36" s="3128"/>
      <c r="F36" s="3128"/>
      <c r="G36" s="3128"/>
      <c r="H36" s="3128"/>
      <c r="I36" s="3128"/>
      <c r="J36" s="3128"/>
      <c r="K36" s="3128"/>
      <c r="L36" s="3128"/>
      <c r="M36" s="3128"/>
      <c r="N36" s="1669"/>
      <c r="O36" s="2438"/>
      <c r="P36" s="1669"/>
      <c r="Q36" s="2442"/>
      <c r="R36" s="2585"/>
      <c r="S36" s="2438"/>
      <c r="T36" s="2437"/>
      <c r="U36" s="2210"/>
      <c r="V36" s="2437"/>
      <c r="W36" s="1669"/>
      <c r="X36" s="2210"/>
      <c r="Y36" s="1669"/>
      <c r="Z36" s="2437"/>
      <c r="AA36" s="2438"/>
      <c r="AB36" s="2932"/>
      <c r="AC36" s="2933"/>
      <c r="AD36" s="2934"/>
      <c r="AE36" s="2933"/>
      <c r="AF36" s="2933"/>
      <c r="AG36" s="2933"/>
      <c r="AH36" s="2932"/>
      <c r="AI36" s="2933"/>
      <c r="AJ36" s="2934"/>
      <c r="AK36" s="2932"/>
      <c r="AL36" s="2933"/>
      <c r="AM36" s="2934"/>
      <c r="AN36" s="2933"/>
      <c r="AO36" s="2933"/>
      <c r="AP36" s="2933"/>
      <c r="AQ36" s="2932"/>
      <c r="AR36" s="2933"/>
      <c r="AS36" s="2933"/>
      <c r="AT36" s="2932"/>
      <c r="AU36" s="2933"/>
      <c r="AV36" s="2934"/>
      <c r="AW36" s="2932"/>
      <c r="AX36" s="2933"/>
      <c r="AY36" s="2934"/>
      <c r="AZ36" s="2933"/>
      <c r="BA36" s="2934"/>
      <c r="BB36" s="2932"/>
      <c r="BC36" s="2933"/>
      <c r="BD36" s="2934"/>
      <c r="BE36" s="1669"/>
      <c r="BF36" s="2210"/>
      <c r="BG36" s="2933"/>
      <c r="BH36" s="2934"/>
      <c r="BI36" s="2933"/>
      <c r="BJ36" s="2934"/>
      <c r="BK36" s="2933"/>
      <c r="BL36" s="2934"/>
      <c r="BM36" s="2932"/>
      <c r="BN36" s="2934"/>
      <c r="BO36" s="2932"/>
      <c r="BP36" s="2933"/>
      <c r="BQ36" s="2934"/>
      <c r="BR36" s="2933"/>
      <c r="BS36" s="2934"/>
      <c r="BT36" s="2932"/>
      <c r="BU36" s="1680"/>
      <c r="BV36" s="411"/>
      <c r="BW36" s="418"/>
      <c r="BX36" s="418"/>
      <c r="BY36" s="411"/>
      <c r="BZ36" s="411"/>
      <c r="CA36" s="411"/>
      <c r="CB36" s="411"/>
      <c r="CC36" s="411"/>
      <c r="CD36" s="411"/>
      <c r="CE36" s="411"/>
      <c r="CF36" s="411"/>
      <c r="CG36" s="411"/>
      <c r="CH36" s="411"/>
      <c r="CI36" s="411"/>
      <c r="CJ36" s="411"/>
      <c r="CK36" s="411"/>
      <c r="CL36" s="411"/>
      <c r="CM36" s="411"/>
      <c r="CN36" s="411"/>
      <c r="CO36" s="411"/>
      <c r="CP36" s="411"/>
      <c r="CQ36" s="411"/>
      <c r="CR36" s="411"/>
      <c r="CS36" s="411"/>
      <c r="CT36" s="411"/>
      <c r="CU36" s="411"/>
      <c r="CV36" s="411"/>
      <c r="CW36" s="411"/>
    </row>
    <row r="37" spans="1:101" s="963" customFormat="1" ht="14.25" customHeight="1" thickTop="1">
      <c r="A37" s="3801">
        <v>13</v>
      </c>
      <c r="B37" s="3802"/>
      <c r="C37" s="3129"/>
      <c r="D37" s="3129"/>
      <c r="E37" s="3129"/>
      <c r="F37" s="3129"/>
      <c r="G37" s="3129"/>
      <c r="H37" s="3129"/>
      <c r="I37" s="3129"/>
      <c r="J37" s="3129"/>
      <c r="K37" s="3129"/>
      <c r="L37" s="3129"/>
      <c r="M37" s="3129"/>
      <c r="N37" s="2955"/>
      <c r="O37" s="2956"/>
      <c r="P37" s="2955"/>
      <c r="Q37" s="2440"/>
      <c r="R37" s="2586"/>
      <c r="S37" s="2956"/>
      <c r="T37" s="2964"/>
      <c r="U37" s="2211"/>
      <c r="V37" s="2964"/>
      <c r="W37" s="2955"/>
      <c r="X37" s="2211"/>
      <c r="Y37" s="2955"/>
      <c r="Z37" s="2964"/>
      <c r="AA37" s="2956"/>
      <c r="AB37" s="2935"/>
      <c r="AC37" s="2936"/>
      <c r="AD37" s="2937"/>
      <c r="AE37" s="2936"/>
      <c r="AF37" s="2936"/>
      <c r="AG37" s="2936"/>
      <c r="AH37" s="2935"/>
      <c r="AI37" s="2936"/>
      <c r="AJ37" s="2937"/>
      <c r="AK37" s="2935"/>
      <c r="AL37" s="2936"/>
      <c r="AM37" s="2937"/>
      <c r="AN37" s="2936"/>
      <c r="AO37" s="2936"/>
      <c r="AP37" s="2936"/>
      <c r="AQ37" s="2935"/>
      <c r="AR37" s="2936"/>
      <c r="AS37" s="2936"/>
      <c r="AT37" s="2935"/>
      <c r="AU37" s="2936"/>
      <c r="AV37" s="2937"/>
      <c r="AW37" s="2935"/>
      <c r="AX37" s="2936"/>
      <c r="AY37" s="2937"/>
      <c r="AZ37" s="2936"/>
      <c r="BA37" s="2937"/>
      <c r="BB37" s="2935"/>
      <c r="BC37" s="2936"/>
      <c r="BD37" s="2937"/>
      <c r="BE37" s="2955"/>
      <c r="BF37" s="2211"/>
      <c r="BG37" s="2936"/>
      <c r="BH37" s="2937"/>
      <c r="BI37" s="2936"/>
      <c r="BJ37" s="2937"/>
      <c r="BK37" s="2936"/>
      <c r="BL37" s="2937"/>
      <c r="BM37" s="2935"/>
      <c r="BN37" s="2937"/>
      <c r="BO37" s="2935"/>
      <c r="BP37" s="2936"/>
      <c r="BQ37" s="2937"/>
      <c r="BR37" s="2936"/>
      <c r="BS37" s="2937"/>
      <c r="BT37" s="2935"/>
      <c r="BU37" s="2965"/>
      <c r="BV37" s="411"/>
      <c r="BW37" s="418"/>
      <c r="BX37" s="418"/>
      <c r="BY37" s="411"/>
      <c r="BZ37" s="411"/>
      <c r="CA37" s="411"/>
      <c r="CB37" s="411"/>
      <c r="CC37" s="411"/>
      <c r="CD37" s="411"/>
      <c r="CE37" s="411"/>
      <c r="CF37" s="411"/>
      <c r="CG37" s="411"/>
      <c r="CH37" s="411"/>
      <c r="CI37" s="411"/>
      <c r="CJ37" s="411"/>
      <c r="CK37" s="411"/>
      <c r="CL37" s="411"/>
      <c r="CM37" s="411"/>
      <c r="CN37" s="411"/>
      <c r="CO37" s="411"/>
      <c r="CP37" s="411"/>
      <c r="CQ37" s="411"/>
      <c r="CR37" s="411"/>
      <c r="CS37" s="411"/>
      <c r="CT37" s="411"/>
      <c r="CU37" s="411"/>
      <c r="CV37" s="411"/>
      <c r="CW37" s="411"/>
    </row>
    <row r="38" spans="1:101" s="963" customFormat="1" ht="14.25" customHeight="1">
      <c r="A38" s="3801">
        <v>14</v>
      </c>
      <c r="B38" s="3802"/>
      <c r="C38" s="3121"/>
      <c r="D38" s="3121"/>
      <c r="E38" s="3121"/>
      <c r="F38" s="3121"/>
      <c r="G38" s="3121"/>
      <c r="H38" s="3121"/>
      <c r="I38" s="3121"/>
      <c r="J38" s="3121"/>
      <c r="K38" s="3121"/>
      <c r="L38" s="3121"/>
      <c r="M38" s="3121"/>
      <c r="N38" s="2918"/>
      <c r="O38" s="2920"/>
      <c r="P38" s="2918"/>
      <c r="Q38" s="2317"/>
      <c r="R38" s="2582"/>
      <c r="S38" s="2920"/>
      <c r="T38" s="2919"/>
      <c r="U38" s="979"/>
      <c r="V38" s="2919"/>
      <c r="W38" s="2918"/>
      <c r="X38" s="979"/>
      <c r="Y38" s="2918"/>
      <c r="Z38" s="2919"/>
      <c r="AA38" s="2920"/>
      <c r="AB38" s="2926"/>
      <c r="AC38" s="2927"/>
      <c r="AD38" s="2928"/>
      <c r="AE38" s="2927"/>
      <c r="AF38" s="2927"/>
      <c r="AG38" s="2927"/>
      <c r="AH38" s="2926"/>
      <c r="AI38" s="2927"/>
      <c r="AJ38" s="2928"/>
      <c r="AK38" s="2926"/>
      <c r="AL38" s="2927"/>
      <c r="AM38" s="2928"/>
      <c r="AN38" s="2927"/>
      <c r="AO38" s="2927"/>
      <c r="AP38" s="2927"/>
      <c r="AQ38" s="2926"/>
      <c r="AR38" s="2927"/>
      <c r="AS38" s="2927"/>
      <c r="AT38" s="2926"/>
      <c r="AU38" s="2927"/>
      <c r="AV38" s="2928"/>
      <c r="AW38" s="2926"/>
      <c r="AX38" s="2927"/>
      <c r="AY38" s="2928"/>
      <c r="AZ38" s="2927"/>
      <c r="BA38" s="2928"/>
      <c r="BB38" s="2926"/>
      <c r="BC38" s="2927"/>
      <c r="BD38" s="2928"/>
      <c r="BE38" s="2918"/>
      <c r="BF38" s="979"/>
      <c r="BG38" s="2927"/>
      <c r="BH38" s="2928"/>
      <c r="BI38" s="2927"/>
      <c r="BJ38" s="2928"/>
      <c r="BK38" s="2927"/>
      <c r="BL38" s="2928"/>
      <c r="BM38" s="2926"/>
      <c r="BN38" s="2928"/>
      <c r="BO38" s="2926"/>
      <c r="BP38" s="2927"/>
      <c r="BQ38" s="2928"/>
      <c r="BR38" s="2927"/>
      <c r="BS38" s="2928"/>
      <c r="BT38" s="2926"/>
      <c r="BU38" s="982"/>
      <c r="BV38" s="411"/>
      <c r="BW38" s="418"/>
      <c r="BX38" s="418"/>
      <c r="BY38" s="411"/>
      <c r="BZ38" s="411"/>
      <c r="CA38" s="411"/>
      <c r="CB38" s="411"/>
      <c r="CC38" s="411"/>
      <c r="CD38" s="411"/>
      <c r="CE38" s="411"/>
      <c r="CF38" s="411"/>
      <c r="CG38" s="411"/>
      <c r="CH38" s="411"/>
      <c r="CI38" s="411"/>
      <c r="CJ38" s="411"/>
      <c r="CK38" s="411"/>
      <c r="CL38" s="411"/>
      <c r="CM38" s="411"/>
      <c r="CN38" s="411"/>
      <c r="CO38" s="411"/>
      <c r="CP38" s="411"/>
      <c r="CQ38" s="411"/>
      <c r="CR38" s="411"/>
      <c r="CS38" s="411"/>
      <c r="CT38" s="411"/>
      <c r="CU38" s="411"/>
      <c r="CV38" s="411"/>
      <c r="CW38" s="411"/>
    </row>
    <row r="39" spans="1:101" s="963" customFormat="1" ht="14.25" customHeight="1" thickBot="1">
      <c r="A39" s="3834">
        <v>15</v>
      </c>
      <c r="B39" s="3835"/>
      <c r="C39" s="3130"/>
      <c r="D39" s="3130"/>
      <c r="E39" s="3130"/>
      <c r="F39" s="3130"/>
      <c r="G39" s="3130"/>
      <c r="H39" s="3130"/>
      <c r="I39" s="3130"/>
      <c r="J39" s="3130"/>
      <c r="K39" s="3130"/>
      <c r="L39" s="3130"/>
      <c r="M39" s="3130"/>
      <c r="N39" s="2951"/>
      <c r="O39" s="2953"/>
      <c r="P39" s="2951"/>
      <c r="Q39" s="2952"/>
      <c r="R39" s="2587"/>
      <c r="S39" s="2953"/>
      <c r="T39" s="2952"/>
      <c r="U39" s="984"/>
      <c r="V39" s="2952"/>
      <c r="W39" s="2951"/>
      <c r="X39" s="984"/>
      <c r="Y39" s="2951"/>
      <c r="Z39" s="2952"/>
      <c r="AA39" s="2953"/>
      <c r="AB39" s="2942"/>
      <c r="AC39" s="2943"/>
      <c r="AD39" s="2944"/>
      <c r="AE39" s="2943"/>
      <c r="AF39" s="2943"/>
      <c r="AG39" s="2943"/>
      <c r="AH39" s="2942"/>
      <c r="AI39" s="2943"/>
      <c r="AJ39" s="2944"/>
      <c r="AK39" s="2942"/>
      <c r="AL39" s="2943"/>
      <c r="AM39" s="2944"/>
      <c r="AN39" s="2943"/>
      <c r="AO39" s="2943"/>
      <c r="AP39" s="2943"/>
      <c r="AQ39" s="2942"/>
      <c r="AR39" s="2943"/>
      <c r="AS39" s="2943"/>
      <c r="AT39" s="2942"/>
      <c r="AU39" s="2943"/>
      <c r="AV39" s="2944"/>
      <c r="AW39" s="2942"/>
      <c r="AX39" s="2943"/>
      <c r="AY39" s="2944"/>
      <c r="AZ39" s="2942" t="str">
        <f t="shared" ref="AZ39" si="2">PROPER(AZ25)</f>
        <v/>
      </c>
      <c r="BA39" s="2944"/>
      <c r="BB39" s="2942"/>
      <c r="BC39" s="2943"/>
      <c r="BD39" s="2944"/>
      <c r="BE39" s="2951"/>
      <c r="BF39" s="984"/>
      <c r="BG39" s="2943"/>
      <c r="BH39" s="2944"/>
      <c r="BI39" s="2943"/>
      <c r="BJ39" s="2944"/>
      <c r="BK39" s="2942"/>
      <c r="BL39" s="2944"/>
      <c r="BM39" s="2942"/>
      <c r="BN39" s="2944"/>
      <c r="BO39" s="2942"/>
      <c r="BP39" s="2943"/>
      <c r="BQ39" s="2944"/>
      <c r="BR39" s="2943"/>
      <c r="BS39" s="2944"/>
      <c r="BT39" s="2942"/>
      <c r="BU39" s="987"/>
      <c r="BV39" s="411"/>
      <c r="BW39" s="418"/>
      <c r="BX39" s="418"/>
      <c r="BY39" s="411"/>
      <c r="BZ39" s="411"/>
      <c r="CA39" s="411"/>
      <c r="CB39" s="411"/>
      <c r="CC39" s="411"/>
      <c r="CD39" s="411"/>
      <c r="CE39" s="411"/>
      <c r="CF39" s="411"/>
      <c r="CG39" s="411"/>
      <c r="CH39" s="411"/>
      <c r="CI39" s="411"/>
      <c r="CJ39" s="411"/>
      <c r="CK39" s="411"/>
      <c r="CL39" s="411"/>
      <c r="CM39" s="411"/>
      <c r="CN39" s="411"/>
      <c r="CO39" s="411"/>
      <c r="CP39" s="411"/>
      <c r="CQ39" s="411"/>
      <c r="CR39" s="411"/>
      <c r="CS39" s="411"/>
      <c r="CT39" s="411"/>
      <c r="CU39" s="411"/>
      <c r="CV39" s="411"/>
      <c r="CW39" s="411"/>
    </row>
    <row r="40" spans="1:101" s="963" customFormat="1" ht="19.5" customHeight="1">
      <c r="A40" s="2977"/>
      <c r="B40" s="2977"/>
      <c r="C40" s="2977"/>
      <c r="D40" s="2977"/>
      <c r="E40" s="2977"/>
      <c r="F40" s="2977"/>
      <c r="G40" s="2977"/>
      <c r="H40" s="2977"/>
      <c r="I40" s="2977"/>
      <c r="J40" s="2977"/>
      <c r="K40" s="2977"/>
      <c r="L40" s="2977"/>
      <c r="M40" s="2977"/>
      <c r="N40" s="2977"/>
      <c r="O40" s="2977"/>
      <c r="P40" s="2977"/>
      <c r="Q40" s="3131"/>
      <c r="R40" s="2977"/>
      <c r="S40" s="2977"/>
      <c r="T40" s="2977"/>
      <c r="U40" s="2977"/>
      <c r="V40" s="2977"/>
      <c r="W40" s="2977"/>
      <c r="X40" s="2977"/>
      <c r="Y40" s="2977"/>
      <c r="Z40" s="2977"/>
      <c r="AA40" s="2977"/>
      <c r="AB40" s="2977"/>
      <c r="AC40" s="2977"/>
      <c r="AD40" s="2977"/>
      <c r="AE40" s="2977"/>
      <c r="AF40" s="2977"/>
      <c r="AG40" s="2977"/>
      <c r="AH40" s="2977"/>
      <c r="AI40" s="2977"/>
      <c r="AJ40" s="2977"/>
      <c r="AK40" s="2977"/>
      <c r="AL40" s="2977"/>
      <c r="AM40" s="2977"/>
      <c r="AN40" s="2977"/>
      <c r="AO40" s="2977"/>
      <c r="AP40" s="2977"/>
      <c r="AQ40" s="2977"/>
      <c r="AR40" s="2977"/>
      <c r="AS40" s="2977"/>
      <c r="AT40" s="2977"/>
      <c r="AU40" s="2977"/>
      <c r="AV40" s="2977"/>
      <c r="AW40" s="2977"/>
      <c r="AX40" s="2977"/>
      <c r="AY40" s="2977"/>
      <c r="AZ40" s="2624"/>
      <c r="BA40" s="2625"/>
      <c r="BB40" s="2977"/>
      <c r="BC40" s="2977"/>
      <c r="BD40" s="2977"/>
      <c r="BE40" s="2977"/>
      <c r="BF40" s="2977"/>
      <c r="BG40" s="2624"/>
      <c r="BH40" s="2625"/>
      <c r="BI40" s="2624"/>
      <c r="BJ40" s="2625"/>
      <c r="BK40" s="2624"/>
      <c r="BL40" s="2625"/>
      <c r="BM40" s="2624"/>
      <c r="BN40" s="2625"/>
      <c r="BO40" s="2624"/>
      <c r="BP40" s="2624"/>
      <c r="BQ40" s="2624"/>
      <c r="BR40" s="2624"/>
      <c r="BS40" s="2625"/>
      <c r="BT40" s="2624"/>
      <c r="BU40" s="2624"/>
      <c r="BV40" s="411"/>
      <c r="BW40" s="418"/>
      <c r="BX40" s="418"/>
      <c r="BY40" s="411"/>
      <c r="BZ40" s="411"/>
      <c r="CA40" s="411"/>
      <c r="CB40" s="411"/>
      <c r="CC40" s="411"/>
      <c r="CD40" s="411"/>
      <c r="CE40" s="411"/>
      <c r="CF40" s="411"/>
      <c r="CG40" s="411"/>
      <c r="CH40" s="411"/>
      <c r="CI40" s="411"/>
      <c r="CJ40" s="411"/>
      <c r="CK40" s="411"/>
      <c r="CL40" s="411"/>
      <c r="CM40" s="411"/>
      <c r="CN40" s="411"/>
      <c r="CO40" s="411"/>
      <c r="CP40" s="411"/>
      <c r="CQ40" s="411"/>
      <c r="CR40" s="411"/>
      <c r="CS40" s="411"/>
      <c r="CT40" s="411"/>
      <c r="CU40" s="411"/>
      <c r="CV40" s="411"/>
      <c r="CW40" s="411"/>
    </row>
  </sheetData>
  <customSheetViews>
    <customSheetView guid="{BDF1A126-BD1D-4A5E-80B8-98941684E462}" showPageBreaks="1" showGridLines="0" printArea="1" hiddenColumns="1" view="pageLayout" topLeftCell="CC1">
      <selection activeCell="CQ8" sqref="CQ8"/>
      <colBreaks count="3" manualBreakCount="3">
        <brk id="17" max="1048575" man="1"/>
        <brk id="47" max="1048575" man="1"/>
        <brk id="92" max="1048575" man="1"/>
      </colBreaks>
      <pageMargins left="0" right="0" top="0.75" bottom="0" header="0" footer="0"/>
      <pageSetup paperSize="9" scale="95" orientation="landscape" r:id="rId1"/>
      <headerFooter alignWithMargins="0"/>
    </customSheetView>
    <customSheetView guid="{04F0793E-5444-463D-A1D5-E52E08A4C249}" showPageBreaks="1" showGridLines="0" hiddenColumns="1" view="pageBreakPreview" topLeftCell="CE1">
      <selection activeCell="R1" sqref="R1"/>
      <colBreaks count="3" manualBreakCount="3">
        <brk id="17" max="1048575" man="1"/>
        <brk id="47" max="1048575" man="1"/>
        <brk id="92" max="1048575" man="1"/>
      </colBreaks>
      <pageMargins left="0.2" right="0.2" top="0.2" bottom="0.2" header="0" footer="0"/>
      <pageSetup paperSize="9" scale="95" orientation="landscape" r:id="rId2"/>
      <headerFooter alignWithMargins="0"/>
    </customSheetView>
    <customSheetView guid="{925F74B5-C2F5-4E55-AFE4-045C56169B44}" showPageBreaks="1" showGridLines="0" hiddenColumns="1" view="pageBreakPreview">
      <selection activeCell="E26" sqref="E26"/>
      <colBreaks count="3" manualBreakCount="3">
        <brk id="17" max="1048575" man="1"/>
        <brk id="47" max="1048575" man="1"/>
        <brk id="92" max="1048575" man="1"/>
      </colBreaks>
      <pageMargins left="0.2" right="0.2" top="0.2" bottom="0.2" header="0" footer="0"/>
      <pageSetup paperSize="9" scale="95" orientation="landscape" r:id="rId3"/>
      <headerFooter alignWithMargins="0"/>
    </customSheetView>
    <customSheetView guid="{1FF58891-F32F-4F97-9812-E2D02F4497AA}" showPageBreaks="1" showGridLines="0" printArea="1" hiddenColumns="1" view="pageLayout" topLeftCell="CC1">
      <selection activeCell="CN1" sqref="A1:CN38"/>
      <colBreaks count="3" manualBreakCount="3">
        <brk id="17" max="1048575" man="1"/>
        <brk id="47" max="1048575" man="1"/>
        <brk id="92" max="1048575" man="1"/>
      </colBreaks>
      <pageMargins left="0" right="0" top="0.75" bottom="0" header="0" footer="0"/>
      <pageSetup paperSize="9" scale="95" orientation="landscape" r:id="rId4"/>
      <headerFooter alignWithMargins="0"/>
    </customSheetView>
    <customSheetView guid="{2A6091F0-BAF4-46A2-BC20-0DE610E67601}" showPageBreaks="1" showGridLines="0" printArea="1" hiddenColumns="1" view="pageLayout" topLeftCell="BR1">
      <selection activeCell="CB13" sqref="CB13:CB14"/>
      <colBreaks count="3" manualBreakCount="3">
        <brk id="17" max="1048575" man="1"/>
        <brk id="47" max="1048575" man="1"/>
        <brk id="92" max="1048575" man="1"/>
      </colBreaks>
      <pageMargins left="0" right="0" top="0.75" bottom="0" header="0" footer="0"/>
      <pageSetup paperSize="9" scale="95" orientation="landscape" r:id="rId5"/>
      <headerFooter alignWithMargins="0"/>
    </customSheetView>
    <customSheetView guid="{5111FDC7-EEAC-46C3-8033-47A3563F0C00}" showPageBreaks="1" showGridLines="0" printArea="1" hiddenColumns="1" view="pageLayout" topLeftCell="AD1">
      <selection activeCell="BF30" sqref="BF30"/>
      <colBreaks count="3" manualBreakCount="3">
        <brk id="17" max="1048575" man="1"/>
        <brk id="47" max="1048575" man="1"/>
        <brk id="92" max="1048575" man="1"/>
      </colBreaks>
      <pageMargins left="0" right="0" top="0.75" bottom="0" header="0" footer="0"/>
      <pageSetup paperSize="9" scale="95" orientation="landscape" r:id="rId6"/>
      <headerFooter alignWithMargins="0"/>
    </customSheetView>
    <customSheetView guid="{2A5E79E4-584C-4F65-A220-87928CEA02AF}" showPageBreaks="1" showGridLines="0" printArea="1" hiddenColumns="1" view="pageLayout" topLeftCell="AH1">
      <selection activeCell="A25" sqref="A25:XFD39"/>
      <colBreaks count="3" manualBreakCount="3">
        <brk id="17" max="1048575" man="1"/>
        <brk id="47" max="1048575" man="1"/>
        <brk id="92" max="1048575" man="1"/>
      </colBreaks>
      <pageMargins left="0" right="0" top="0.75" bottom="0" header="0" footer="0"/>
      <pageSetup paperSize="9" scale="95" orientation="landscape" r:id="rId7"/>
      <headerFooter alignWithMargins="0"/>
    </customSheetView>
    <customSheetView guid="{66872EF1-41BD-4D4B-B603-B8B0D03DAD22}" showPageBreaks="1" showGridLines="0" printArea="1" hiddenColumns="1" view="pageLayout" topLeftCell="AH1">
      <selection activeCell="A25" sqref="A25:XFD39"/>
      <colBreaks count="3" manualBreakCount="3">
        <brk id="17" max="1048575" man="1"/>
        <brk id="47" max="1048575" man="1"/>
        <brk id="92" max="1048575" man="1"/>
      </colBreaks>
      <pageMargins left="0" right="0" top="0.75" bottom="0" header="0" footer="0"/>
      <pageSetup paperSize="9" scale="95" orientation="landscape" r:id="rId8"/>
      <headerFooter alignWithMargins="0"/>
    </customSheetView>
    <customSheetView guid="{ACE56013-11B3-4BF4-BD0B-BF59142DAC13}" showPageBreaks="1" showGridLines="0" printArea="1" hiddenColumns="1" view="pageLayout" topLeftCell="AH1">
      <selection activeCell="A25" sqref="A25:XFD39"/>
      <colBreaks count="3" manualBreakCount="3">
        <brk id="17" max="1048575" man="1"/>
        <brk id="47" max="1048575" man="1"/>
        <brk id="92" max="1048575" man="1"/>
      </colBreaks>
      <pageMargins left="0" right="0" top="0.75" bottom="0" header="0" footer="0"/>
      <pageSetup paperSize="9" scale="95" orientation="landscape" r:id="rId9"/>
      <headerFooter alignWithMargins="0"/>
    </customSheetView>
  </customSheetViews>
  <mergeCells count="124">
    <mergeCell ref="A30:B30"/>
    <mergeCell ref="A31:B31"/>
    <mergeCell ref="A39:B39"/>
    <mergeCell ref="A36:B36"/>
    <mergeCell ref="A37:B37"/>
    <mergeCell ref="A38:B38"/>
    <mergeCell ref="A33:B33"/>
    <mergeCell ref="A34:B34"/>
    <mergeCell ref="A35:B35"/>
    <mergeCell ref="A32:B32"/>
    <mergeCell ref="A27:B27"/>
    <mergeCell ref="A28:B28"/>
    <mergeCell ref="A29:B29"/>
    <mergeCell ref="BT24:BU24"/>
    <mergeCell ref="A25:B25"/>
    <mergeCell ref="A26:B26"/>
    <mergeCell ref="AW24:AY24"/>
    <mergeCell ref="BI24:BJ24"/>
    <mergeCell ref="BK24:BL24"/>
    <mergeCell ref="BM24:BN24"/>
    <mergeCell ref="P24:Q24"/>
    <mergeCell ref="Y24:AA24"/>
    <mergeCell ref="AB24:AD24"/>
    <mergeCell ref="AH24:AJ24"/>
    <mergeCell ref="AQ24:AS24"/>
    <mergeCell ref="A4:B24"/>
    <mergeCell ref="AK23:AM24"/>
    <mergeCell ref="AT23:AV24"/>
    <mergeCell ref="BE23:BE24"/>
    <mergeCell ref="BL14:BL15"/>
    <mergeCell ref="AN4:AP9"/>
    <mergeCell ref="AB16:AD21"/>
    <mergeCell ref="AH15:AJ15"/>
    <mergeCell ref="AE17:AG17"/>
    <mergeCell ref="BM4:BN6"/>
    <mergeCell ref="BH18:BH19"/>
    <mergeCell ref="BE11:BF21"/>
    <mergeCell ref="BK11:BK12"/>
    <mergeCell ref="AW4:AY11"/>
    <mergeCell ref="BG4:BH7"/>
    <mergeCell ref="BI4:BJ6"/>
    <mergeCell ref="AN10:AO12"/>
    <mergeCell ref="AR17:AS17"/>
    <mergeCell ref="AX17:AY17"/>
    <mergeCell ref="BG8:BH9"/>
    <mergeCell ref="BO24:BQ24"/>
    <mergeCell ref="BR24:BS24"/>
    <mergeCell ref="BO15:BQ16"/>
    <mergeCell ref="AN15:AP15"/>
    <mergeCell ref="AQ15:AS15"/>
    <mergeCell ref="BB15:BD15"/>
    <mergeCell ref="AT19:AV19"/>
    <mergeCell ref="BF23:BF24"/>
    <mergeCell ref="BN17:BN18"/>
    <mergeCell ref="BT3:BU3"/>
    <mergeCell ref="C4:M16"/>
    <mergeCell ref="N4:O13"/>
    <mergeCell ref="P4:Q4"/>
    <mergeCell ref="R4:S13"/>
    <mergeCell ref="T4:V5"/>
    <mergeCell ref="W4:X6"/>
    <mergeCell ref="BG3:BH3"/>
    <mergeCell ref="BI3:BJ3"/>
    <mergeCell ref="BK3:BL3"/>
    <mergeCell ref="BM3:BN3"/>
    <mergeCell ref="BO3:BQ3"/>
    <mergeCell ref="BR3:BS3"/>
    <mergeCell ref="AQ3:AS3"/>
    <mergeCell ref="AT3:AV3"/>
    <mergeCell ref="BK14:BK15"/>
    <mergeCell ref="AQ4:AS12"/>
    <mergeCell ref="AT4:AV14"/>
    <mergeCell ref="BL11:BL12"/>
    <mergeCell ref="BT12:BU23"/>
    <mergeCell ref="BO4:BQ12"/>
    <mergeCell ref="BK4:BL6"/>
    <mergeCell ref="BT4:BU11"/>
    <mergeCell ref="BR6:BS8"/>
    <mergeCell ref="AE10:AF12"/>
    <mergeCell ref="N19:O19"/>
    <mergeCell ref="C17:M22"/>
    <mergeCell ref="R19:S19"/>
    <mergeCell ref="N20:O20"/>
    <mergeCell ref="R20:S20"/>
    <mergeCell ref="BB17:BD17"/>
    <mergeCell ref="AT18:AV18"/>
    <mergeCell ref="AZ4:BA6"/>
    <mergeCell ref="BB4:BD12"/>
    <mergeCell ref="AW3:AY3"/>
    <mergeCell ref="AZ3:BA3"/>
    <mergeCell ref="BB3:BD3"/>
    <mergeCell ref="BE4:BF8"/>
    <mergeCell ref="AK19:AM19"/>
    <mergeCell ref="AK18:AM18"/>
    <mergeCell ref="BA18:BA19"/>
    <mergeCell ref="AZ7:BA8"/>
    <mergeCell ref="BE3:BF3"/>
    <mergeCell ref="AK3:AM3"/>
    <mergeCell ref="AN3:AP3"/>
    <mergeCell ref="AK4:AM14"/>
    <mergeCell ref="AN2:AV2"/>
    <mergeCell ref="C3:M3"/>
    <mergeCell ref="N3:O3"/>
    <mergeCell ref="R3:S3"/>
    <mergeCell ref="T3:V3"/>
    <mergeCell ref="W3:X3"/>
    <mergeCell ref="AE4:AG9"/>
    <mergeCell ref="AH4:AJ11"/>
    <mergeCell ref="Y4:AA8"/>
    <mergeCell ref="AB10:AD13"/>
    <mergeCell ref="P5:Q7"/>
    <mergeCell ref="AB4:AD9"/>
    <mergeCell ref="W8:X11"/>
    <mergeCell ref="W13:X16"/>
    <mergeCell ref="T16:V21"/>
    <mergeCell ref="T6:V13"/>
    <mergeCell ref="W19:X22"/>
    <mergeCell ref="AI17:AJ17"/>
    <mergeCell ref="AN17:AP17"/>
    <mergeCell ref="Y3:AA3"/>
    <mergeCell ref="AB3:AD3"/>
    <mergeCell ref="AE3:AG3"/>
    <mergeCell ref="AH3:AJ3"/>
    <mergeCell ref="AE15:AG15"/>
  </mergeCells>
  <pageMargins left="0" right="0" top="0.75" bottom="0" header="0" footer="0"/>
  <pageSetup paperSize="9" scale="95" orientation="landscape" r:id="rId10"/>
  <headerFooter alignWithMargins="0"/>
  <colBreaks count="2" manualBreakCount="2">
    <brk id="30" max="1048575" man="1"/>
    <brk id="75" max="1048575" man="1"/>
  </colBreaks>
  <drawing r:id="rId11"/>
  <legacyDrawing r:id="rId1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162"/>
  <sheetViews>
    <sheetView topLeftCell="A66" zoomScaleNormal="100" workbookViewId="0">
      <selection activeCell="S25" sqref="S25"/>
    </sheetView>
  </sheetViews>
  <sheetFormatPr defaultColWidth="9.140625" defaultRowHeight="11.25" customHeight="1"/>
  <cols>
    <col min="1" max="1" width="4.28515625" style="413" customWidth="1"/>
    <col min="2" max="2" width="0.85546875" style="367" customWidth="1"/>
    <col min="3" max="3" width="18.85546875" style="367" customWidth="1"/>
    <col min="4" max="4" width="3.42578125" style="367" customWidth="1"/>
    <col min="5" max="5" width="4.7109375" style="367" customWidth="1"/>
    <col min="6" max="6" width="8" style="367" customWidth="1"/>
    <col min="7" max="7" width="4.28515625" style="367" customWidth="1"/>
    <col min="8" max="8" width="1.42578125" style="367" customWidth="1"/>
    <col min="9" max="9" width="5.85546875" style="3176" customWidth="1"/>
    <col min="10" max="10" width="18.28515625" style="367" customWidth="1"/>
    <col min="11" max="11" width="5.7109375" style="367" customWidth="1"/>
    <col min="12" max="12" width="6.5703125" style="367" customWidth="1"/>
    <col min="13" max="13" width="8.140625" style="3180" customWidth="1"/>
    <col min="14" max="14" width="7.85546875" style="367" customWidth="1"/>
    <col min="15" max="15" width="0.140625" style="367" customWidth="1"/>
    <col min="16" max="17" width="6.7109375" style="367" customWidth="1"/>
    <col min="18" max="18" width="9.7109375" style="367" customWidth="1"/>
    <col min="19" max="19" width="8.28515625" style="367" customWidth="1"/>
    <col min="20" max="22" width="6.7109375" style="367" customWidth="1"/>
    <col min="23" max="16384" width="9.140625" style="367"/>
  </cols>
  <sheetData>
    <row r="1" spans="1:18" ht="15.75" customHeight="1">
      <c r="A1" s="3174" t="s">
        <v>1516</v>
      </c>
      <c r="J1" s="3179" t="s">
        <v>523</v>
      </c>
    </row>
    <row r="2" spans="1:18" ht="18" customHeight="1" thickBot="1">
      <c r="A2" s="339" t="s">
        <v>270</v>
      </c>
    </row>
    <row r="3" spans="1:18" ht="11.25" customHeight="1">
      <c r="A3" s="3175">
        <f>+(2.01)</f>
        <v>2.0099999999999998</v>
      </c>
      <c r="B3" s="3134"/>
      <c r="C3" s="3840" t="s">
        <v>659</v>
      </c>
      <c r="D3" s="3840"/>
      <c r="E3" s="3840"/>
      <c r="F3" s="3840"/>
      <c r="G3" s="3135"/>
      <c r="H3" s="3136"/>
      <c r="I3" s="1314">
        <f>A61+0.01</f>
        <v>2.0699999999999985</v>
      </c>
      <c r="J3" s="3839" t="s">
        <v>1212</v>
      </c>
      <c r="K3" s="3840"/>
      <c r="L3" s="3840"/>
      <c r="M3" s="3840"/>
      <c r="N3" s="3841"/>
      <c r="O3" s="3136"/>
      <c r="P3" s="367" t="s">
        <v>1665</v>
      </c>
    </row>
    <row r="4" spans="1:18" ht="11.25" customHeight="1" thickBot="1">
      <c r="A4" s="412"/>
      <c r="B4" s="3137"/>
      <c r="C4" s="3843"/>
      <c r="D4" s="3843"/>
      <c r="E4" s="3843"/>
      <c r="F4" s="3843"/>
      <c r="G4" s="3138"/>
      <c r="H4" s="3139"/>
      <c r="I4" s="3177"/>
      <c r="J4" s="3842"/>
      <c r="K4" s="3843"/>
      <c r="L4" s="3843"/>
      <c r="M4" s="3843"/>
      <c r="N4" s="3844"/>
      <c r="O4" s="3139"/>
    </row>
    <row r="5" spans="1:18" ht="11.25" customHeight="1" thickBot="1">
      <c r="A5" s="412"/>
      <c r="B5" s="3137"/>
      <c r="C5" s="2785" t="s">
        <v>271</v>
      </c>
      <c r="D5" s="2784"/>
      <c r="E5" s="2181">
        <v>1</v>
      </c>
      <c r="F5" s="1784"/>
      <c r="G5" s="3845"/>
      <c r="H5" s="3139"/>
      <c r="I5" s="3177"/>
      <c r="J5" s="3842"/>
      <c r="K5" s="3843"/>
      <c r="L5" s="3843"/>
      <c r="M5" s="3843"/>
      <c r="N5" s="3844"/>
      <c r="O5" s="3139"/>
    </row>
    <row r="6" spans="1:18" ht="11.25" customHeight="1" thickBot="1">
      <c r="A6" s="412"/>
      <c r="B6" s="3137"/>
      <c r="C6" s="2785" t="s">
        <v>272</v>
      </c>
      <c r="D6" s="2784"/>
      <c r="E6" s="2181">
        <v>2</v>
      </c>
      <c r="F6" s="1784"/>
      <c r="G6" s="3846"/>
      <c r="H6" s="3139"/>
      <c r="I6" s="3177"/>
      <c r="J6" s="3202" t="s">
        <v>293</v>
      </c>
      <c r="K6" s="3513"/>
      <c r="L6" s="3204">
        <v>1</v>
      </c>
      <c r="M6" s="3199" t="s">
        <v>1872</v>
      </c>
      <c r="N6" s="3645"/>
      <c r="O6" s="3139"/>
    </row>
    <row r="7" spans="1:18" ht="11.25" customHeight="1" thickBot="1">
      <c r="A7" s="412"/>
      <c r="B7" s="3137"/>
      <c r="C7" s="2785" t="s">
        <v>273</v>
      </c>
      <c r="D7" s="2784"/>
      <c r="E7" s="2181">
        <v>3</v>
      </c>
      <c r="F7" s="1784"/>
      <c r="G7" s="1784"/>
      <c r="H7" s="3139"/>
      <c r="I7" s="3177"/>
      <c r="J7" s="3847" t="s">
        <v>294</v>
      </c>
      <c r="K7" s="3848"/>
      <c r="L7" s="3204">
        <v>2</v>
      </c>
      <c r="M7" s="3199" t="s">
        <v>1872</v>
      </c>
      <c r="N7" s="2184"/>
      <c r="O7" s="3139"/>
      <c r="P7" s="367" t="s">
        <v>1666</v>
      </c>
    </row>
    <row r="8" spans="1:18" ht="11.25" customHeight="1" thickBot="1">
      <c r="A8" s="412"/>
      <c r="B8" s="3137"/>
      <c r="C8" s="2785" t="s">
        <v>274</v>
      </c>
      <c r="D8" s="2784"/>
      <c r="E8" s="2181">
        <v>4</v>
      </c>
      <c r="F8" s="1784"/>
      <c r="G8" s="1784"/>
      <c r="H8" s="3139"/>
      <c r="I8" s="3177"/>
      <c r="J8" s="3202" t="s">
        <v>295</v>
      </c>
      <c r="K8" s="3513"/>
      <c r="L8" s="3204">
        <v>3</v>
      </c>
      <c r="M8" s="3199" t="s">
        <v>1872</v>
      </c>
      <c r="N8" s="3645"/>
      <c r="O8" s="3139"/>
    </row>
    <row r="9" spans="1:18" ht="11.25" customHeight="1" thickBot="1">
      <c r="B9" s="3137"/>
      <c r="C9" s="2785" t="s">
        <v>275</v>
      </c>
      <c r="D9" s="2784"/>
      <c r="E9" s="2181">
        <v>5</v>
      </c>
      <c r="F9" s="1784"/>
      <c r="G9" s="1784"/>
      <c r="H9" s="3139"/>
      <c r="I9" s="3177"/>
      <c r="J9" s="3202" t="s">
        <v>296</v>
      </c>
      <c r="K9" s="3513"/>
      <c r="L9" s="3204">
        <v>4</v>
      </c>
      <c r="M9" s="3199" t="s">
        <v>1872</v>
      </c>
      <c r="N9" s="2184"/>
      <c r="O9" s="3139"/>
    </row>
    <row r="10" spans="1:18" ht="11.25" customHeight="1" thickBot="1">
      <c r="B10" s="3137"/>
      <c r="C10" s="2785" t="s">
        <v>276</v>
      </c>
      <c r="D10" s="2784"/>
      <c r="E10" s="2181">
        <v>6</v>
      </c>
      <c r="F10" s="1784"/>
      <c r="G10" s="1784"/>
      <c r="H10" s="3139"/>
      <c r="I10" s="3177"/>
      <c r="J10" s="3202" t="s">
        <v>1662</v>
      </c>
      <c r="K10" s="3513"/>
      <c r="L10" s="3204">
        <v>5</v>
      </c>
      <c r="M10" s="445"/>
      <c r="N10" s="2183"/>
      <c r="O10" s="3139"/>
      <c r="R10" s="422"/>
    </row>
    <row r="11" spans="1:18" ht="11.25" customHeight="1" thickBot="1">
      <c r="B11" s="3137"/>
      <c r="C11" s="2785" t="s">
        <v>277</v>
      </c>
      <c r="D11" s="2784"/>
      <c r="E11" s="2181">
        <v>7</v>
      </c>
      <c r="F11" s="1784"/>
      <c r="G11" s="1784"/>
      <c r="H11" s="3139"/>
      <c r="I11" s="3177"/>
      <c r="J11" s="3202" t="s">
        <v>1837</v>
      </c>
      <c r="K11" s="3513"/>
      <c r="L11" s="3204">
        <v>6</v>
      </c>
      <c r="M11" s="3199" t="s">
        <v>1872</v>
      </c>
      <c r="N11" s="2183"/>
      <c r="O11" s="3139"/>
    </row>
    <row r="12" spans="1:18" ht="11.25" customHeight="1" thickBot="1">
      <c r="B12" s="3137"/>
      <c r="C12" s="2785" t="s">
        <v>278</v>
      </c>
      <c r="D12" s="2784"/>
      <c r="E12" s="2181">
        <v>8</v>
      </c>
      <c r="F12" s="1784"/>
      <c r="G12" s="1784"/>
      <c r="H12" s="3139"/>
      <c r="I12" s="3177"/>
      <c r="J12" s="3202" t="s">
        <v>74</v>
      </c>
      <c r="K12" s="3513"/>
      <c r="L12" s="3204">
        <v>7</v>
      </c>
      <c r="M12" s="3199" t="s">
        <v>1872</v>
      </c>
      <c r="N12" s="2183"/>
      <c r="O12" s="3139"/>
    </row>
    <row r="13" spans="1:18" ht="11.25" customHeight="1" thickBot="1">
      <c r="B13" s="3137"/>
      <c r="C13" s="2785" t="s">
        <v>279</v>
      </c>
      <c r="D13" s="2784"/>
      <c r="E13" s="2181">
        <v>9</v>
      </c>
      <c r="F13" s="1784"/>
      <c r="G13" s="1784"/>
      <c r="H13" s="3139"/>
      <c r="I13" s="3177"/>
      <c r="J13" s="3202" t="s">
        <v>299</v>
      </c>
      <c r="K13" s="3513"/>
      <c r="L13" s="3204">
        <v>8</v>
      </c>
      <c r="M13" s="3199" t="s">
        <v>1872</v>
      </c>
      <c r="N13" s="2183"/>
      <c r="O13" s="3139"/>
    </row>
    <row r="14" spans="1:18" ht="11.25" customHeight="1" thickBot="1">
      <c r="B14" s="3137"/>
      <c r="C14" s="2785" t="s">
        <v>1237</v>
      </c>
      <c r="D14" s="2784"/>
      <c r="E14" s="2181">
        <v>10</v>
      </c>
      <c r="F14" s="1784"/>
      <c r="G14" s="1784"/>
      <c r="H14" s="3139"/>
      <c r="I14" s="3177"/>
      <c r="J14" s="3202" t="s">
        <v>298</v>
      </c>
      <c r="K14" s="3513"/>
      <c r="L14" s="3204">
        <v>9</v>
      </c>
      <c r="M14" s="3199" t="s">
        <v>1872</v>
      </c>
      <c r="N14" s="2183"/>
      <c r="O14" s="3139"/>
    </row>
    <row r="15" spans="1:18" ht="11.25" customHeight="1" thickBot="1">
      <c r="B15" s="356"/>
      <c r="C15" s="444"/>
      <c r="D15" s="444"/>
      <c r="E15" s="444"/>
      <c r="F15" s="444"/>
      <c r="G15" s="444"/>
      <c r="H15" s="3140"/>
      <c r="I15" s="3177"/>
      <c r="J15" s="3202" t="s">
        <v>1569</v>
      </c>
      <c r="K15" s="3513"/>
      <c r="L15" s="3204">
        <v>10</v>
      </c>
      <c r="M15" s="3199" t="s">
        <v>1872</v>
      </c>
      <c r="N15" s="3645"/>
      <c r="O15" s="3139"/>
    </row>
    <row r="16" spans="1:18" ht="11.25" customHeight="1" thickBot="1">
      <c r="A16" s="3175">
        <f>A3+0.01</f>
        <v>2.0199999999999996</v>
      </c>
      <c r="B16" s="3134"/>
      <c r="C16" s="3851" t="s">
        <v>660</v>
      </c>
      <c r="D16" s="3851"/>
      <c r="E16" s="3851"/>
      <c r="F16" s="3851"/>
      <c r="G16" s="3851"/>
      <c r="H16" s="3136"/>
      <c r="I16" s="3177"/>
      <c r="J16" s="3209" t="s">
        <v>300</v>
      </c>
      <c r="K16" s="3516"/>
      <c r="L16" s="3515">
        <v>11</v>
      </c>
      <c r="M16" s="3199" t="s">
        <v>1872</v>
      </c>
      <c r="N16" s="3142"/>
      <c r="O16" s="3139"/>
    </row>
    <row r="17" spans="1:17" ht="11.25" customHeight="1" thickBot="1">
      <c r="A17" s="3175"/>
      <c r="B17" s="3137"/>
      <c r="C17" s="3852"/>
      <c r="D17" s="3852"/>
      <c r="E17" s="3852"/>
      <c r="F17" s="3852"/>
      <c r="G17" s="3852"/>
      <c r="H17" s="3139"/>
      <c r="I17" s="1314" t="s">
        <v>1663</v>
      </c>
      <c r="J17" s="3517" t="s">
        <v>1751</v>
      </c>
      <c r="K17" s="3518"/>
      <c r="L17" s="435"/>
      <c r="M17" s="3190"/>
      <c r="N17" s="3519"/>
      <c r="O17" s="422"/>
      <c r="Q17" s="422"/>
    </row>
    <row r="18" spans="1:17" ht="11.25" customHeight="1" thickBot="1">
      <c r="B18" s="3137"/>
      <c r="C18" s="3855" t="s">
        <v>1823</v>
      </c>
      <c r="D18" s="3855"/>
      <c r="E18" s="2181">
        <v>1</v>
      </c>
      <c r="F18" s="422"/>
      <c r="G18" s="3853"/>
      <c r="H18" s="3139"/>
      <c r="J18" s="3856" t="s">
        <v>745</v>
      </c>
      <c r="K18" s="3857"/>
      <c r="L18" s="3857"/>
      <c r="M18" s="3520"/>
      <c r="N18" s="3139"/>
      <c r="O18" s="3139"/>
    </row>
    <row r="19" spans="1:17" ht="11.25" customHeight="1" thickBot="1">
      <c r="B19" s="3137"/>
      <c r="C19" s="2785" t="s">
        <v>280</v>
      </c>
      <c r="D19" s="3143"/>
      <c r="E19" s="2181">
        <v>2</v>
      </c>
      <c r="F19" s="422"/>
      <c r="G19" s="3854"/>
      <c r="H19" s="3139"/>
      <c r="J19" s="3856" t="s">
        <v>664</v>
      </c>
      <c r="K19" s="3858"/>
      <c r="L19" s="3858"/>
      <c r="M19" s="3521"/>
      <c r="N19" s="3522"/>
      <c r="O19" s="3139"/>
    </row>
    <row r="20" spans="1:17" ht="11.25" customHeight="1" thickBot="1">
      <c r="B20" s="3137"/>
      <c r="C20" s="2785" t="s">
        <v>281</v>
      </c>
      <c r="D20" s="3143"/>
      <c r="E20" s="2181">
        <v>3</v>
      </c>
      <c r="F20" s="422"/>
      <c r="G20" s="422"/>
      <c r="H20" s="3139"/>
      <c r="J20" s="3856" t="s">
        <v>665</v>
      </c>
      <c r="K20" s="3858"/>
      <c r="L20" s="3858"/>
      <c r="M20" s="3521"/>
      <c r="N20" s="3164"/>
      <c r="O20" s="3139"/>
    </row>
    <row r="21" spans="1:17" ht="11.25" customHeight="1" thickBot="1">
      <c r="B21" s="3137"/>
      <c r="C21" s="3848" t="s">
        <v>282</v>
      </c>
      <c r="D21" s="3848"/>
      <c r="E21" s="2181">
        <v>4</v>
      </c>
      <c r="F21" s="422"/>
      <c r="G21" s="422"/>
      <c r="H21" s="3139"/>
      <c r="J21" s="3859" t="s">
        <v>1897</v>
      </c>
      <c r="K21" s="3860"/>
      <c r="L21" s="3860"/>
      <c r="M21" s="3523"/>
      <c r="N21" s="3299"/>
      <c r="O21" s="3139"/>
    </row>
    <row r="22" spans="1:17" ht="11.25" customHeight="1">
      <c r="B22" s="3137"/>
      <c r="C22" s="3848" t="s">
        <v>1822</v>
      </c>
      <c r="D22" s="3848"/>
      <c r="E22" s="2181">
        <v>5</v>
      </c>
      <c r="F22" s="422"/>
      <c r="G22" s="422"/>
      <c r="H22" s="3139"/>
      <c r="I22" s="1314" t="s">
        <v>1664</v>
      </c>
      <c r="J22" s="3849" t="s">
        <v>1803</v>
      </c>
      <c r="K22" s="3850"/>
      <c r="L22" s="3850"/>
      <c r="M22" s="3850"/>
      <c r="N22" s="3520"/>
      <c r="O22" s="422"/>
    </row>
    <row r="23" spans="1:17" ht="11.25" customHeight="1" thickBot="1">
      <c r="B23" s="3137"/>
      <c r="C23" s="2785" t="s">
        <v>283</v>
      </c>
      <c r="D23" s="3143"/>
      <c r="E23" s="2181">
        <v>6</v>
      </c>
      <c r="F23" s="422"/>
      <c r="G23" s="422"/>
      <c r="H23" s="3139"/>
      <c r="J23" s="3849"/>
      <c r="K23" s="3850"/>
      <c r="L23" s="3850"/>
      <c r="M23" s="3850"/>
      <c r="N23" s="3168" t="s">
        <v>1667</v>
      </c>
      <c r="O23" s="422"/>
    </row>
    <row r="24" spans="1:17" ht="11.25" customHeight="1" thickBot="1">
      <c r="B24" s="3137"/>
      <c r="C24" s="2785" t="s">
        <v>284</v>
      </c>
      <c r="D24" s="3143"/>
      <c r="E24" s="2181">
        <v>7</v>
      </c>
      <c r="F24" s="422"/>
      <c r="G24" s="422"/>
      <c r="H24" s="3139"/>
      <c r="I24" s="1314">
        <f>I3+0.01</f>
        <v>2.0799999999999983</v>
      </c>
      <c r="J24" s="3524" t="s">
        <v>1747</v>
      </c>
      <c r="K24" s="3525"/>
      <c r="L24" s="3525"/>
      <c r="M24" s="3526"/>
      <c r="N24" s="3522"/>
      <c r="O24" s="3139"/>
    </row>
    <row r="25" spans="1:17" ht="11.25" customHeight="1">
      <c r="B25" s="3137"/>
      <c r="C25" s="2785" t="s">
        <v>285</v>
      </c>
      <c r="D25" s="3143"/>
      <c r="E25" s="2181">
        <v>8</v>
      </c>
      <c r="F25" s="422"/>
      <c r="G25" s="422"/>
      <c r="H25" s="3139"/>
      <c r="J25" s="3186" t="s">
        <v>710</v>
      </c>
      <c r="K25" s="3183"/>
      <c r="L25" s="3183"/>
      <c r="M25" s="3183"/>
      <c r="N25" s="3409"/>
      <c r="O25" s="422"/>
      <c r="P25" s="3137"/>
    </row>
    <row r="26" spans="1:17" ht="11.25" customHeight="1" thickBot="1">
      <c r="B26" s="3137"/>
      <c r="C26" s="2785" t="s">
        <v>286</v>
      </c>
      <c r="D26" s="3143"/>
      <c r="E26" s="2181">
        <v>9</v>
      </c>
      <c r="F26" s="422"/>
      <c r="G26" s="422"/>
      <c r="H26" s="3139"/>
      <c r="J26" s="3186"/>
      <c r="K26" s="3183"/>
      <c r="L26" s="3183"/>
      <c r="M26" s="3183"/>
      <c r="N26" s="3187"/>
      <c r="O26" s="3139"/>
    </row>
    <row r="27" spans="1:17" ht="11.25" customHeight="1">
      <c r="B27" s="3137"/>
      <c r="C27" s="2966" t="s">
        <v>1295</v>
      </c>
      <c r="D27" s="3144"/>
      <c r="E27" s="3145">
        <v>10</v>
      </c>
      <c r="F27" s="422"/>
      <c r="G27" s="422"/>
      <c r="H27" s="3139"/>
      <c r="I27" s="3177"/>
      <c r="J27" s="3202" t="s">
        <v>293</v>
      </c>
      <c r="K27" s="3513"/>
      <c r="L27" s="3204">
        <v>1</v>
      </c>
      <c r="M27" s="3293"/>
      <c r="N27" s="3873"/>
      <c r="O27" s="3139"/>
    </row>
    <row r="28" spans="1:17" ht="11.25" customHeight="1" thickBot="1">
      <c r="B28" s="3137"/>
      <c r="C28" s="2785" t="s">
        <v>1237</v>
      </c>
      <c r="D28" s="3143"/>
      <c r="E28" s="2181">
        <v>11</v>
      </c>
      <c r="F28" s="422"/>
      <c r="G28" s="422"/>
      <c r="H28" s="3139"/>
      <c r="I28" s="3177"/>
      <c r="J28" s="3202" t="s">
        <v>294</v>
      </c>
      <c r="K28" s="3514"/>
      <c r="L28" s="3204">
        <v>2</v>
      </c>
      <c r="M28" s="445"/>
      <c r="N28" s="3874"/>
      <c r="O28" s="3139"/>
    </row>
    <row r="29" spans="1:17" ht="11.25" customHeight="1">
      <c r="B29" s="3137"/>
      <c r="C29" s="2785" t="s">
        <v>287</v>
      </c>
      <c r="D29" s="3146"/>
      <c r="E29" s="2186">
        <v>12</v>
      </c>
      <c r="F29" s="422"/>
      <c r="G29" s="422"/>
      <c r="H29" s="3139"/>
      <c r="I29" s="3177"/>
      <c r="J29" s="3202" t="s">
        <v>295</v>
      </c>
      <c r="K29" s="3513"/>
      <c r="L29" s="3204">
        <v>3</v>
      </c>
      <c r="M29" s="445"/>
      <c r="N29" s="3511"/>
      <c r="O29" s="3139"/>
    </row>
    <row r="30" spans="1:17" ht="11.25" customHeight="1" thickBot="1">
      <c r="B30" s="3137"/>
      <c r="C30" s="2785"/>
      <c r="D30" s="3146"/>
      <c r="E30" s="3147"/>
      <c r="F30" s="422"/>
      <c r="G30" s="422"/>
      <c r="H30" s="3139"/>
      <c r="I30" s="3177"/>
      <c r="J30" s="3202" t="s">
        <v>296</v>
      </c>
      <c r="K30" s="3513"/>
      <c r="L30" s="3204">
        <v>4</v>
      </c>
      <c r="M30" s="445"/>
      <c r="N30" s="3511"/>
      <c r="O30" s="3139"/>
    </row>
    <row r="31" spans="1:17" ht="11.25" customHeight="1">
      <c r="A31" s="3175">
        <f>A16+0.01</f>
        <v>2.0299999999999994</v>
      </c>
      <c r="B31" s="3134"/>
      <c r="C31" s="3840" t="s">
        <v>661</v>
      </c>
      <c r="D31" s="3840"/>
      <c r="E31" s="3840"/>
      <c r="F31" s="3840"/>
      <c r="G31" s="3135"/>
      <c r="H31" s="3136"/>
      <c r="I31" s="3177"/>
      <c r="J31" s="3202" t="s">
        <v>297</v>
      </c>
      <c r="K31" s="3513"/>
      <c r="L31" s="3204">
        <v>5</v>
      </c>
      <c r="M31" s="445"/>
      <c r="N31" s="3511"/>
      <c r="O31" s="3139"/>
    </row>
    <row r="32" spans="1:17" ht="11.25" customHeight="1" thickBot="1">
      <c r="B32" s="3137"/>
      <c r="C32" s="3843"/>
      <c r="D32" s="3843"/>
      <c r="E32" s="3843"/>
      <c r="F32" s="3843"/>
      <c r="G32" s="3138"/>
      <c r="H32" s="3139"/>
      <c r="I32" s="3177"/>
      <c r="J32" s="3202" t="s">
        <v>74</v>
      </c>
      <c r="K32" s="3513"/>
      <c r="L32" s="3204">
        <v>6</v>
      </c>
      <c r="M32" s="445"/>
      <c r="N32" s="3511"/>
      <c r="O32" s="3139"/>
    </row>
    <row r="33" spans="1:19" ht="11.25" customHeight="1">
      <c r="B33" s="3137"/>
      <c r="C33" s="3843"/>
      <c r="D33" s="3843"/>
      <c r="E33" s="3843"/>
      <c r="F33" s="3843"/>
      <c r="G33" s="3853"/>
      <c r="H33" s="3139"/>
      <c r="I33" s="3177"/>
      <c r="J33" s="3202" t="s">
        <v>298</v>
      </c>
      <c r="K33" s="3513"/>
      <c r="L33" s="3204">
        <v>8</v>
      </c>
      <c r="M33" s="445"/>
      <c r="N33" s="3511"/>
      <c r="O33" s="3139"/>
    </row>
    <row r="34" spans="1:19" ht="11.25" customHeight="1" thickBot="1">
      <c r="B34" s="3137"/>
      <c r="C34" s="3855" t="s">
        <v>1368</v>
      </c>
      <c r="D34" s="3855"/>
      <c r="E34" s="2181">
        <v>1</v>
      </c>
      <c r="F34" s="422"/>
      <c r="G34" s="3854"/>
      <c r="H34" s="3139"/>
      <c r="I34" s="3177"/>
      <c r="J34" s="3202" t="s">
        <v>299</v>
      </c>
      <c r="K34" s="3513"/>
      <c r="L34" s="3204">
        <v>9</v>
      </c>
      <c r="M34" s="445"/>
      <c r="N34" s="3511"/>
      <c r="O34" s="3139"/>
    </row>
    <row r="35" spans="1:19" ht="11.25" customHeight="1" thickBot="1">
      <c r="B35" s="3137"/>
      <c r="C35" s="2785" t="s">
        <v>280</v>
      </c>
      <c r="D35" s="3143"/>
      <c r="E35" s="2181">
        <v>2</v>
      </c>
      <c r="F35" s="422"/>
      <c r="G35" s="422"/>
      <c r="H35" s="3139"/>
      <c r="I35" s="3177"/>
      <c r="J35" s="3202" t="s">
        <v>1237</v>
      </c>
      <c r="K35" s="3513"/>
      <c r="L35" s="3204">
        <v>10</v>
      </c>
      <c r="M35" s="445"/>
      <c r="N35" s="3511"/>
      <c r="O35" s="3142"/>
    </row>
    <row r="36" spans="1:19" ht="11.25" customHeight="1" thickBot="1">
      <c r="B36" s="3137"/>
      <c r="C36" s="2785" t="s">
        <v>281</v>
      </c>
      <c r="D36" s="3143"/>
      <c r="E36" s="2181">
        <v>3</v>
      </c>
      <c r="F36" s="422"/>
      <c r="G36" s="422"/>
      <c r="H36" s="3139"/>
      <c r="I36" s="3177"/>
      <c r="J36" s="3209" t="s">
        <v>300</v>
      </c>
      <c r="K36" s="3515"/>
      <c r="L36" s="3211">
        <v>11</v>
      </c>
      <c r="M36" s="3536"/>
      <c r="N36" s="3535"/>
      <c r="O36" s="3139"/>
    </row>
    <row r="37" spans="1:19" ht="11.25" customHeight="1">
      <c r="B37" s="3137"/>
      <c r="C37" s="3861" t="s">
        <v>282</v>
      </c>
      <c r="D37" s="3861"/>
      <c r="E37" s="2181">
        <v>4</v>
      </c>
      <c r="F37" s="422"/>
      <c r="G37" s="422"/>
      <c r="H37" s="3139"/>
      <c r="I37" s="1314">
        <f>I24+0.01</f>
        <v>2.0899999999999981</v>
      </c>
      <c r="J37" s="3134"/>
      <c r="K37" s="435"/>
      <c r="L37" s="435"/>
      <c r="M37" s="445"/>
      <c r="N37" s="3139"/>
      <c r="O37" s="3139"/>
    </row>
    <row r="38" spans="1:19" ht="11.25" customHeight="1" thickBot="1">
      <c r="B38" s="3137"/>
      <c r="C38" s="3855" t="s">
        <v>1294</v>
      </c>
      <c r="D38" s="3855"/>
      <c r="E38" s="2181">
        <v>5</v>
      </c>
      <c r="F38" s="422"/>
      <c r="G38" s="422"/>
      <c r="H38" s="3139"/>
      <c r="I38" s="3177"/>
      <c r="J38" s="3186" t="s">
        <v>854</v>
      </c>
      <c r="K38" s="3183"/>
      <c r="L38" s="3183"/>
      <c r="M38" s="3183"/>
      <c r="N38" s="3187"/>
      <c r="O38" s="3139"/>
    </row>
    <row r="39" spans="1:19" ht="11.25" customHeight="1">
      <c r="B39" s="3137"/>
      <c r="C39" s="2785" t="s">
        <v>283</v>
      </c>
      <c r="D39" s="3143"/>
      <c r="E39" s="2181">
        <v>6</v>
      </c>
      <c r="F39" s="422"/>
      <c r="G39" s="422"/>
      <c r="H39" s="3139"/>
      <c r="I39" s="3177"/>
      <c r="J39" s="3191" t="s">
        <v>293</v>
      </c>
      <c r="K39" s="422"/>
      <c r="L39" s="1766">
        <v>1</v>
      </c>
      <c r="M39" s="2969"/>
      <c r="N39" s="3853"/>
      <c r="O39" s="422"/>
    </row>
    <row r="40" spans="1:19" ht="11.25" customHeight="1" thickBot="1">
      <c r="B40" s="3137"/>
      <c r="C40" s="2785" t="s">
        <v>284</v>
      </c>
      <c r="D40" s="3143"/>
      <c r="E40" s="2181">
        <v>7</v>
      </c>
      <c r="F40" s="422"/>
      <c r="G40" s="422"/>
      <c r="H40" s="3139"/>
      <c r="J40" s="3193" t="s">
        <v>294</v>
      </c>
      <c r="K40" s="3185"/>
      <c r="L40" s="1766">
        <v>2</v>
      </c>
      <c r="M40" s="445"/>
      <c r="N40" s="3854"/>
      <c r="O40" s="3139"/>
    </row>
    <row r="41" spans="1:19" ht="11.25" customHeight="1">
      <c r="B41" s="3137"/>
      <c r="C41" s="2785" t="s">
        <v>285</v>
      </c>
      <c r="D41" s="3143"/>
      <c r="E41" s="2181">
        <v>8</v>
      </c>
      <c r="F41" s="422"/>
      <c r="G41" s="422"/>
      <c r="H41" s="3139"/>
      <c r="I41" s="3177"/>
      <c r="J41" s="3191" t="s">
        <v>295</v>
      </c>
      <c r="K41" s="422"/>
      <c r="L41" s="1766">
        <v>3</v>
      </c>
      <c r="M41" s="445"/>
      <c r="O41" s="3139"/>
    </row>
    <row r="42" spans="1:19" ht="11.25" customHeight="1">
      <c r="B42" s="3137"/>
      <c r="C42" s="2785" t="s">
        <v>286</v>
      </c>
      <c r="D42" s="3143"/>
      <c r="E42" s="2181">
        <v>9</v>
      </c>
      <c r="F42" s="422"/>
      <c r="G42" s="422"/>
      <c r="H42" s="3139"/>
      <c r="I42" s="3177"/>
      <c r="J42" s="3191" t="s">
        <v>296</v>
      </c>
      <c r="K42" s="422"/>
      <c r="L42" s="1766">
        <v>4</v>
      </c>
      <c r="M42" s="445"/>
      <c r="N42" s="3188"/>
      <c r="O42" s="3139"/>
    </row>
    <row r="43" spans="1:19" ht="11.25" customHeight="1">
      <c r="B43" s="3137"/>
      <c r="C43" s="3148" t="s">
        <v>1627</v>
      </c>
      <c r="D43" s="3149"/>
      <c r="E43" s="3150">
        <v>10</v>
      </c>
      <c r="F43" s="422"/>
      <c r="G43" s="422"/>
      <c r="H43" s="3139"/>
      <c r="I43" s="3177"/>
      <c r="J43" s="3191" t="s">
        <v>1662</v>
      </c>
      <c r="K43" s="422"/>
      <c r="L43" s="1766">
        <v>5</v>
      </c>
      <c r="M43" s="445"/>
      <c r="N43" s="3139"/>
      <c r="O43" s="3139"/>
      <c r="S43" s="422"/>
    </row>
    <row r="44" spans="1:19" ht="11.25" customHeight="1" thickBot="1">
      <c r="B44" s="356"/>
      <c r="C44" s="2785" t="s">
        <v>287</v>
      </c>
      <c r="D44" s="444"/>
      <c r="E44" s="444">
        <v>11</v>
      </c>
      <c r="F44" s="444"/>
      <c r="G44" s="444"/>
      <c r="H44" s="3140"/>
      <c r="I44" s="3177"/>
      <c r="J44" s="3191" t="s">
        <v>78</v>
      </c>
      <c r="K44" s="422"/>
      <c r="L44" s="1766">
        <v>7</v>
      </c>
      <c r="M44" s="445"/>
      <c r="N44" s="3139"/>
      <c r="O44" s="3139"/>
      <c r="S44" s="422"/>
    </row>
    <row r="45" spans="1:19" ht="11.25" customHeight="1">
      <c r="A45" s="3175">
        <f>A31+0.01</f>
        <v>2.0399999999999991</v>
      </c>
      <c r="B45" s="3134"/>
      <c r="C45" s="3840" t="s">
        <v>662</v>
      </c>
      <c r="D45" s="3840"/>
      <c r="E45" s="3840"/>
      <c r="F45" s="3840"/>
      <c r="G45" s="3840"/>
      <c r="H45" s="3136"/>
      <c r="I45" s="3177"/>
      <c r="J45" s="3191" t="s">
        <v>299</v>
      </c>
      <c r="K45" s="422"/>
      <c r="L45" s="1766">
        <v>9</v>
      </c>
      <c r="M45" s="445"/>
      <c r="N45" s="3139"/>
      <c r="O45" s="3139"/>
    </row>
    <row r="46" spans="1:19" ht="11.25" customHeight="1" thickBot="1">
      <c r="B46" s="3137"/>
      <c r="C46" s="3843"/>
      <c r="D46" s="3843"/>
      <c r="E46" s="3843"/>
      <c r="F46" s="3843"/>
      <c r="G46" s="3843"/>
      <c r="H46" s="3139"/>
      <c r="I46" s="3177"/>
      <c r="J46" s="3137" t="s">
        <v>1918</v>
      </c>
      <c r="K46" s="422"/>
      <c r="L46" s="1766">
        <v>10</v>
      </c>
      <c r="M46" s="445"/>
      <c r="N46" s="3139"/>
      <c r="O46" s="3139"/>
    </row>
    <row r="47" spans="1:19" ht="13.5" customHeight="1">
      <c r="B47" s="3137"/>
      <c r="C47" s="2785" t="s">
        <v>288</v>
      </c>
      <c r="D47" s="3143"/>
      <c r="E47" s="2181">
        <v>1</v>
      </c>
      <c r="F47" s="422"/>
      <c r="G47" s="3853"/>
      <c r="H47" s="3139"/>
      <c r="I47" s="3177"/>
      <c r="J47" s="3191" t="s">
        <v>1237</v>
      </c>
      <c r="K47" s="422"/>
      <c r="L47" s="1766">
        <v>11</v>
      </c>
      <c r="M47" s="445"/>
      <c r="N47" s="3139"/>
      <c r="O47" s="3139"/>
    </row>
    <row r="48" spans="1:19" ht="11.25" customHeight="1" thickBot="1">
      <c r="B48" s="3137"/>
      <c r="C48" s="2785" t="s">
        <v>289</v>
      </c>
      <c r="D48" s="3143"/>
      <c r="E48" s="2181">
        <v>2</v>
      </c>
      <c r="F48" s="422"/>
      <c r="G48" s="3854"/>
      <c r="H48" s="3139"/>
      <c r="I48" s="3177"/>
      <c r="J48" s="356" t="s">
        <v>300</v>
      </c>
      <c r="K48" s="3141"/>
      <c r="L48" s="3141">
        <v>12</v>
      </c>
      <c r="M48" s="3181"/>
      <c r="N48" s="3142"/>
      <c r="O48" s="3139"/>
    </row>
    <row r="49" spans="1:15" ht="11.25" customHeight="1" thickBot="1">
      <c r="B49" s="3137"/>
      <c r="C49" s="2785" t="s">
        <v>290</v>
      </c>
      <c r="D49" s="3143"/>
      <c r="E49" s="2181">
        <v>3</v>
      </c>
      <c r="F49" s="422"/>
      <c r="H49" s="3139"/>
      <c r="I49" s="3177"/>
      <c r="N49" s="422"/>
      <c r="O49" s="3139"/>
    </row>
    <row r="50" spans="1:15" ht="11.25" customHeight="1">
      <c r="B50" s="3137"/>
      <c r="C50" s="2785" t="s">
        <v>291</v>
      </c>
      <c r="D50" s="3143"/>
      <c r="E50" s="2181">
        <v>4</v>
      </c>
      <c r="F50" s="422"/>
      <c r="H50" s="3139"/>
      <c r="I50" s="3177"/>
      <c r="J50" s="3194" t="s">
        <v>220</v>
      </c>
      <c r="K50" s="3184"/>
      <c r="L50" s="3184"/>
      <c r="M50" s="3184"/>
      <c r="N50" s="3195"/>
      <c r="O50" s="3139"/>
    </row>
    <row r="51" spans="1:15" ht="11.25" customHeight="1">
      <c r="B51" s="3137"/>
      <c r="C51" s="5837" t="s">
        <v>1917</v>
      </c>
      <c r="D51" s="5853"/>
      <c r="E51" s="5854">
        <v>5</v>
      </c>
      <c r="F51" s="422"/>
      <c r="H51" s="3139"/>
      <c r="I51" s="3177"/>
      <c r="J51" s="5855"/>
      <c r="K51" s="3183"/>
      <c r="L51" s="3183"/>
      <c r="M51" s="3183"/>
      <c r="N51" s="3183"/>
      <c r="O51" s="3139"/>
    </row>
    <row r="52" spans="1:15" ht="12" customHeight="1" thickBot="1">
      <c r="B52" s="3137"/>
      <c r="C52" s="2785" t="s">
        <v>1237</v>
      </c>
      <c r="D52" s="3143"/>
      <c r="E52" s="2181">
        <v>6</v>
      </c>
      <c r="F52" s="422"/>
      <c r="G52" s="422"/>
      <c r="H52" s="3139"/>
      <c r="I52" s="3177"/>
      <c r="J52" s="3137"/>
      <c r="K52" s="422"/>
      <c r="L52" s="422"/>
      <c r="M52" s="445"/>
      <c r="N52" s="422"/>
      <c r="O52" s="3139"/>
    </row>
    <row r="53" spans="1:15" ht="11.25" customHeight="1">
      <c r="A53" s="3175">
        <f>A45+0.01</f>
        <v>2.0499999999999989</v>
      </c>
      <c r="B53" s="3134"/>
      <c r="C53" s="3840" t="s">
        <v>1800</v>
      </c>
      <c r="D53" s="3840"/>
      <c r="E53" s="3840"/>
      <c r="F53" s="3840"/>
      <c r="G53" s="3840"/>
      <c r="H53" s="3136"/>
      <c r="I53" s="1314">
        <f>I37+0.01</f>
        <v>2.0999999999999979</v>
      </c>
      <c r="J53" s="3196" t="s">
        <v>301</v>
      </c>
      <c r="K53" s="3197"/>
      <c r="L53" s="3197"/>
      <c r="M53" s="3198" t="s">
        <v>1824</v>
      </c>
      <c r="N53" s="3199" t="s">
        <v>1825</v>
      </c>
      <c r="O53" s="3136"/>
    </row>
    <row r="54" spans="1:15" ht="11.25" customHeight="1">
      <c r="B54" s="3137"/>
      <c r="C54" s="3843"/>
      <c r="D54" s="3843"/>
      <c r="E54" s="3843"/>
      <c r="F54" s="3843"/>
      <c r="G54" s="3843"/>
      <c r="H54" s="3139"/>
      <c r="I54" s="3177"/>
      <c r="J54" s="3196" t="s">
        <v>333</v>
      </c>
      <c r="K54" s="3197"/>
      <c r="L54" s="3197"/>
      <c r="M54" s="3200" t="s">
        <v>1826</v>
      </c>
      <c r="N54" s="3448" t="s">
        <v>1825</v>
      </c>
      <c r="O54" s="3139"/>
    </row>
    <row r="55" spans="1:15" ht="11.25" customHeight="1">
      <c r="B55" s="3137"/>
      <c r="C55" s="3843"/>
      <c r="D55" s="3843"/>
      <c r="E55" s="3843"/>
      <c r="F55" s="3843"/>
      <c r="G55" s="3843"/>
      <c r="H55" s="3139"/>
      <c r="I55" s="3177"/>
      <c r="J55" s="3202" t="s">
        <v>334</v>
      </c>
      <c r="K55" s="3203"/>
      <c r="L55" s="3204"/>
      <c r="M55" s="3205" t="s">
        <v>1724</v>
      </c>
      <c r="N55" s="3201"/>
      <c r="O55" s="3139"/>
    </row>
    <row r="56" spans="1:15" ht="17.25" customHeight="1">
      <c r="B56" s="3137"/>
      <c r="C56" s="3843"/>
      <c r="D56" s="3843"/>
      <c r="E56" s="3843"/>
      <c r="F56" s="3843"/>
      <c r="G56" s="3843"/>
      <c r="H56" s="3139"/>
      <c r="I56" s="3177"/>
      <c r="J56" s="3202" t="s">
        <v>1239</v>
      </c>
      <c r="K56" s="3132"/>
      <c r="L56" s="3132"/>
      <c r="M56" s="3205" t="s">
        <v>1827</v>
      </c>
      <c r="N56" s="3448" t="s">
        <v>1825</v>
      </c>
      <c r="O56" s="3139"/>
    </row>
    <row r="57" spans="1:15" ht="11.25" customHeight="1" thickBot="1">
      <c r="B57" s="3137"/>
      <c r="C57" s="2969"/>
      <c r="D57" s="2969"/>
      <c r="E57" s="2969"/>
      <c r="F57" s="2969"/>
      <c r="G57" s="2969"/>
      <c r="H57" s="3139"/>
      <c r="I57" s="3177"/>
      <c r="J57" s="3206" t="s">
        <v>1240</v>
      </c>
      <c r="K57" s="3207"/>
      <c r="L57" s="3207"/>
      <c r="M57" s="3205" t="s">
        <v>1725</v>
      </c>
      <c r="N57" s="3208"/>
      <c r="O57" s="3139"/>
    </row>
    <row r="58" spans="1:15" ht="11.25" customHeight="1">
      <c r="B58" s="3137"/>
      <c r="C58" s="3152"/>
      <c r="D58" s="422"/>
      <c r="E58" s="3153"/>
      <c r="F58" s="422"/>
      <c r="G58" s="3332"/>
      <c r="H58" s="3139"/>
      <c r="I58" s="3177"/>
      <c r="J58" s="3202" t="s">
        <v>304</v>
      </c>
      <c r="K58" s="3203"/>
      <c r="L58" s="3204"/>
      <c r="M58" s="3205" t="s">
        <v>1726</v>
      </c>
      <c r="N58" s="3208"/>
      <c r="O58" s="3139"/>
    </row>
    <row r="59" spans="1:15" ht="11.25" customHeight="1" thickBot="1">
      <c r="B59" s="3137"/>
      <c r="C59" s="3152"/>
      <c r="D59" s="422"/>
      <c r="E59" s="3153"/>
      <c r="F59" s="422"/>
      <c r="G59" s="3333"/>
      <c r="H59" s="3139"/>
      <c r="I59" s="3177"/>
      <c r="J59" s="3202" t="s">
        <v>305</v>
      </c>
      <c r="K59" s="3203"/>
      <c r="L59" s="3204"/>
      <c r="M59" s="3205" t="s">
        <v>1727</v>
      </c>
      <c r="N59" s="3208"/>
      <c r="O59" s="3139"/>
    </row>
    <row r="60" spans="1:15" ht="11.25" customHeight="1" thickBot="1">
      <c r="B60" s="3137"/>
      <c r="C60" s="3152"/>
      <c r="D60" s="422"/>
      <c r="E60" s="3153"/>
      <c r="F60" s="422"/>
      <c r="G60" s="422"/>
      <c r="H60" s="3139"/>
      <c r="I60" s="3177"/>
      <c r="J60" s="3202" t="s">
        <v>306</v>
      </c>
      <c r="K60" s="3203"/>
      <c r="L60" s="3204"/>
      <c r="M60" s="3205" t="s">
        <v>1728</v>
      </c>
      <c r="N60" s="3208"/>
      <c r="O60" s="3139"/>
    </row>
    <row r="61" spans="1:15" ht="14.25" customHeight="1">
      <c r="A61" s="3175">
        <f>A53+0.01</f>
        <v>2.0599999999999987</v>
      </c>
      <c r="B61" s="3134"/>
      <c r="C61" s="3875" t="s">
        <v>292</v>
      </c>
      <c r="D61" s="3875"/>
      <c r="E61" s="3875"/>
      <c r="F61" s="3875"/>
      <c r="G61" s="3875"/>
      <c r="H61" s="3136"/>
      <c r="I61" s="3177"/>
      <c r="J61" s="3202" t="s">
        <v>307</v>
      </c>
      <c r="K61" s="3203"/>
      <c r="L61" s="3204"/>
      <c r="M61" s="3205" t="s">
        <v>1729</v>
      </c>
      <c r="N61" s="3208"/>
      <c r="O61" s="3139"/>
    </row>
    <row r="62" spans="1:15" ht="11.25" customHeight="1">
      <c r="B62" s="3137"/>
      <c r="C62" s="3154"/>
      <c r="D62" s="3154"/>
      <c r="E62" s="3154"/>
      <c r="F62" s="3154"/>
      <c r="G62" s="3154"/>
      <c r="H62" s="3139"/>
      <c r="I62" s="3177"/>
      <c r="J62" s="3196" t="s">
        <v>743</v>
      </c>
      <c r="K62" s="3132"/>
      <c r="L62" s="3132"/>
      <c r="M62" s="3205" t="s">
        <v>1828</v>
      </c>
      <c r="N62" s="3449" t="s">
        <v>1829</v>
      </c>
      <c r="O62" s="3139"/>
    </row>
    <row r="63" spans="1:15" ht="11.25" customHeight="1">
      <c r="A63" s="3309"/>
      <c r="B63" s="422"/>
      <c r="C63" s="3852" t="s">
        <v>1752</v>
      </c>
      <c r="D63" s="3852"/>
      <c r="E63" s="3852"/>
      <c r="F63" s="3852"/>
      <c r="G63" s="3154"/>
      <c r="H63" s="3139"/>
      <c r="I63" s="3177"/>
      <c r="J63" s="3196" t="s">
        <v>309</v>
      </c>
      <c r="K63" s="3197"/>
      <c r="L63" s="3197"/>
      <c r="M63" s="3205" t="s">
        <v>1830</v>
      </c>
      <c r="N63" s="3449" t="s">
        <v>1829</v>
      </c>
      <c r="O63" s="3139"/>
    </row>
    <row r="64" spans="1:15" ht="11.25" customHeight="1" thickBot="1">
      <c r="A64" s="3309"/>
      <c r="B64" s="422"/>
      <c r="C64" s="3852"/>
      <c r="D64" s="3852"/>
      <c r="E64" s="3852"/>
      <c r="F64" s="3852"/>
      <c r="G64" s="3141"/>
      <c r="H64" s="3142"/>
      <c r="I64" s="3177"/>
      <c r="J64" s="3202" t="s">
        <v>310</v>
      </c>
      <c r="K64" s="3203"/>
      <c r="L64" s="3203"/>
      <c r="M64" s="3205" t="s">
        <v>1831</v>
      </c>
      <c r="N64" s="3449" t="s">
        <v>1829</v>
      </c>
      <c r="O64" s="3139"/>
    </row>
    <row r="65" spans="1:15" ht="11.25" customHeight="1">
      <c r="A65" s="3309"/>
      <c r="C65" s="3852"/>
      <c r="D65" s="3852"/>
      <c r="E65" s="3852"/>
      <c r="F65" s="3852"/>
      <c r="G65" s="3446"/>
      <c r="H65" s="3447"/>
      <c r="I65" s="3177"/>
      <c r="J65" s="3202" t="s">
        <v>1241</v>
      </c>
      <c r="K65" s="3132"/>
      <c r="L65" s="3132"/>
      <c r="M65" s="3189" t="s">
        <v>1722</v>
      </c>
      <c r="N65" s="3208"/>
      <c r="O65" s="3139"/>
    </row>
    <row r="66" spans="1:15" ht="11.25" customHeight="1" thickBot="1">
      <c r="A66" s="3309"/>
      <c r="B66" s="356"/>
      <c r="C66" s="3141"/>
      <c r="D66" s="3141"/>
      <c r="E66" s="3141"/>
      <c r="F66" s="3141"/>
      <c r="G66" s="3311"/>
      <c r="H66" s="3310"/>
      <c r="I66" s="3177"/>
      <c r="J66" s="3202" t="s">
        <v>311</v>
      </c>
      <c r="K66" s="3132"/>
      <c r="L66" s="3132"/>
      <c r="M66" s="3205" t="s">
        <v>1723</v>
      </c>
      <c r="N66" s="3208"/>
      <c r="O66" s="3139"/>
    </row>
    <row r="67" spans="1:15" ht="18" customHeight="1" thickBot="1">
      <c r="A67" s="551" t="s">
        <v>1243</v>
      </c>
      <c r="I67" s="3177"/>
      <c r="J67" s="3209" t="s">
        <v>308</v>
      </c>
      <c r="K67" s="3210"/>
      <c r="L67" s="3211"/>
      <c r="M67" s="3212">
        <v>15</v>
      </c>
      <c r="N67" s="3213"/>
      <c r="O67" s="3139"/>
    </row>
    <row r="68" spans="1:15" ht="12" customHeight="1" thickBot="1">
      <c r="A68" s="3174"/>
      <c r="I68" s="3177"/>
      <c r="M68" s="367"/>
      <c r="N68" s="422"/>
      <c r="O68" s="3139"/>
    </row>
    <row r="69" spans="1:15" ht="11.25" customHeight="1">
      <c r="A69" s="3175">
        <v>2.11</v>
      </c>
      <c r="B69" s="3155"/>
      <c r="C69" s="3840" t="s">
        <v>337</v>
      </c>
      <c r="D69" s="3840"/>
      <c r="E69" s="3840"/>
      <c r="F69" s="3840"/>
      <c r="G69" s="3840"/>
      <c r="H69" s="3156"/>
      <c r="I69" s="3177"/>
      <c r="N69" s="422"/>
      <c r="O69" s="3139"/>
    </row>
    <row r="70" spans="1:15" ht="11.25" customHeight="1">
      <c r="A70" s="437"/>
      <c r="B70" s="3157"/>
      <c r="C70" s="3843"/>
      <c r="D70" s="3843"/>
      <c r="E70" s="3843"/>
      <c r="F70" s="3843"/>
      <c r="G70" s="3843"/>
      <c r="H70" s="1915"/>
      <c r="I70" s="3177"/>
      <c r="O70" s="3139"/>
    </row>
    <row r="71" spans="1:15" ht="11.25" customHeight="1">
      <c r="A71" s="437"/>
      <c r="B71" s="3157"/>
      <c r="C71" s="3843"/>
      <c r="D71" s="3843"/>
      <c r="E71" s="3843"/>
      <c r="F71" s="3843"/>
      <c r="G71" s="3843"/>
      <c r="H71" s="1915"/>
      <c r="I71" s="3177"/>
      <c r="O71" s="3139"/>
    </row>
    <row r="72" spans="1:15" ht="11.25" customHeight="1" thickBot="1">
      <c r="A72" s="437"/>
      <c r="B72" s="3157"/>
      <c r="C72" s="3843"/>
      <c r="D72" s="3843"/>
      <c r="E72" s="3843"/>
      <c r="F72" s="3843"/>
      <c r="G72" s="3843"/>
      <c r="H72" s="1915"/>
      <c r="I72" s="3177"/>
      <c r="O72" s="3139"/>
    </row>
    <row r="73" spans="1:15" ht="11.25" customHeight="1">
      <c r="A73" s="437"/>
      <c r="B73" s="3157"/>
      <c r="C73" s="5850" t="s">
        <v>301</v>
      </c>
      <c r="D73" s="5850"/>
      <c r="E73" s="5850"/>
      <c r="F73" s="3151" t="s">
        <v>1296</v>
      </c>
      <c r="G73" s="3845"/>
      <c r="H73" s="1915"/>
      <c r="I73" s="3177"/>
      <c r="O73" s="3139"/>
    </row>
    <row r="74" spans="1:15" ht="11.25" customHeight="1" thickBot="1">
      <c r="A74" s="437"/>
      <c r="B74" s="3157"/>
      <c r="C74" s="5851" t="s">
        <v>302</v>
      </c>
      <c r="D74" s="5851"/>
      <c r="E74" s="5851"/>
      <c r="F74" s="3879" t="s">
        <v>1297</v>
      </c>
      <c r="G74" s="3846"/>
      <c r="H74" s="1915"/>
      <c r="I74" s="3177"/>
      <c r="O74" s="3140"/>
    </row>
    <row r="75" spans="1:15" ht="14.25" thickBot="1">
      <c r="A75" s="437"/>
      <c r="B75" s="3157"/>
      <c r="C75" s="5852"/>
      <c r="D75" s="5852"/>
      <c r="E75" s="5852"/>
      <c r="F75" s="3880"/>
      <c r="G75" s="1784"/>
      <c r="H75" s="1915"/>
      <c r="J75" s="444"/>
      <c r="K75" s="444"/>
      <c r="L75" s="444"/>
      <c r="M75" s="3158"/>
      <c r="N75" s="444"/>
    </row>
    <row r="76" spans="1:15" ht="14.25" customHeight="1">
      <c r="A76" s="437"/>
      <c r="B76" s="3157"/>
      <c r="C76" s="2785" t="s">
        <v>303</v>
      </c>
      <c r="D76" s="2784"/>
      <c r="E76" s="2181"/>
      <c r="F76" s="1496">
        <v>3</v>
      </c>
      <c r="G76" s="1784"/>
      <c r="H76" s="1915"/>
      <c r="O76" s="3133" t="s">
        <v>1161</v>
      </c>
    </row>
    <row r="77" spans="1:15" ht="11.25" customHeight="1" thickBot="1">
      <c r="A77" s="437"/>
      <c r="B77" s="3157"/>
      <c r="C77" s="5850" t="s">
        <v>1238</v>
      </c>
      <c r="D77" s="5850"/>
      <c r="E77" s="5850"/>
      <c r="F77" s="3151" t="s">
        <v>1298</v>
      </c>
      <c r="G77" s="1784"/>
      <c r="H77" s="1915"/>
    </row>
    <row r="78" spans="1:15" ht="11.25" customHeight="1" thickBot="1">
      <c r="A78" s="437"/>
      <c r="B78" s="3157"/>
      <c r="C78" s="5850" t="s">
        <v>1240</v>
      </c>
      <c r="D78" s="5850"/>
      <c r="E78" s="5850"/>
      <c r="F78" s="1496">
        <v>5</v>
      </c>
      <c r="G78" s="1784"/>
      <c r="H78" s="1915"/>
      <c r="O78" s="3136"/>
    </row>
    <row r="79" spans="1:15" ht="11.25" customHeight="1">
      <c r="A79" s="437"/>
      <c r="B79" s="3157"/>
      <c r="C79" s="2785" t="s">
        <v>304</v>
      </c>
      <c r="D79" s="2784"/>
      <c r="E79" s="2181"/>
      <c r="F79" s="1496">
        <v>6</v>
      </c>
      <c r="G79" s="1784"/>
      <c r="H79" s="1915"/>
      <c r="I79" s="3214">
        <f>A111+0.01</f>
        <v>2.1599999999999988</v>
      </c>
      <c r="J79" s="3864" t="s">
        <v>1570</v>
      </c>
      <c r="K79" s="3864"/>
      <c r="L79" s="3864"/>
      <c r="M79" s="3864"/>
      <c r="N79" s="3865"/>
      <c r="O79" s="3139"/>
    </row>
    <row r="80" spans="1:15" ht="11.25" customHeight="1">
      <c r="A80" s="437"/>
      <c r="B80" s="3157"/>
      <c r="C80" s="2785" t="s">
        <v>305</v>
      </c>
      <c r="D80" s="2784"/>
      <c r="E80" s="2181"/>
      <c r="F80" s="1496">
        <v>7</v>
      </c>
      <c r="G80" s="1784"/>
      <c r="H80" s="1915"/>
      <c r="I80" s="3215"/>
      <c r="J80" s="3866"/>
      <c r="K80" s="3866"/>
      <c r="L80" s="3866"/>
      <c r="M80" s="3866"/>
      <c r="N80" s="3867"/>
      <c r="O80" s="3139"/>
    </row>
    <row r="81" spans="1:16" ht="11.25" customHeight="1">
      <c r="A81" s="437"/>
      <c r="B81" s="3157"/>
      <c r="C81" s="2785" t="s">
        <v>306</v>
      </c>
      <c r="D81" s="2784"/>
      <c r="E81" s="2181"/>
      <c r="F81" s="1496">
        <v>8</v>
      </c>
      <c r="G81" s="1784"/>
      <c r="H81" s="1915"/>
      <c r="I81" s="3215"/>
      <c r="J81" s="3866"/>
      <c r="K81" s="3866"/>
      <c r="L81" s="3866"/>
      <c r="M81" s="3866"/>
      <c r="N81" s="3867"/>
      <c r="O81" s="3139"/>
    </row>
    <row r="82" spans="1:16" ht="11.25" customHeight="1">
      <c r="A82" s="437"/>
      <c r="B82" s="3157"/>
      <c r="C82" s="2785" t="s">
        <v>307</v>
      </c>
      <c r="D82" s="2784"/>
      <c r="E82" s="2181"/>
      <c r="F82" s="1496">
        <v>9</v>
      </c>
      <c r="G82" s="1784"/>
      <c r="H82" s="1915"/>
      <c r="I82" s="3215"/>
      <c r="J82" s="3866"/>
      <c r="K82" s="3866"/>
      <c r="L82" s="3866"/>
      <c r="M82" s="3866"/>
      <c r="N82" s="3867"/>
      <c r="O82" s="3139"/>
    </row>
    <row r="83" spans="1:16" ht="11.25" customHeight="1" thickBot="1">
      <c r="A83" s="437"/>
      <c r="B83" s="3157"/>
      <c r="C83" s="5850" t="s">
        <v>743</v>
      </c>
      <c r="D83" s="5850"/>
      <c r="E83" s="5850"/>
      <c r="F83" s="3151" t="s">
        <v>1300</v>
      </c>
      <c r="G83" s="1784"/>
      <c r="H83" s="1915"/>
      <c r="I83" s="3215"/>
      <c r="J83" s="3159" t="s">
        <v>1211</v>
      </c>
      <c r="K83" s="2969"/>
      <c r="L83" s="2969"/>
      <c r="M83" s="2969"/>
      <c r="N83" s="3192"/>
      <c r="O83" s="3139"/>
    </row>
    <row r="84" spans="1:16" ht="11.25" customHeight="1">
      <c r="A84" s="437"/>
      <c r="B84" s="3157"/>
      <c r="C84" s="5849" t="s">
        <v>309</v>
      </c>
      <c r="D84" s="5849"/>
      <c r="E84" s="5849"/>
      <c r="F84" s="3151" t="s">
        <v>1464</v>
      </c>
      <c r="G84" s="1784"/>
      <c r="H84" s="1915"/>
      <c r="I84" s="3215"/>
      <c r="J84" s="3216" t="s">
        <v>335</v>
      </c>
      <c r="K84" s="3217"/>
      <c r="L84" s="3217"/>
      <c r="M84" s="3218">
        <v>1</v>
      </c>
      <c r="N84" s="3845"/>
      <c r="O84" s="3139"/>
    </row>
    <row r="85" spans="1:16" ht="11.25" customHeight="1" thickBot="1">
      <c r="A85" s="437"/>
      <c r="B85" s="3157"/>
      <c r="C85" s="3160" t="s">
        <v>310</v>
      </c>
      <c r="D85" s="2784"/>
      <c r="E85" s="2784"/>
      <c r="F85" s="3151" t="s">
        <v>1299</v>
      </c>
      <c r="G85" s="1784"/>
      <c r="H85" s="1915"/>
      <c r="I85" s="3215"/>
      <c r="J85" s="3216" t="s">
        <v>1736</v>
      </c>
      <c r="K85" s="3217"/>
      <c r="L85" s="3217"/>
      <c r="M85" s="3218">
        <v>2</v>
      </c>
      <c r="N85" s="3846"/>
      <c r="O85" s="3139"/>
    </row>
    <row r="86" spans="1:16" ht="11.25" customHeight="1">
      <c r="A86" s="437"/>
      <c r="B86" s="3157"/>
      <c r="C86" s="5847" t="s">
        <v>1241</v>
      </c>
      <c r="D86" s="5847"/>
      <c r="E86" s="5847"/>
      <c r="F86" s="3862">
        <v>13</v>
      </c>
      <c r="G86" s="1784"/>
      <c r="H86" s="1915"/>
      <c r="I86" s="3215"/>
      <c r="J86" s="3216" t="s">
        <v>336</v>
      </c>
      <c r="K86" s="3217"/>
      <c r="L86" s="3217"/>
      <c r="M86" s="3218">
        <v>3</v>
      </c>
      <c r="N86" s="1915"/>
      <c r="O86" s="3139"/>
    </row>
    <row r="87" spans="1:16" ht="14.25" customHeight="1">
      <c r="A87" s="437"/>
      <c r="B87" s="3157"/>
      <c r="C87" s="5848"/>
      <c r="D87" s="5848"/>
      <c r="E87" s="5848"/>
      <c r="F87" s="3863"/>
      <c r="G87" s="1784"/>
      <c r="H87" s="1915"/>
      <c r="I87" s="3215"/>
      <c r="J87" s="3219" t="s">
        <v>1624</v>
      </c>
      <c r="K87" s="3203"/>
      <c r="L87" s="3204"/>
      <c r="M87" s="3218">
        <v>4</v>
      </c>
      <c r="N87" s="1915"/>
      <c r="O87" s="3139"/>
    </row>
    <row r="88" spans="1:16" ht="11.25" customHeight="1">
      <c r="A88" s="437"/>
      <c r="B88" s="3157"/>
      <c r="C88" s="3160" t="s">
        <v>311</v>
      </c>
      <c r="D88" s="2784"/>
      <c r="E88" s="2784"/>
      <c r="F88" s="2967">
        <v>14</v>
      </c>
      <c r="G88" s="1784"/>
      <c r="H88" s="1915"/>
      <c r="I88" s="3215"/>
      <c r="J88" s="3222" t="s">
        <v>1732</v>
      </c>
      <c r="K88" s="3222"/>
      <c r="L88" s="3222"/>
      <c r="M88" s="3218">
        <v>5</v>
      </c>
      <c r="N88" s="1915"/>
      <c r="O88" s="3139"/>
    </row>
    <row r="89" spans="1:16" ht="11.25" customHeight="1" thickBot="1">
      <c r="A89" s="437"/>
      <c r="B89" s="1897"/>
      <c r="C89" s="1900"/>
      <c r="D89" s="1900"/>
      <c r="E89" s="1900"/>
      <c r="F89" s="3161"/>
      <c r="G89" s="1900"/>
      <c r="H89" s="3162"/>
      <c r="I89" s="3215"/>
      <c r="J89" s="3222" t="s">
        <v>317</v>
      </c>
      <c r="K89" s="3222"/>
      <c r="L89" s="3222"/>
      <c r="M89" s="3218">
        <v>6</v>
      </c>
      <c r="N89" s="1915"/>
      <c r="O89" s="3139"/>
    </row>
    <row r="90" spans="1:16" ht="11.25" customHeight="1">
      <c r="A90" s="3175">
        <f>A69+0.01</f>
        <v>2.1199999999999997</v>
      </c>
      <c r="B90" s="3155"/>
      <c r="C90" s="3298"/>
      <c r="D90" s="3298"/>
      <c r="E90" s="3298"/>
      <c r="F90" s="3298"/>
      <c r="G90" s="3298"/>
      <c r="H90" s="3295"/>
      <c r="I90" s="3296"/>
      <c r="J90" s="3216" t="s">
        <v>318</v>
      </c>
      <c r="K90" s="3203"/>
      <c r="L90" s="3204"/>
      <c r="M90" s="3218">
        <v>7</v>
      </c>
      <c r="N90" s="1915"/>
      <c r="O90" s="3139"/>
    </row>
    <row r="91" spans="1:16" ht="11.25" customHeight="1">
      <c r="A91" s="437"/>
      <c r="B91" s="3157"/>
      <c r="C91" s="3877" t="s">
        <v>847</v>
      </c>
      <c r="D91" s="3877"/>
      <c r="E91" s="3877"/>
      <c r="F91" s="3877"/>
      <c r="G91" s="3877"/>
      <c r="H91" s="3878"/>
      <c r="I91" s="3296"/>
      <c r="J91" s="3222" t="s">
        <v>319</v>
      </c>
      <c r="K91" s="3222"/>
      <c r="L91" s="3222"/>
      <c r="M91" s="3218">
        <v>8</v>
      </c>
      <c r="N91" s="1915"/>
      <c r="O91" s="3139"/>
    </row>
    <row r="92" spans="1:16" ht="11.25" customHeight="1">
      <c r="A92" s="437"/>
      <c r="B92" s="3157"/>
      <c r="C92" s="3877"/>
      <c r="D92" s="3877"/>
      <c r="E92" s="3877"/>
      <c r="F92" s="3877"/>
      <c r="G92" s="3877"/>
      <c r="H92" s="3878"/>
      <c r="I92" s="3296"/>
      <c r="J92" s="3221" t="s">
        <v>320</v>
      </c>
      <c r="K92" s="3203"/>
      <c r="L92" s="3204"/>
      <c r="M92" s="3218">
        <v>9</v>
      </c>
      <c r="N92" s="1915"/>
      <c r="O92" s="3139"/>
    </row>
    <row r="93" spans="1:16" ht="11.25" customHeight="1">
      <c r="A93" s="437"/>
      <c r="B93" s="3157"/>
      <c r="C93" s="3877"/>
      <c r="D93" s="3877"/>
      <c r="E93" s="3877"/>
      <c r="F93" s="3877"/>
      <c r="G93" s="3877"/>
      <c r="H93" s="3878"/>
      <c r="I93" s="3296"/>
      <c r="J93" s="3222" t="s">
        <v>1369</v>
      </c>
      <c r="K93" s="3222"/>
      <c r="L93" s="3222"/>
      <c r="M93" s="3222" t="s">
        <v>1301</v>
      </c>
      <c r="N93" s="1915"/>
      <c r="O93" s="3139"/>
      <c r="P93" s="3165"/>
    </row>
    <row r="94" spans="1:16" ht="11.25" customHeight="1" thickBot="1">
      <c r="A94" s="437"/>
      <c r="B94" s="3157"/>
      <c r="C94" s="3877"/>
      <c r="D94" s="3877"/>
      <c r="E94" s="3877"/>
      <c r="F94" s="3877"/>
      <c r="G94" s="3877"/>
      <c r="H94" s="3878"/>
      <c r="I94" s="3657"/>
      <c r="J94" s="3220" t="s">
        <v>1237</v>
      </c>
      <c r="K94" s="3220"/>
      <c r="L94" s="3220"/>
      <c r="M94" s="1482">
        <v>11</v>
      </c>
      <c r="N94" s="1915"/>
      <c r="O94" s="3140"/>
      <c r="P94" s="3165"/>
    </row>
    <row r="95" spans="1:16" ht="11.25" customHeight="1" thickBot="1">
      <c r="A95" s="422"/>
      <c r="B95" s="3157"/>
      <c r="C95" s="4295" t="s">
        <v>745</v>
      </c>
      <c r="D95" s="5843"/>
      <c r="E95" s="5843"/>
      <c r="F95" s="5844"/>
      <c r="G95" s="3836"/>
      <c r="H95" s="3139"/>
      <c r="J95" s="3224"/>
      <c r="K95" s="3224"/>
      <c r="L95" s="3224"/>
      <c r="M95" s="3225"/>
      <c r="N95" s="3226"/>
      <c r="O95" s="3136"/>
      <c r="P95" s="3165"/>
    </row>
    <row r="96" spans="1:16" ht="11.25" customHeight="1" thickBot="1">
      <c r="A96" s="437"/>
      <c r="B96" s="3157"/>
      <c r="C96" s="4297"/>
      <c r="D96" s="5845"/>
      <c r="E96" s="5845"/>
      <c r="F96" s="5846"/>
      <c r="G96" s="3836"/>
      <c r="H96" s="3139"/>
      <c r="I96" s="3297">
        <f>I79+0.01</f>
        <v>2.1699999999999986</v>
      </c>
      <c r="J96" s="3184" t="s">
        <v>221</v>
      </c>
      <c r="K96" s="3184"/>
      <c r="L96" s="3184"/>
      <c r="M96" s="3184"/>
      <c r="N96" s="2968"/>
      <c r="O96" s="3139"/>
      <c r="P96" s="3165"/>
    </row>
    <row r="97" spans="1:16" ht="11.25" customHeight="1" thickBot="1">
      <c r="A97" s="437"/>
      <c r="B97" s="3157"/>
      <c r="C97" s="4295" t="s">
        <v>664</v>
      </c>
      <c r="D97" s="5843"/>
      <c r="E97" s="5843"/>
      <c r="F97" s="5844"/>
      <c r="G97" s="3853"/>
      <c r="H97" s="3139"/>
      <c r="I97" s="3296"/>
      <c r="J97" s="2969"/>
      <c r="K97" s="2969"/>
      <c r="L97" s="2969"/>
      <c r="M97" s="2969"/>
      <c r="N97" s="2969"/>
      <c r="O97" s="3139"/>
      <c r="P97" s="3165"/>
    </row>
    <row r="98" spans="1:16" ht="12.75" customHeight="1" thickBot="1">
      <c r="A98" s="437"/>
      <c r="B98" s="3157"/>
      <c r="C98" s="4297"/>
      <c r="D98" s="5845"/>
      <c r="E98" s="5845"/>
      <c r="F98" s="5846"/>
      <c r="G98" s="3854"/>
      <c r="H98" s="3139"/>
      <c r="I98" s="3296"/>
      <c r="J98" s="3203" t="s">
        <v>862</v>
      </c>
      <c r="K98" s="3227">
        <v>1</v>
      </c>
      <c r="L98" s="1784"/>
      <c r="M98" s="1482"/>
      <c r="N98" s="3166"/>
      <c r="O98" s="3139"/>
      <c r="P98" s="3165"/>
    </row>
    <row r="99" spans="1:16" ht="11.25" customHeight="1" thickBot="1">
      <c r="A99" s="437"/>
      <c r="B99" s="3137"/>
      <c r="C99" s="4295" t="s">
        <v>665</v>
      </c>
      <c r="D99" s="5843"/>
      <c r="E99" s="5843"/>
      <c r="F99" s="5844"/>
      <c r="G99" s="3868"/>
      <c r="H99" s="3168"/>
      <c r="I99" s="3215"/>
      <c r="J99" s="3203" t="s">
        <v>863</v>
      </c>
      <c r="K99" s="3227">
        <v>2</v>
      </c>
      <c r="L99" s="1784" t="s">
        <v>1884</v>
      </c>
      <c r="M99" s="1482"/>
      <c r="N99" s="3167"/>
      <c r="O99" s="3142"/>
    </row>
    <row r="100" spans="1:16" ht="15" customHeight="1" thickBot="1">
      <c r="A100" s="437"/>
      <c r="B100" s="3137"/>
      <c r="C100" s="4297"/>
      <c r="D100" s="5845"/>
      <c r="E100" s="5845"/>
      <c r="F100" s="5846"/>
      <c r="G100" s="3868"/>
      <c r="H100" s="3168"/>
      <c r="J100" s="3228"/>
      <c r="K100" s="3229"/>
      <c r="L100" s="3228"/>
      <c r="M100" s="3230"/>
      <c r="N100" s="3228"/>
      <c r="O100" s="3139"/>
    </row>
    <row r="101" spans="1:16" ht="11.25" customHeight="1" thickBot="1">
      <c r="A101" s="437"/>
      <c r="B101" s="356"/>
      <c r="C101" s="3838" t="s">
        <v>1897</v>
      </c>
      <c r="D101" s="5841"/>
      <c r="E101" s="5841"/>
      <c r="F101" s="5842"/>
      <c r="G101" s="3645"/>
      <c r="H101" s="3299"/>
      <c r="I101" s="3297">
        <f>I96+0.01</f>
        <v>2.1799999999999984</v>
      </c>
      <c r="J101" s="3184" t="s">
        <v>321</v>
      </c>
      <c r="K101" s="3184"/>
      <c r="L101" s="3184"/>
      <c r="M101" s="3184"/>
      <c r="N101" s="3231"/>
      <c r="O101" s="3139"/>
    </row>
    <row r="102" spans="1:16" ht="11.25" customHeight="1" thickBot="1">
      <c r="A102" s="3175">
        <f>A90+0.01</f>
        <v>2.1299999999999994</v>
      </c>
      <c r="B102" s="3134"/>
      <c r="C102" s="3843" t="s">
        <v>339</v>
      </c>
      <c r="D102" s="3843"/>
      <c r="E102" s="3843"/>
      <c r="F102" s="3843"/>
      <c r="G102" s="3843"/>
      <c r="H102" s="3300"/>
      <c r="I102" s="3215"/>
      <c r="J102" s="2969"/>
      <c r="K102" s="2969"/>
      <c r="L102" s="2969"/>
      <c r="M102" s="2969"/>
      <c r="N102" s="3192"/>
      <c r="O102" s="3139"/>
    </row>
    <row r="103" spans="1:16" ht="11.25" customHeight="1" thickBot="1">
      <c r="A103" s="437"/>
      <c r="B103" s="3137"/>
      <c r="C103" s="3843"/>
      <c r="D103" s="3843"/>
      <c r="E103" s="3843"/>
      <c r="F103" s="3843"/>
      <c r="G103" s="3843"/>
      <c r="H103" s="1915"/>
      <c r="I103" s="3215"/>
      <c r="J103" s="3220" t="s">
        <v>910</v>
      </c>
      <c r="K103" s="3220"/>
      <c r="L103" s="3220">
        <v>1</v>
      </c>
      <c r="M103" s="2971"/>
      <c r="N103" s="3163"/>
      <c r="O103" s="3139"/>
    </row>
    <row r="104" spans="1:16" ht="11.25" customHeight="1" thickBot="1">
      <c r="A104" s="437"/>
      <c r="B104" s="3137"/>
      <c r="C104" s="3876" t="s">
        <v>338</v>
      </c>
      <c r="D104" s="3876"/>
      <c r="E104" s="5840"/>
      <c r="F104" s="3836"/>
      <c r="G104" s="3836"/>
      <c r="H104" s="1915"/>
      <c r="I104" s="3215"/>
      <c r="J104" s="3220" t="s">
        <v>912</v>
      </c>
      <c r="K104" s="3220"/>
      <c r="L104" s="3220">
        <v>2</v>
      </c>
      <c r="M104" s="2971"/>
      <c r="N104" s="3164"/>
      <c r="O104" s="3139"/>
    </row>
    <row r="105" spans="1:16" ht="11.25" customHeight="1" thickBot="1">
      <c r="A105" s="437"/>
      <c r="B105" s="1897"/>
      <c r="C105" s="3232"/>
      <c r="D105" s="3228"/>
      <c r="E105" s="3228"/>
      <c r="F105" s="3836"/>
      <c r="G105" s="3836"/>
      <c r="H105" s="3226"/>
      <c r="I105" s="3215"/>
      <c r="J105" s="3220" t="s">
        <v>911</v>
      </c>
      <c r="K105" s="3220"/>
      <c r="L105" s="3220">
        <v>3</v>
      </c>
      <c r="M105" s="2971"/>
      <c r="N105" s="3168"/>
      <c r="O105" s="3139"/>
    </row>
    <row r="106" spans="1:16" ht="11.25" customHeight="1">
      <c r="A106" s="3175">
        <f>A102+0.01</f>
        <v>2.1399999999999992</v>
      </c>
      <c r="B106" s="3157"/>
      <c r="C106" s="5839" t="s">
        <v>312</v>
      </c>
      <c r="D106" s="5839"/>
      <c r="E106" s="5839"/>
      <c r="F106" s="5839"/>
      <c r="G106" s="5839"/>
      <c r="H106" s="1915"/>
      <c r="I106" s="3215"/>
      <c r="J106" s="3220" t="s">
        <v>1302</v>
      </c>
      <c r="K106" s="3220"/>
      <c r="L106" s="3220">
        <v>4</v>
      </c>
      <c r="M106" s="2969"/>
      <c r="N106" s="3168"/>
      <c r="O106" s="3139"/>
    </row>
    <row r="107" spans="1:16" ht="11.25" customHeight="1" thickBot="1">
      <c r="A107" s="437"/>
      <c r="B107" s="3157"/>
      <c r="C107" s="3881"/>
      <c r="D107" s="3881"/>
      <c r="E107" s="3881"/>
      <c r="F107" s="3881"/>
      <c r="G107" s="3881"/>
      <c r="H107" s="1915"/>
      <c r="I107" s="3215"/>
      <c r="J107" s="3216" t="s">
        <v>906</v>
      </c>
      <c r="K107" s="3203"/>
      <c r="L107" s="3220">
        <v>9</v>
      </c>
      <c r="M107" s="2969"/>
      <c r="N107" s="3168"/>
      <c r="O107" s="3140"/>
    </row>
    <row r="108" spans="1:16" ht="11.25" customHeight="1" thickBot="1">
      <c r="A108" s="437"/>
      <c r="B108" s="3157"/>
      <c r="C108" s="2967" t="s">
        <v>862</v>
      </c>
      <c r="D108" s="2179">
        <v>1</v>
      </c>
      <c r="E108" s="2180"/>
      <c r="F108" s="1784"/>
      <c r="G108" s="3845"/>
      <c r="H108" s="1915"/>
      <c r="J108" s="3232"/>
      <c r="K108" s="3228"/>
      <c r="L108" s="3228"/>
      <c r="M108" s="3230"/>
      <c r="N108" s="3226"/>
      <c r="O108" s="3136"/>
    </row>
    <row r="109" spans="1:16" ht="11.25" customHeight="1" thickBot="1">
      <c r="A109" s="437"/>
      <c r="B109" s="3157"/>
      <c r="C109" s="2967" t="s">
        <v>863</v>
      </c>
      <c r="D109" s="2179">
        <v>2</v>
      </c>
      <c r="E109" s="2180" t="s">
        <v>340</v>
      </c>
      <c r="F109" s="1784"/>
      <c r="G109" s="3846"/>
      <c r="H109" s="1915"/>
      <c r="I109" s="3214">
        <f>I101+0.01</f>
        <v>2.1899999999999982</v>
      </c>
      <c r="J109" s="3184" t="s">
        <v>648</v>
      </c>
      <c r="K109" s="3184"/>
      <c r="L109" s="3184"/>
      <c r="M109" s="3184"/>
      <c r="N109" s="3195"/>
      <c r="O109" s="3139"/>
    </row>
    <row r="110" spans="1:16" ht="25.5" customHeight="1" thickBot="1">
      <c r="A110" s="437"/>
      <c r="B110" s="1897"/>
      <c r="C110" s="2970" t="s">
        <v>906</v>
      </c>
      <c r="D110" s="2179">
        <v>9</v>
      </c>
      <c r="E110" s="2180" t="s">
        <v>340</v>
      </c>
      <c r="F110" s="1900"/>
      <c r="G110" s="1900"/>
      <c r="H110" s="3162"/>
      <c r="I110" s="3215"/>
      <c r="J110" s="2969"/>
      <c r="K110" s="2969"/>
      <c r="L110" s="2969"/>
      <c r="M110" s="2969"/>
      <c r="N110" s="3192"/>
      <c r="O110" s="3139"/>
    </row>
    <row r="111" spans="1:16" ht="11.25" customHeight="1">
      <c r="A111" s="3175">
        <f>A106+0.01</f>
        <v>2.149999999999999</v>
      </c>
      <c r="B111" s="3155"/>
      <c r="C111" s="3864" t="s">
        <v>647</v>
      </c>
      <c r="D111" s="3864"/>
      <c r="E111" s="3864"/>
      <c r="F111" s="3864"/>
      <c r="G111" s="3864"/>
      <c r="H111" s="3156"/>
      <c r="I111" s="3215"/>
      <c r="J111" s="3222" t="s">
        <v>862</v>
      </c>
      <c r="K111" s="3227">
        <v>1</v>
      </c>
      <c r="L111" s="1784"/>
      <c r="M111" s="1482"/>
      <c r="N111" s="3166"/>
      <c r="O111" s="3139"/>
    </row>
    <row r="112" spans="1:16" ht="11.25" customHeight="1" thickBot="1">
      <c r="A112" s="437"/>
      <c r="B112" s="3157"/>
      <c r="C112" s="3866"/>
      <c r="D112" s="3866"/>
      <c r="E112" s="3866"/>
      <c r="F112" s="3866"/>
      <c r="G112" s="3866"/>
      <c r="H112" s="1915"/>
      <c r="I112" s="3215"/>
      <c r="J112" s="3222" t="s">
        <v>863</v>
      </c>
      <c r="K112" s="3227">
        <v>2</v>
      </c>
      <c r="L112" s="1784"/>
      <c r="M112" s="1482"/>
      <c r="N112" s="3167"/>
      <c r="O112" s="3139"/>
    </row>
    <row r="113" spans="1:16" ht="11.25" customHeight="1" thickBot="1">
      <c r="A113" s="437"/>
      <c r="B113" s="3157"/>
      <c r="C113" s="3882" t="s">
        <v>1753</v>
      </c>
      <c r="D113" s="3882"/>
      <c r="E113" s="3882"/>
      <c r="F113" s="3882"/>
      <c r="G113" s="3882"/>
      <c r="H113" s="1915"/>
      <c r="I113" s="3215"/>
      <c r="J113" s="3220" t="s">
        <v>906</v>
      </c>
      <c r="K113" s="3227">
        <v>9</v>
      </c>
      <c r="L113" s="1784"/>
      <c r="M113" s="1482"/>
      <c r="N113" s="1915"/>
      <c r="O113" s="3140"/>
    </row>
    <row r="114" spans="1:16" ht="14.25" customHeight="1" thickBot="1">
      <c r="A114" s="437"/>
      <c r="B114" s="3157"/>
      <c r="C114" s="447"/>
      <c r="D114" s="3869"/>
      <c r="E114" s="3869"/>
      <c r="F114" s="1482"/>
      <c r="G114" s="3169"/>
      <c r="H114" s="1915"/>
      <c r="J114" s="3228"/>
      <c r="K114" s="3228"/>
      <c r="L114" s="3228"/>
      <c r="M114" s="3230"/>
      <c r="N114" s="3226"/>
      <c r="O114" s="3136"/>
    </row>
    <row r="115" spans="1:16" ht="11.25" customHeight="1">
      <c r="A115" s="437"/>
      <c r="B115" s="3157"/>
      <c r="C115" s="1507"/>
      <c r="D115" s="3869"/>
      <c r="E115" s="3869"/>
      <c r="F115" s="1482"/>
      <c r="G115" s="3169"/>
      <c r="H115" s="1915"/>
      <c r="I115" s="3214">
        <f>I109+0.01</f>
        <v>2.199999999999998</v>
      </c>
      <c r="J115" s="3243" t="s">
        <v>1730</v>
      </c>
      <c r="K115" s="3234"/>
      <c r="L115" s="3234"/>
      <c r="M115" s="3234"/>
      <c r="N115" s="3237"/>
      <c r="O115" s="3139"/>
    </row>
    <row r="116" spans="1:16" ht="11.25" customHeight="1" thickBot="1">
      <c r="A116" s="437"/>
      <c r="B116" s="3157"/>
      <c r="C116" s="3169"/>
      <c r="D116" s="3870"/>
      <c r="E116" s="3870"/>
      <c r="F116" s="1482"/>
      <c r="G116" s="1784"/>
      <c r="H116" s="1915"/>
      <c r="I116" s="3215"/>
      <c r="J116" s="3233" t="s">
        <v>1731</v>
      </c>
      <c r="K116" s="3233"/>
      <c r="L116" s="3233"/>
      <c r="M116" s="3233"/>
      <c r="N116" s="3238"/>
      <c r="O116" s="3139"/>
    </row>
    <row r="117" spans="1:16" ht="11.25" customHeight="1" thickBot="1">
      <c r="A117" s="437"/>
      <c r="B117" s="3157"/>
      <c r="C117" s="5838" t="s">
        <v>1832</v>
      </c>
      <c r="D117" s="5838"/>
      <c r="E117" s="5838"/>
      <c r="F117" s="2167"/>
      <c r="G117" s="3241"/>
      <c r="H117" s="1915"/>
      <c r="I117" s="3215"/>
      <c r="J117" s="3242" t="s">
        <v>1895</v>
      </c>
      <c r="K117" s="3233"/>
      <c r="L117" s="3233"/>
      <c r="M117" s="3233"/>
      <c r="N117" s="3239"/>
      <c r="O117" s="3139"/>
    </row>
    <row r="118" spans="1:16" ht="11.25" customHeight="1" thickBot="1">
      <c r="A118" s="437"/>
      <c r="B118" s="3157"/>
      <c r="C118" s="5838" t="s">
        <v>313</v>
      </c>
      <c r="D118" s="5838"/>
      <c r="E118" s="5838"/>
      <c r="F118" s="1766"/>
      <c r="G118" s="3241"/>
      <c r="H118" s="1915"/>
      <c r="I118" s="3215"/>
      <c r="J118" s="3170"/>
      <c r="K118" s="3170"/>
      <c r="L118" s="3170"/>
      <c r="M118" s="3170"/>
      <c r="N118" s="3239"/>
      <c r="O118" s="3139"/>
    </row>
    <row r="119" spans="1:16" ht="13.5" customHeight="1" thickBot="1">
      <c r="A119" s="437"/>
      <c r="B119" s="3157"/>
      <c r="C119" s="5838" t="s">
        <v>855</v>
      </c>
      <c r="D119" s="5838"/>
      <c r="E119" s="5838"/>
      <c r="F119" s="1766"/>
      <c r="G119" s="3241"/>
      <c r="H119" s="1915"/>
      <c r="I119" s="3215"/>
      <c r="J119" s="3235" t="s">
        <v>322</v>
      </c>
      <c r="K119" s="3235"/>
      <c r="L119" s="3204">
        <v>1</v>
      </c>
      <c r="M119" s="1482"/>
      <c r="N119" s="3166"/>
      <c r="O119" s="3139"/>
    </row>
    <row r="120" spans="1:16" ht="11.25" customHeight="1" thickBot="1">
      <c r="A120" s="437"/>
      <c r="B120" s="3157"/>
      <c r="C120" s="3871" t="s">
        <v>744</v>
      </c>
      <c r="D120" s="3871"/>
      <c r="E120" s="3871"/>
      <c r="F120" s="3240"/>
      <c r="G120" s="3241"/>
      <c r="H120" s="1915"/>
      <c r="I120" s="3215"/>
      <c r="J120" s="3236" t="s">
        <v>323</v>
      </c>
      <c r="K120" s="3235"/>
      <c r="L120" s="3204">
        <v>2</v>
      </c>
      <c r="M120" s="1482"/>
      <c r="N120" s="3167"/>
      <c r="O120" s="3139"/>
    </row>
    <row r="121" spans="1:16" ht="15.75" customHeight="1" thickBot="1">
      <c r="A121" s="437"/>
      <c r="B121" s="3157"/>
      <c r="C121" s="3942"/>
      <c r="D121" s="3942"/>
      <c r="E121" s="3942"/>
      <c r="F121" s="3240"/>
      <c r="G121" s="3241"/>
      <c r="H121" s="1915"/>
      <c r="I121" s="3215"/>
      <c r="J121" s="3236" t="s">
        <v>324</v>
      </c>
      <c r="K121" s="3236"/>
      <c r="L121" s="3204">
        <v>3</v>
      </c>
      <c r="M121" s="1482"/>
      <c r="N121" s="1915"/>
      <c r="O121" s="3139"/>
    </row>
    <row r="122" spans="1:16" ht="12.75" customHeight="1" thickBot="1">
      <c r="A122" s="437"/>
      <c r="B122" s="3157"/>
      <c r="C122" s="5838" t="s">
        <v>314</v>
      </c>
      <c r="D122" s="5838"/>
      <c r="E122" s="5838"/>
      <c r="F122" s="1766"/>
      <c r="G122" s="3241"/>
      <c r="H122" s="1915"/>
      <c r="I122" s="3215"/>
      <c r="J122" s="3235" t="s">
        <v>325</v>
      </c>
      <c r="K122" s="3235"/>
      <c r="L122" s="3204">
        <v>4</v>
      </c>
      <c r="M122" s="1482"/>
      <c r="N122" s="1915"/>
      <c r="O122" s="3139"/>
    </row>
    <row r="123" spans="1:16" ht="13.5" customHeight="1" thickBot="1">
      <c r="A123" s="437"/>
      <c r="B123" s="3157"/>
      <c r="C123" s="5838" t="s">
        <v>315</v>
      </c>
      <c r="D123" s="5838"/>
      <c r="E123" s="5838"/>
      <c r="F123" s="1766"/>
      <c r="G123" s="3241"/>
      <c r="H123" s="1915"/>
      <c r="I123" s="3215"/>
      <c r="J123" s="3236" t="s">
        <v>326</v>
      </c>
      <c r="K123" s="3236"/>
      <c r="L123" s="3204">
        <v>5</v>
      </c>
      <c r="M123" s="1482"/>
      <c r="N123" s="1915"/>
      <c r="O123" s="3139"/>
    </row>
    <row r="124" spans="1:16" ht="14.25" customHeight="1" thickBot="1">
      <c r="A124" s="437"/>
      <c r="B124" s="3157"/>
      <c r="C124" s="5838" t="s">
        <v>663</v>
      </c>
      <c r="D124" s="5838"/>
      <c r="E124" s="5838"/>
      <c r="F124" s="1766"/>
      <c r="G124" s="3241"/>
      <c r="H124" s="1915"/>
      <c r="I124" s="3215"/>
      <c r="J124" s="3203" t="s">
        <v>327</v>
      </c>
      <c r="K124" s="3203"/>
      <c r="L124" s="3204">
        <v>6</v>
      </c>
      <c r="M124" s="1482"/>
      <c r="N124" s="1915"/>
      <c r="O124" s="3139"/>
    </row>
    <row r="125" spans="1:16" ht="11.25" customHeight="1" thickBot="1">
      <c r="A125" s="437"/>
      <c r="B125" s="3157"/>
      <c r="C125" s="5838" t="s">
        <v>1237</v>
      </c>
      <c r="D125" s="5838"/>
      <c r="E125" s="5838"/>
      <c r="F125" s="1784"/>
      <c r="G125" s="3317"/>
      <c r="H125" s="1915"/>
      <c r="I125" s="3215"/>
      <c r="J125" s="3203" t="s">
        <v>1237</v>
      </c>
      <c r="K125" s="3203"/>
      <c r="L125" s="3204">
        <v>7</v>
      </c>
      <c r="M125" s="1482"/>
      <c r="N125" s="1915"/>
      <c r="O125" s="3139"/>
    </row>
    <row r="126" spans="1:16" ht="11.25" customHeight="1" thickBot="1">
      <c r="A126" s="437"/>
      <c r="B126" s="1897"/>
      <c r="C126" s="1900" t="s">
        <v>906</v>
      </c>
      <c r="D126" s="1900"/>
      <c r="E126" s="1900"/>
      <c r="F126" s="1900"/>
      <c r="G126" s="3241"/>
      <c r="H126" s="3162"/>
      <c r="I126" s="3223"/>
      <c r="J126" s="3225" t="s">
        <v>716</v>
      </c>
      <c r="K126" s="3225"/>
      <c r="L126" s="3211">
        <v>8</v>
      </c>
      <c r="M126" s="3230"/>
      <c r="N126" s="3226"/>
      <c r="O126" s="3139"/>
    </row>
    <row r="127" spans="1:16" ht="11.25" customHeight="1">
      <c r="A127" s="367"/>
      <c r="I127" s="3178"/>
      <c r="J127" s="3656"/>
      <c r="K127" s="3656"/>
      <c r="L127" s="1766"/>
      <c r="M127" s="3655"/>
      <c r="N127" s="1784"/>
      <c r="O127" s="422"/>
      <c r="P127" s="422"/>
    </row>
    <row r="128" spans="1:16" ht="11.25" customHeight="1">
      <c r="A128" s="367"/>
      <c r="J128" s="3657"/>
      <c r="K128" s="1784"/>
      <c r="L128" s="1766"/>
      <c r="M128" s="1482"/>
      <c r="N128" s="1784"/>
      <c r="O128" s="422"/>
      <c r="P128" s="422"/>
    </row>
    <row r="129" spans="1:14" ht="11.25" customHeight="1">
      <c r="A129" s="367"/>
      <c r="J129" s="422"/>
      <c r="K129" s="422"/>
      <c r="L129" s="422"/>
      <c r="M129" s="445"/>
      <c r="N129" s="422"/>
    </row>
    <row r="130" spans="1:14" ht="11.25" customHeight="1">
      <c r="A130" s="367"/>
    </row>
    <row r="131" spans="1:14" ht="11.25" customHeight="1">
      <c r="A131" s="367"/>
    </row>
    <row r="132" spans="1:14" ht="11.25" customHeight="1">
      <c r="A132" s="367"/>
    </row>
    <row r="133" spans="1:14" ht="11.25" customHeight="1">
      <c r="A133" s="367"/>
    </row>
    <row r="134" spans="1:14" ht="11.25" customHeight="1">
      <c r="A134" s="367"/>
    </row>
    <row r="135" spans="1:14" ht="11.25" customHeight="1">
      <c r="A135" s="367"/>
    </row>
    <row r="136" spans="1:14" ht="11.25" customHeight="1">
      <c r="A136" s="367"/>
    </row>
    <row r="137" spans="1:14" ht="11.25" customHeight="1">
      <c r="A137" s="367"/>
    </row>
    <row r="138" spans="1:14" ht="11.25" customHeight="1">
      <c r="A138" s="367"/>
    </row>
    <row r="139" spans="1:14" ht="11.25" customHeight="1">
      <c r="A139" s="367"/>
    </row>
    <row r="140" spans="1:14" ht="11.25" customHeight="1">
      <c r="A140" s="367"/>
    </row>
    <row r="141" spans="1:14" ht="11.25" customHeight="1">
      <c r="A141" s="367"/>
    </row>
    <row r="142" spans="1:14" ht="11.25" customHeight="1">
      <c r="A142" s="367"/>
    </row>
    <row r="143" spans="1:14" ht="11.25" customHeight="1">
      <c r="A143" s="367"/>
    </row>
    <row r="144" spans="1:14" ht="11.25" customHeight="1">
      <c r="A144" s="367"/>
    </row>
    <row r="145" spans="1:13" ht="11.25" customHeight="1">
      <c r="A145" s="367"/>
    </row>
    <row r="146" spans="1:13" ht="11.25" customHeight="1">
      <c r="A146" s="367"/>
    </row>
    <row r="147" spans="1:13" ht="11.25" customHeight="1">
      <c r="A147" s="367"/>
    </row>
    <row r="148" spans="1:13" ht="11.25" customHeight="1">
      <c r="A148" s="367"/>
    </row>
    <row r="149" spans="1:13" ht="11.25" customHeight="1">
      <c r="A149" s="367"/>
    </row>
    <row r="150" spans="1:13" ht="11.25" customHeight="1">
      <c r="A150" s="367"/>
      <c r="J150" s="3171"/>
      <c r="K150" s="3172"/>
    </row>
    <row r="151" spans="1:13" ht="11.25" customHeight="1">
      <c r="A151" s="367"/>
      <c r="J151" s="3173"/>
      <c r="K151" s="3172"/>
    </row>
    <row r="152" spans="1:13" ht="11.25" customHeight="1">
      <c r="A152" s="367"/>
    </row>
    <row r="153" spans="1:13" ht="11.25" customHeight="1">
      <c r="A153" s="367"/>
    </row>
    <row r="154" spans="1:13" ht="11.25" customHeight="1">
      <c r="A154" s="367"/>
    </row>
    <row r="155" spans="1:13" ht="11.25" customHeight="1">
      <c r="A155" s="437"/>
    </row>
    <row r="156" spans="1:13" ht="11.25" customHeight="1">
      <c r="A156" s="437"/>
    </row>
    <row r="157" spans="1:13" ht="11.25" customHeight="1">
      <c r="A157" s="437"/>
    </row>
    <row r="158" spans="1:13" ht="11.25" customHeight="1">
      <c r="A158" s="437"/>
      <c r="M158" s="3182"/>
    </row>
    <row r="159" spans="1:13" ht="11.25" customHeight="1">
      <c r="A159" s="437"/>
    </row>
    <row r="160" spans="1:13" ht="11.25" customHeight="1">
      <c r="A160" s="437"/>
    </row>
    <row r="161" spans="1:1" ht="11.25" customHeight="1">
      <c r="A161" s="437"/>
    </row>
    <row r="162" spans="1:1" ht="11.25" customHeight="1">
      <c r="A162" s="437"/>
    </row>
  </sheetData>
  <customSheetViews>
    <customSheetView guid="{BDF1A126-BD1D-4A5E-80B8-98941684E462}" showPageBreaks="1" printArea="1" topLeftCell="A85">
      <selection activeCell="S95" sqref="S95"/>
      <colBreaks count="1" manualBreakCount="1">
        <brk id="22" max="1048575" man="1"/>
      </colBreaks>
      <pageMargins left="0.48" right="0.19" top="0.75" bottom="0.75" header="0.32" footer="0.3"/>
      <pageSetup paperSize="9" orientation="portrait" r:id="rId1"/>
      <headerFooter alignWithMargins="0">
        <oddFooter>&amp;L&amp;"Arial Narrow,Regular"&amp;8&amp;D&amp;C&amp;"Arial Narrow,Regular"&amp;8&amp;F</oddFooter>
      </headerFooter>
    </customSheetView>
    <customSheetView guid="{04F0793E-5444-463D-A1D5-E52E08A4C249}" showPageBreaks="1" printArea="1" topLeftCell="A17">
      <selection activeCell="C29" sqref="C29"/>
      <colBreaks count="1" manualBreakCount="1">
        <brk id="22" max="1048575" man="1"/>
      </colBreaks>
      <pageMargins left="0.25" right="0.25" top="0.75" bottom="0.75" header="0.3" footer="0.3"/>
      <pageSetup paperSize="9" orientation="portrait" r:id="rId2"/>
      <headerFooter alignWithMargins="0">
        <oddFooter>&amp;L&amp;"Arial Narrow,Regular"&amp;8&amp;D&amp;C&amp;"Arial Narrow,Regular"&amp;8&amp;F</oddFooter>
      </headerFooter>
    </customSheetView>
    <customSheetView guid="{925F74B5-C2F5-4E55-AFE4-045C56169B44}" showPageBreaks="1" printArea="1" topLeftCell="A31">
      <selection activeCell="AE31" sqref="AE31"/>
      <colBreaks count="1" manualBreakCount="1">
        <brk id="22" max="1048575" man="1"/>
      </colBreaks>
      <pageMargins left="0.25" right="0.25" top="0.75" bottom="0.75" header="0.3" footer="0.3"/>
      <pageSetup paperSize="9" orientation="portrait" r:id="rId3"/>
      <headerFooter alignWithMargins="0">
        <oddFooter>&amp;L&amp;"Arial Narrow,Regular"&amp;8&amp;D&amp;C&amp;"Arial Narrow,Regular"&amp;8&amp;F</oddFooter>
      </headerFooter>
    </customSheetView>
    <customSheetView guid="{1FF58891-F32F-4F97-9812-E2D02F4497AA}">
      <selection activeCell="B5" sqref="B5:B23"/>
      <colBreaks count="1" manualBreakCount="1">
        <brk id="22" max="1048575" man="1"/>
      </colBreaks>
      <pageMargins left="0.48" right="0.19" top="0.75" bottom="0.75" header="0.32" footer="0.3"/>
      <pageSetup paperSize="9" orientation="portrait" r:id="rId4"/>
      <headerFooter alignWithMargins="0">
        <oddFooter>&amp;L&amp;"Arial Narrow,Regular"&amp;8&amp;D&amp;C&amp;"Arial Narrow,Regular"&amp;8&amp;F</oddFooter>
      </headerFooter>
    </customSheetView>
    <customSheetView guid="{2A6091F0-BAF4-46A2-BC20-0DE610E67601}" showPageBreaks="1" printArea="1">
      <selection activeCell="T6" sqref="T6"/>
      <colBreaks count="1" manualBreakCount="1">
        <brk id="22" max="1048575" man="1"/>
      </colBreaks>
      <pageMargins left="0.48" right="0.19" top="0.75" bottom="0.75" header="0.32" footer="0.3"/>
      <pageSetup paperSize="9" orientation="portrait" r:id="rId5"/>
      <headerFooter alignWithMargins="0">
        <oddFooter>&amp;L&amp;"Arial Narrow,Regular"&amp;8&amp;D&amp;C&amp;"Arial Narrow,Regular"&amp;8&amp;F</oddFooter>
      </headerFooter>
    </customSheetView>
    <customSheetView guid="{5111FDC7-EEAC-46C3-8033-47A3563F0C00}" showPageBreaks="1" printArea="1">
      <selection activeCell="S20" sqref="S20"/>
      <colBreaks count="1" manualBreakCount="1">
        <brk id="21" max="1048575" man="1"/>
      </colBreaks>
      <pageMargins left="0.48" right="0.19" top="0.75" bottom="0.75" header="0.32" footer="0.3"/>
      <pageSetup paperSize="9" orientation="portrait" r:id="rId6"/>
      <headerFooter alignWithMargins="0">
        <oddFooter>&amp;L&amp;"Arial Narrow,Regular"&amp;8&amp;D&amp;C&amp;"Arial Narrow,Regular"&amp;8&amp;F</oddFooter>
      </headerFooter>
    </customSheetView>
    <customSheetView guid="{2A5E79E4-584C-4F65-A220-87928CEA02AF}" showPageBreaks="1" printArea="1" topLeftCell="A70">
      <selection activeCell="J102" sqref="J102"/>
      <colBreaks count="1" manualBreakCount="1">
        <brk id="20" max="1048575" man="1"/>
      </colBreaks>
      <pageMargins left="0.48" right="0.19" top="0.75" bottom="0.75" header="0.32" footer="0.3"/>
      <pageSetup paperSize="9" orientation="portrait" r:id="rId7"/>
      <headerFooter alignWithMargins="0">
        <oddFooter>&amp;L&amp;"Arial Narrow,Regular"&amp;8&amp;D&amp;C&amp;"Arial Narrow,Regular"&amp;8&amp;F</oddFooter>
      </headerFooter>
    </customSheetView>
    <customSheetView guid="{66872EF1-41BD-4D4B-B603-B8B0D03DAD22}" showPageBreaks="1" printArea="1" topLeftCell="A83">
      <selection activeCell="Q104" sqref="Q104"/>
      <colBreaks count="1" manualBreakCount="1">
        <brk id="20" max="1048575" man="1"/>
      </colBreaks>
      <pageMargins left="0.48" right="0.19" top="0.75" bottom="0.75" header="0.32" footer="0.3"/>
      <pageSetup paperSize="9" orientation="portrait" r:id="rId8"/>
      <headerFooter alignWithMargins="0">
        <oddFooter>&amp;L&amp;"Arial Narrow,Regular"&amp;8&amp;D&amp;C&amp;"Arial Narrow,Regular"&amp;8&amp;F</oddFooter>
      </headerFooter>
    </customSheetView>
    <customSheetView guid="{ACE56013-11B3-4BF4-BD0B-BF59142DAC13}" showPageBreaks="1" printArea="1" topLeftCell="A97">
      <selection activeCell="J121" sqref="J121"/>
      <colBreaks count="1" manualBreakCount="1">
        <brk id="20" max="1048575" man="1"/>
      </colBreaks>
      <pageMargins left="0.48" right="0.19" top="0.75" bottom="0.75" header="0.32" footer="0.3"/>
      <pageSetup paperSize="9" orientation="portrait" r:id="rId9"/>
      <headerFooter alignWithMargins="0">
        <oddFooter>&amp;L&amp;"Arial Narrow,Regular"&amp;8&amp;D&amp;C&amp;"Arial Narrow,Regular"&amp;8&amp;F</oddFooter>
      </headerFooter>
    </customSheetView>
  </customSheetViews>
  <mergeCells count="65">
    <mergeCell ref="N39:N40"/>
    <mergeCell ref="G108:G109"/>
    <mergeCell ref="N27:N28"/>
    <mergeCell ref="C61:G61"/>
    <mergeCell ref="D114:E114"/>
    <mergeCell ref="C104:E104"/>
    <mergeCell ref="C91:H94"/>
    <mergeCell ref="C111:G112"/>
    <mergeCell ref="C73:E73"/>
    <mergeCell ref="G73:G74"/>
    <mergeCell ref="C74:E75"/>
    <mergeCell ref="F74:F75"/>
    <mergeCell ref="C63:F65"/>
    <mergeCell ref="C69:G72"/>
    <mergeCell ref="C106:G107"/>
    <mergeCell ref="C113:G113"/>
    <mergeCell ref="C125:E125"/>
    <mergeCell ref="D115:E115"/>
    <mergeCell ref="D116:E116"/>
    <mergeCell ref="C117:E117"/>
    <mergeCell ref="C118:E118"/>
    <mergeCell ref="C119:E119"/>
    <mergeCell ref="C120:E121"/>
    <mergeCell ref="C122:E122"/>
    <mergeCell ref="C123:E123"/>
    <mergeCell ref="C124:E124"/>
    <mergeCell ref="C86:E87"/>
    <mergeCell ref="F86:F87"/>
    <mergeCell ref="C102:G103"/>
    <mergeCell ref="N84:N85"/>
    <mergeCell ref="C77:E77"/>
    <mergeCell ref="C78:E78"/>
    <mergeCell ref="C83:E83"/>
    <mergeCell ref="C84:E84"/>
    <mergeCell ref="J79:N82"/>
    <mergeCell ref="G95:G96"/>
    <mergeCell ref="G97:G98"/>
    <mergeCell ref="G99:G100"/>
    <mergeCell ref="C101:F101"/>
    <mergeCell ref="C99:F100"/>
    <mergeCell ref="C97:F98"/>
    <mergeCell ref="C95:F96"/>
    <mergeCell ref="C53:G56"/>
    <mergeCell ref="G33:G34"/>
    <mergeCell ref="C45:G46"/>
    <mergeCell ref="G47:G48"/>
    <mergeCell ref="C34:D34"/>
    <mergeCell ref="C37:D37"/>
    <mergeCell ref="C38:D38"/>
    <mergeCell ref="C31:F33"/>
    <mergeCell ref="J3:N5"/>
    <mergeCell ref="G5:G6"/>
    <mergeCell ref="J7:K7"/>
    <mergeCell ref="C3:F4"/>
    <mergeCell ref="J22:M23"/>
    <mergeCell ref="C16:G17"/>
    <mergeCell ref="G18:G19"/>
    <mergeCell ref="C18:D18"/>
    <mergeCell ref="C21:D21"/>
    <mergeCell ref="C22:D22"/>
    <mergeCell ref="J18:L18"/>
    <mergeCell ref="J19:L19"/>
    <mergeCell ref="J21:L21"/>
    <mergeCell ref="J20:L20"/>
    <mergeCell ref="F104:G105"/>
  </mergeCells>
  <pageMargins left="0.48" right="0.19" top="0.75" bottom="0.75" header="0.32" footer="0.3"/>
  <pageSetup paperSize="9" orientation="portrait" r:id="rId10"/>
  <headerFooter alignWithMargins="0">
    <oddFooter>&amp;L&amp;"Arial Narrow,Regular"&amp;8&amp;D&amp;C&amp;"Arial Narrow,Regular"&amp;8&amp;F</oddFooter>
  </headerFooter>
  <colBreaks count="1" manualBreakCount="1">
    <brk id="20" max="1048575" man="1"/>
  </colBreaks>
  <drawing r:id="rId11"/>
  <legacyDrawing r:id="rId1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154"/>
  <sheetViews>
    <sheetView view="pageBreakPreview" topLeftCell="A105" zoomScale="110" zoomScaleNormal="110" zoomScaleSheetLayoutView="110" workbookViewId="0">
      <selection activeCell="C134" sqref="C134"/>
    </sheetView>
  </sheetViews>
  <sheetFormatPr defaultColWidth="9.140625" defaultRowHeight="11.25" customHeight="1"/>
  <cols>
    <col min="1" max="1" width="5.140625" style="448" customWidth="1"/>
    <col min="2" max="2" width="1.42578125" style="411" customWidth="1"/>
    <col min="3" max="3" width="16.7109375" style="411" customWidth="1"/>
    <col min="4" max="4" width="2.140625" style="411" customWidth="1"/>
    <col min="5" max="5" width="8.140625" style="411" customWidth="1"/>
    <col min="6" max="6" width="8.85546875" style="411" customWidth="1"/>
    <col min="7" max="7" width="7.42578125" style="411" customWidth="1"/>
    <col min="8" max="8" width="1.42578125" style="411" customWidth="1"/>
    <col min="9" max="9" width="5" style="448" customWidth="1"/>
    <col min="10" max="10" width="1.42578125" style="411" customWidth="1"/>
    <col min="11" max="11" width="16.7109375" style="411" customWidth="1"/>
    <col min="12" max="12" width="2.140625" style="411" customWidth="1"/>
    <col min="13" max="13" width="4.28515625" style="411" customWidth="1"/>
    <col min="14" max="14" width="9" style="411" customWidth="1"/>
    <col min="15" max="15" width="6.42578125" style="411" customWidth="1"/>
    <col min="16" max="16" width="1.42578125" style="411" customWidth="1"/>
    <col min="17" max="17" width="6.7109375" style="411" customWidth="1"/>
    <col min="18" max="18" width="12.42578125" style="411" customWidth="1"/>
    <col min="19" max="23" width="6.7109375" style="411" customWidth="1"/>
    <col min="24" max="16384" width="9.140625" style="411"/>
  </cols>
  <sheetData>
    <row r="1" spans="1:20" ht="18.75" customHeight="1">
      <c r="A1" s="2748" t="s">
        <v>1516</v>
      </c>
      <c r="B1" s="2749"/>
      <c r="C1" s="2749"/>
      <c r="D1" s="2750"/>
      <c r="E1" s="2751"/>
      <c r="F1" s="424"/>
      <c r="I1" s="427"/>
      <c r="J1" s="427"/>
      <c r="L1" s="424"/>
      <c r="M1" s="424"/>
      <c r="N1" s="2053" t="s">
        <v>1160</v>
      </c>
    </row>
    <row r="2" spans="1:20" ht="1.5" customHeight="1" thickBot="1">
      <c r="B2" s="418"/>
      <c r="C2" s="418"/>
      <c r="D2" s="428"/>
      <c r="E2" s="418"/>
      <c r="F2" s="418"/>
      <c r="G2" s="418"/>
      <c r="J2" s="418"/>
      <c r="K2" s="418"/>
      <c r="L2" s="428"/>
      <c r="M2" s="418"/>
      <c r="N2" s="418"/>
      <c r="O2" s="418"/>
      <c r="P2" s="418"/>
    </row>
    <row r="3" spans="1:20" ht="11.25" customHeight="1">
      <c r="A3" s="1314">
        <v>2.21</v>
      </c>
      <c r="B3" s="414"/>
      <c r="C3" s="3883" t="s">
        <v>342</v>
      </c>
      <c r="D3" s="3883"/>
      <c r="E3" s="3883"/>
      <c r="F3" s="3883"/>
      <c r="G3" s="415"/>
      <c r="I3" s="3244">
        <v>2.2400000000000002</v>
      </c>
      <c r="J3" s="414"/>
      <c r="K3" s="3885" t="s">
        <v>341</v>
      </c>
      <c r="L3" s="3885"/>
      <c r="M3" s="3885"/>
      <c r="N3" s="3885"/>
      <c r="O3" s="3885"/>
      <c r="P3" s="415"/>
    </row>
    <row r="4" spans="1:20" ht="15.75" customHeight="1">
      <c r="A4" s="449"/>
      <c r="B4" s="416"/>
      <c r="C4" s="3884"/>
      <c r="D4" s="3884"/>
      <c r="E4" s="3884"/>
      <c r="F4" s="3884"/>
      <c r="G4" s="417"/>
      <c r="I4" s="404"/>
      <c r="J4" s="416"/>
      <c r="K4" s="3886"/>
      <c r="L4" s="3886"/>
      <c r="M4" s="3886"/>
      <c r="N4" s="3886"/>
      <c r="O4" s="3886"/>
      <c r="P4" s="417"/>
    </row>
    <row r="5" spans="1:20" ht="11.25" customHeight="1">
      <c r="A5" s="449"/>
      <c r="B5" s="416"/>
      <c r="C5" s="3799" t="s">
        <v>343</v>
      </c>
      <c r="D5" s="3799"/>
      <c r="E5" s="3799"/>
      <c r="F5" s="3799"/>
      <c r="G5" s="417"/>
      <c r="I5" s="404"/>
      <c r="J5" s="416"/>
      <c r="K5" s="3884" t="s">
        <v>1213</v>
      </c>
      <c r="L5" s="3884"/>
      <c r="M5" s="3884"/>
      <c r="N5" s="3884"/>
      <c r="O5" s="2578" t="s">
        <v>219</v>
      </c>
      <c r="P5" s="417"/>
    </row>
    <row r="6" spans="1:20" ht="11.25" customHeight="1">
      <c r="A6" s="449"/>
      <c r="B6" s="416"/>
      <c r="C6" s="3799"/>
      <c r="D6" s="3799"/>
      <c r="E6" s="3799"/>
      <c r="F6" s="3799"/>
      <c r="G6" s="417"/>
      <c r="I6" s="404"/>
      <c r="J6" s="416"/>
      <c r="K6" s="3884"/>
      <c r="L6" s="3884"/>
      <c r="M6" s="3884"/>
      <c r="N6" s="3884"/>
      <c r="O6" s="443"/>
      <c r="P6" s="417"/>
    </row>
    <row r="7" spans="1:20" ht="16.5" customHeight="1">
      <c r="A7" s="449"/>
      <c r="B7" s="416"/>
      <c r="C7" s="3799"/>
      <c r="D7" s="3799"/>
      <c r="E7" s="3799"/>
      <c r="F7" s="3799"/>
      <c r="G7" s="417"/>
      <c r="I7" s="404"/>
      <c r="J7" s="416"/>
      <c r="K7" s="3884"/>
      <c r="L7" s="3884"/>
      <c r="M7" s="3884"/>
      <c r="N7" s="3884"/>
      <c r="O7" s="431"/>
      <c r="P7" s="417"/>
    </row>
    <row r="8" spans="1:20" ht="6" customHeight="1" thickBot="1">
      <c r="A8" s="449"/>
      <c r="B8" s="416"/>
      <c r="C8" s="436"/>
      <c r="D8" s="436"/>
      <c r="E8" s="436"/>
      <c r="F8" s="436"/>
      <c r="G8" s="3529"/>
      <c r="I8" s="404"/>
      <c r="J8" s="419"/>
      <c r="K8" s="3887"/>
      <c r="L8" s="3887"/>
      <c r="M8" s="3887"/>
      <c r="N8" s="3887"/>
      <c r="O8" s="444"/>
      <c r="P8" s="421"/>
    </row>
    <row r="9" spans="1:20" ht="11.25" customHeight="1">
      <c r="A9" s="449"/>
      <c r="B9" s="416"/>
      <c r="C9" s="3890" t="s">
        <v>1811</v>
      </c>
      <c r="D9" s="3890"/>
      <c r="E9" s="3890"/>
      <c r="F9" s="3891"/>
      <c r="G9" s="3892"/>
      <c r="I9" s="3244">
        <f>I3+0.01</f>
        <v>2.25</v>
      </c>
      <c r="J9" s="416"/>
      <c r="K9" s="3888" t="s">
        <v>1704</v>
      </c>
      <c r="L9" s="3888"/>
      <c r="M9" s="3888"/>
      <c r="N9" s="3888"/>
      <c r="O9" s="3888"/>
      <c r="P9" s="417"/>
      <c r="Q9" s="508"/>
      <c r="R9" s="508"/>
      <c r="S9" s="508"/>
      <c r="T9" s="508"/>
    </row>
    <row r="10" spans="1:20" ht="11.25" customHeight="1">
      <c r="A10" s="449"/>
      <c r="B10" s="416"/>
      <c r="C10" s="3703"/>
      <c r="D10" s="3703"/>
      <c r="E10" s="3703"/>
      <c r="F10" s="3704"/>
      <c r="G10" s="3893"/>
      <c r="I10" s="404"/>
      <c r="J10" s="416"/>
      <c r="K10" s="3888"/>
      <c r="L10" s="3888"/>
      <c r="M10" s="3888"/>
      <c r="N10" s="3888"/>
      <c r="O10" s="3888"/>
      <c r="P10" s="417"/>
      <c r="Q10" s="508"/>
      <c r="R10" s="508"/>
      <c r="S10" s="508"/>
      <c r="T10" s="508"/>
    </row>
    <row r="11" spans="1:20" ht="4.5" customHeight="1">
      <c r="A11" s="449"/>
      <c r="B11" s="416"/>
      <c r="C11" s="3703"/>
      <c r="D11" s="3703"/>
      <c r="E11" s="3703"/>
      <c r="F11" s="3704"/>
      <c r="G11" s="3893"/>
      <c r="I11" s="404"/>
      <c r="J11" s="416"/>
      <c r="K11" s="3889"/>
      <c r="L11" s="3889"/>
      <c r="M11" s="3889"/>
      <c r="N11" s="3889"/>
      <c r="O11" s="3889"/>
      <c r="P11" s="417"/>
    </row>
    <row r="12" spans="1:20" ht="11.25" customHeight="1" thickBot="1">
      <c r="A12" s="449"/>
      <c r="B12" s="416"/>
      <c r="C12" s="3431"/>
      <c r="D12" s="3431"/>
      <c r="E12" s="3431"/>
      <c r="F12" s="3432"/>
      <c r="G12" s="3894"/>
      <c r="I12" s="404"/>
      <c r="J12" s="416"/>
      <c r="K12" s="2160" t="s">
        <v>862</v>
      </c>
      <c r="L12" s="1500">
        <v>1</v>
      </c>
      <c r="M12" s="1317"/>
      <c r="N12" s="439"/>
      <c r="O12" s="456"/>
      <c r="P12" s="417"/>
    </row>
    <row r="13" spans="1:20" ht="11.25" customHeight="1">
      <c r="A13" s="449"/>
      <c r="B13" s="416"/>
      <c r="C13" s="3895" t="s">
        <v>1810</v>
      </c>
      <c r="D13" s="3896"/>
      <c r="E13" s="3896"/>
      <c r="F13" s="3897"/>
      <c r="G13" s="3892"/>
      <c r="I13" s="404"/>
      <c r="J13" s="416"/>
      <c r="K13" s="2160" t="s">
        <v>863</v>
      </c>
      <c r="L13" s="1500">
        <v>2</v>
      </c>
      <c r="M13" s="1322" t="s">
        <v>350</v>
      </c>
      <c r="N13" s="439"/>
      <c r="O13" s="440"/>
      <c r="P13" s="417"/>
    </row>
    <row r="14" spans="1:20" ht="27" customHeight="1" thickBot="1">
      <c r="A14" s="449"/>
      <c r="B14" s="416"/>
      <c r="C14" s="3896"/>
      <c r="D14" s="3896"/>
      <c r="E14" s="3896"/>
      <c r="F14" s="3897"/>
      <c r="G14" s="3894"/>
      <c r="I14" s="404"/>
      <c r="J14" s="419"/>
      <c r="K14" s="420"/>
      <c r="L14" s="425"/>
      <c r="M14" s="420"/>
      <c r="N14" s="420"/>
      <c r="O14" s="420"/>
      <c r="P14" s="421"/>
    </row>
    <row r="15" spans="1:20" ht="24" customHeight="1" thickBot="1">
      <c r="A15" s="449"/>
      <c r="B15" s="416"/>
      <c r="C15" s="3908" t="s">
        <v>1812</v>
      </c>
      <c r="D15" s="3908"/>
      <c r="E15" s="3908"/>
      <c r="F15" s="3908"/>
      <c r="G15" s="3527"/>
      <c r="I15" s="404"/>
      <c r="J15" s="416"/>
      <c r="K15" s="418"/>
      <c r="L15" s="343"/>
      <c r="M15" s="418"/>
      <c r="N15" s="418"/>
      <c r="O15" s="492"/>
      <c r="P15" s="417"/>
    </row>
    <row r="16" spans="1:20" ht="11.25" customHeight="1">
      <c r="A16" s="449"/>
      <c r="B16" s="416"/>
      <c r="C16" s="3905" t="s">
        <v>1304</v>
      </c>
      <c r="D16" s="3905"/>
      <c r="E16" s="3905"/>
      <c r="F16" s="3905"/>
      <c r="G16" s="3892"/>
      <c r="I16" s="3244">
        <f>I9+0.01</f>
        <v>2.2599999999999998</v>
      </c>
      <c r="J16" s="416"/>
      <c r="K16" s="3799" t="s">
        <v>1706</v>
      </c>
      <c r="L16" s="3799"/>
      <c r="M16" s="3799"/>
      <c r="N16" s="3799"/>
      <c r="O16" s="2578" t="s">
        <v>219</v>
      </c>
      <c r="P16" s="417"/>
      <c r="Q16" s="508"/>
    </row>
    <row r="17" spans="1:16" ht="11.25" customHeight="1">
      <c r="A17" s="449"/>
      <c r="B17" s="416"/>
      <c r="C17" s="3799"/>
      <c r="D17" s="3799"/>
      <c r="E17" s="3799"/>
      <c r="F17" s="3799"/>
      <c r="G17" s="3893"/>
      <c r="I17" s="404"/>
      <c r="J17" s="416"/>
      <c r="K17" s="3799"/>
      <c r="L17" s="3799"/>
      <c r="M17" s="3799"/>
      <c r="N17" s="3799"/>
      <c r="O17" s="1229"/>
      <c r="P17" s="417"/>
    </row>
    <row r="18" spans="1:16" ht="6" customHeight="1" thickBot="1">
      <c r="A18" s="449"/>
      <c r="B18" s="416"/>
      <c r="C18" s="3799"/>
      <c r="D18" s="3799"/>
      <c r="E18" s="3799"/>
      <c r="F18" s="3799"/>
      <c r="G18" s="3894"/>
      <c r="I18" s="404"/>
      <c r="J18" s="416"/>
      <c r="K18" s="3799"/>
      <c r="L18" s="3799"/>
      <c r="M18" s="3799"/>
      <c r="N18" s="3799"/>
      <c r="O18" s="1239"/>
      <c r="P18" s="417"/>
    </row>
    <row r="19" spans="1:16" ht="11.25" hidden="1" customHeight="1">
      <c r="A19" s="449"/>
      <c r="B19" s="416"/>
      <c r="C19" s="3906"/>
      <c r="D19" s="3906"/>
      <c r="E19" s="3906"/>
      <c r="F19" s="3907"/>
      <c r="G19" s="417"/>
      <c r="I19" s="404"/>
      <c r="J19" s="416"/>
      <c r="K19" s="3799"/>
      <c r="L19" s="3799"/>
      <c r="M19" s="3799"/>
      <c r="N19" s="3799"/>
      <c r="O19" s="3809"/>
      <c r="P19" s="417"/>
    </row>
    <row r="20" spans="1:16" ht="11.25" customHeight="1">
      <c r="A20" s="449"/>
      <c r="B20" s="416"/>
      <c r="C20" s="3899" t="s">
        <v>1813</v>
      </c>
      <c r="D20" s="3900"/>
      <c r="E20" s="3900"/>
      <c r="F20" s="3901"/>
      <c r="G20" s="3892"/>
      <c r="I20" s="404"/>
      <c r="J20" s="416"/>
      <c r="K20" s="3799"/>
      <c r="L20" s="3799"/>
      <c r="M20" s="3799"/>
      <c r="N20" s="3799"/>
      <c r="O20" s="3809"/>
      <c r="P20" s="417"/>
    </row>
    <row r="21" spans="1:16" ht="25.5" customHeight="1" thickBot="1">
      <c r="A21" s="449"/>
      <c r="B21" s="416"/>
      <c r="C21" s="3900"/>
      <c r="D21" s="3900"/>
      <c r="E21" s="3900"/>
      <c r="F21" s="3901"/>
      <c r="G21" s="3894"/>
      <c r="I21" s="404"/>
      <c r="J21" s="416"/>
      <c r="K21" s="3799"/>
      <c r="L21" s="3799"/>
      <c r="M21" s="3799"/>
      <c r="N21" s="3799"/>
      <c r="O21" s="422"/>
      <c r="P21" s="417"/>
    </row>
    <row r="22" spans="1:16" ht="25.5">
      <c r="A22" s="449"/>
      <c r="B22" s="416"/>
      <c r="C22" s="3424" t="s">
        <v>1814</v>
      </c>
      <c r="D22" s="3424"/>
      <c r="E22" s="3424"/>
      <c r="F22" s="3528"/>
      <c r="G22" s="3892"/>
      <c r="I22" s="404"/>
      <c r="J22" s="416"/>
      <c r="K22" s="3799"/>
      <c r="L22" s="3799"/>
      <c r="M22" s="3799"/>
      <c r="N22" s="3799"/>
      <c r="O22" s="422"/>
      <c r="P22" s="417"/>
    </row>
    <row r="23" spans="1:16" ht="6.75" customHeight="1" thickBot="1">
      <c r="A23" s="449"/>
      <c r="B23" s="416"/>
      <c r="C23" s="3424"/>
      <c r="D23" s="3424"/>
      <c r="E23" s="3424"/>
      <c r="F23" s="3528"/>
      <c r="G23" s="3894"/>
      <c r="I23" s="404"/>
      <c r="J23" s="416"/>
      <c r="K23" s="3799"/>
      <c r="L23" s="3799"/>
      <c r="M23" s="3799"/>
      <c r="N23" s="3799"/>
      <c r="O23" s="422"/>
      <c r="P23" s="417"/>
    </row>
    <row r="24" spans="1:16" ht="15.75" customHeight="1">
      <c r="A24" s="449"/>
      <c r="B24" s="416"/>
      <c r="C24" s="3905" t="s">
        <v>1815</v>
      </c>
      <c r="D24" s="3905"/>
      <c r="E24" s="3905"/>
      <c r="F24" s="3905"/>
      <c r="G24" s="3892"/>
      <c r="I24" s="404"/>
      <c r="J24" s="416"/>
      <c r="K24" s="3898"/>
      <c r="L24" s="3898"/>
      <c r="M24" s="3898"/>
      <c r="N24" s="3898"/>
      <c r="O24" s="1318"/>
      <c r="P24" s="417"/>
    </row>
    <row r="25" spans="1:16" ht="9.75" customHeight="1" thickBot="1">
      <c r="A25" s="449"/>
      <c r="B25" s="416"/>
      <c r="C25" s="3906"/>
      <c r="D25" s="3906"/>
      <c r="E25" s="3906"/>
      <c r="F25" s="3906"/>
      <c r="G25" s="3894"/>
      <c r="I25" s="404"/>
      <c r="J25" s="416"/>
      <c r="K25" s="3902" t="s">
        <v>857</v>
      </c>
      <c r="L25" s="3903"/>
      <c r="M25" s="3903"/>
      <c r="N25" s="3903"/>
      <c r="O25" s="422"/>
      <c r="P25" s="417"/>
    </row>
    <row r="26" spans="1:16" ht="11.25" customHeight="1">
      <c r="A26" s="449"/>
      <c r="B26" s="416"/>
      <c r="C26" s="3895" t="s">
        <v>1816</v>
      </c>
      <c r="D26" s="3896"/>
      <c r="E26" s="3896"/>
      <c r="F26" s="3904"/>
      <c r="G26" s="3892"/>
      <c r="I26" s="404"/>
      <c r="J26" s="416"/>
      <c r="K26" s="3858"/>
      <c r="L26" s="3858"/>
      <c r="M26" s="3858"/>
      <c r="N26" s="3858"/>
      <c r="O26" s="422"/>
      <c r="P26" s="417"/>
    </row>
    <row r="27" spans="1:16" ht="11.25" customHeight="1" thickBot="1">
      <c r="A27" s="449"/>
      <c r="B27" s="416"/>
      <c r="C27" s="3896"/>
      <c r="D27" s="3896"/>
      <c r="E27" s="3896"/>
      <c r="F27" s="3904"/>
      <c r="G27" s="3894"/>
      <c r="I27" s="404"/>
      <c r="J27" s="416"/>
      <c r="K27" s="3858"/>
      <c r="L27" s="3858"/>
      <c r="M27" s="3858"/>
      <c r="N27" s="3858"/>
      <c r="O27" s="422"/>
      <c r="P27" s="417"/>
    </row>
    <row r="28" spans="1:16" ht="11.25" customHeight="1">
      <c r="A28" s="449"/>
      <c r="B28" s="416"/>
      <c r="C28" s="3895" t="s">
        <v>1817</v>
      </c>
      <c r="D28" s="3896"/>
      <c r="E28" s="3896"/>
      <c r="F28" s="3904"/>
      <c r="G28" s="3892"/>
      <c r="I28" s="404"/>
      <c r="J28" s="416"/>
      <c r="K28" s="3927" t="s">
        <v>1370</v>
      </c>
      <c r="L28" s="1319"/>
      <c r="M28" s="1320"/>
      <c r="N28" s="1321"/>
      <c r="O28" s="3929"/>
      <c r="P28" s="417"/>
    </row>
    <row r="29" spans="1:16" ht="7.5" customHeight="1" thickBot="1">
      <c r="A29" s="449"/>
      <c r="B29" s="416"/>
      <c r="C29" s="3896"/>
      <c r="D29" s="3896"/>
      <c r="E29" s="3896"/>
      <c r="F29" s="3904"/>
      <c r="G29" s="3894"/>
      <c r="I29" s="404"/>
      <c r="J29" s="416"/>
      <c r="K29" s="3928"/>
      <c r="L29" s="432"/>
      <c r="M29" s="441"/>
      <c r="N29" s="433"/>
      <c r="O29" s="3929"/>
      <c r="P29" s="417"/>
    </row>
    <row r="30" spans="1:16" ht="7.5" customHeight="1">
      <c r="A30" s="449"/>
      <c r="B30" s="416"/>
      <c r="C30" s="3899" t="s">
        <v>1818</v>
      </c>
      <c r="D30" s="3900"/>
      <c r="E30" s="3900"/>
      <c r="F30" s="3901"/>
      <c r="G30" s="3892"/>
      <c r="I30" s="404"/>
      <c r="J30" s="416"/>
      <c r="K30" s="3932" t="s">
        <v>1371</v>
      </c>
      <c r="L30" s="1319"/>
      <c r="M30" s="1320"/>
      <c r="N30" s="1321"/>
      <c r="O30" s="3933"/>
      <c r="P30" s="417"/>
    </row>
    <row r="31" spans="1:16" ht="11.25" customHeight="1" thickBot="1">
      <c r="A31" s="449"/>
      <c r="B31" s="416"/>
      <c r="C31" s="3930"/>
      <c r="D31" s="3930"/>
      <c r="E31" s="3930"/>
      <c r="F31" s="3931"/>
      <c r="G31" s="3894"/>
      <c r="I31" s="404"/>
      <c r="J31" s="416"/>
      <c r="K31" s="3932"/>
      <c r="L31" s="432"/>
      <c r="M31" s="441"/>
      <c r="N31" s="433"/>
      <c r="O31" s="3933"/>
      <c r="P31" s="417"/>
    </row>
    <row r="32" spans="1:16" ht="11.25" customHeight="1">
      <c r="A32" s="449"/>
      <c r="B32" s="416"/>
      <c r="C32" s="3913" t="s">
        <v>1833</v>
      </c>
      <c r="D32" s="3914"/>
      <c r="E32" s="3914"/>
      <c r="F32" s="3915"/>
      <c r="G32" s="3892"/>
      <c r="I32" s="404"/>
      <c r="J32" s="416"/>
      <c r="K32" s="1241"/>
      <c r="L32" s="422"/>
      <c r="M32" s="422"/>
      <c r="N32" s="422"/>
      <c r="O32" s="1240"/>
      <c r="P32" s="417"/>
    </row>
    <row r="33" spans="1:18" ht="11.25" customHeight="1" thickBot="1">
      <c r="A33" s="449"/>
      <c r="B33" s="416"/>
      <c r="C33" s="3916"/>
      <c r="D33" s="3917"/>
      <c r="E33" s="3917"/>
      <c r="F33" s="3918"/>
      <c r="G33" s="3894"/>
      <c r="I33" s="404"/>
      <c r="J33" s="416"/>
      <c r="K33" s="3710" t="s">
        <v>1372</v>
      </c>
      <c r="L33" s="3710"/>
      <c r="M33" s="3710"/>
      <c r="N33" s="3710"/>
      <c r="O33" s="2578" t="s">
        <v>219</v>
      </c>
      <c r="P33" s="417"/>
    </row>
    <row r="34" spans="1:18" ht="11.25" customHeight="1" thickBot="1">
      <c r="A34" s="449"/>
      <c r="B34" s="419"/>
      <c r="C34" s="420"/>
      <c r="D34" s="420"/>
      <c r="E34" s="420"/>
      <c r="F34" s="420"/>
      <c r="G34" s="421"/>
      <c r="I34" s="404"/>
      <c r="J34" s="416"/>
      <c r="K34" s="3710"/>
      <c r="L34" s="3710"/>
      <c r="M34" s="3710"/>
      <c r="N34" s="3710"/>
      <c r="O34" s="443"/>
      <c r="P34" s="417"/>
    </row>
    <row r="35" spans="1:18" ht="11.25" customHeight="1">
      <c r="A35" s="1314">
        <f>A3+0.01</f>
        <v>2.2199999999999998</v>
      </c>
      <c r="B35" s="414"/>
      <c r="C35" s="3919" t="s">
        <v>1904</v>
      </c>
      <c r="D35" s="3919"/>
      <c r="E35" s="3919"/>
      <c r="F35" s="3919"/>
      <c r="G35" s="415"/>
      <c r="I35" s="404"/>
      <c r="J35" s="416"/>
      <c r="K35" s="3710"/>
      <c r="L35" s="3710"/>
      <c r="M35" s="3710"/>
      <c r="N35" s="3710"/>
      <c r="O35" s="431"/>
      <c r="P35" s="417"/>
    </row>
    <row r="36" spans="1:18" ht="15.75" customHeight="1" thickBot="1">
      <c r="A36" s="449"/>
      <c r="B36" s="416"/>
      <c r="C36" s="3888"/>
      <c r="D36" s="3888"/>
      <c r="E36" s="3888"/>
      <c r="F36" s="3888"/>
      <c r="G36" s="417"/>
      <c r="I36" s="404"/>
      <c r="J36" s="416"/>
      <c r="K36" s="3920"/>
      <c r="L36" s="3920"/>
      <c r="M36" s="3920"/>
      <c r="N36" s="3920"/>
      <c r="O36" s="2578" t="s">
        <v>219</v>
      </c>
      <c r="P36" s="417"/>
    </row>
    <row r="37" spans="1:18" ht="11.25" customHeight="1">
      <c r="A37" s="449"/>
      <c r="B37" s="416"/>
      <c r="C37" s="1309" t="s">
        <v>862</v>
      </c>
      <c r="D37" s="1316">
        <v>1</v>
      </c>
      <c r="E37" s="1322" t="s">
        <v>344</v>
      </c>
      <c r="F37" s="439"/>
      <c r="G37" s="3892"/>
      <c r="I37" s="404"/>
      <c r="J37" s="3595"/>
      <c r="K37" s="3921" t="s">
        <v>1893</v>
      </c>
      <c r="L37" s="3922"/>
      <c r="M37" s="3922"/>
      <c r="N37" s="3923"/>
      <c r="O37" s="3643"/>
      <c r="P37" s="417"/>
    </row>
    <row r="38" spans="1:18" ht="11.25" customHeight="1" thickBot="1">
      <c r="A38" s="449"/>
      <c r="B38" s="416"/>
      <c r="C38" s="1309" t="s">
        <v>863</v>
      </c>
      <c r="D38" s="1316">
        <v>2</v>
      </c>
      <c r="E38" s="1317"/>
      <c r="F38" s="439"/>
      <c r="G38" s="3894"/>
      <c r="I38" s="404"/>
      <c r="J38" s="3595"/>
      <c r="K38" s="3924"/>
      <c r="L38" s="3925"/>
      <c r="M38" s="3925"/>
      <c r="N38" s="3926"/>
      <c r="O38" s="3594"/>
      <c r="P38" s="417"/>
    </row>
    <row r="39" spans="1:18" ht="6" customHeight="1" thickBot="1">
      <c r="A39" s="449"/>
      <c r="B39" s="426"/>
      <c r="C39" s="426"/>
      <c r="D39" s="442"/>
      <c r="E39" s="426"/>
      <c r="F39" s="426"/>
      <c r="G39" s="426"/>
      <c r="I39" s="404"/>
      <c r="J39" s="416"/>
      <c r="K39" s="2185"/>
      <c r="L39" s="2185"/>
      <c r="M39" s="2185"/>
      <c r="N39" s="2185"/>
      <c r="O39" s="2161"/>
      <c r="P39" s="417"/>
    </row>
    <row r="40" spans="1:18" ht="18" customHeight="1" thickBot="1">
      <c r="A40" s="449"/>
      <c r="B40" s="420"/>
      <c r="C40" s="3597" t="s">
        <v>1690</v>
      </c>
      <c r="D40" s="3598"/>
      <c r="E40" s="3599"/>
      <c r="F40" s="3599"/>
      <c r="G40" s="3599"/>
      <c r="H40" s="2750"/>
      <c r="I40" s="404"/>
      <c r="J40" s="416"/>
      <c r="K40" s="3909" t="s">
        <v>1891</v>
      </c>
      <c r="L40" s="3864"/>
      <c r="M40" s="3864"/>
      <c r="N40" s="3865"/>
      <c r="O40" s="2183"/>
      <c r="P40" s="417"/>
      <c r="Q40" s="418"/>
      <c r="R40" s="418"/>
    </row>
    <row r="41" spans="1:18" ht="18.75" customHeight="1" thickBot="1">
      <c r="A41" s="1314">
        <f>A35+0.01</f>
        <v>2.2299999999999995</v>
      </c>
      <c r="B41" s="414"/>
      <c r="C41" s="3919" t="s">
        <v>1734</v>
      </c>
      <c r="D41" s="3919"/>
      <c r="E41" s="3919"/>
      <c r="F41" s="3919"/>
      <c r="G41" s="1099"/>
      <c r="H41" s="2750"/>
      <c r="I41" s="404"/>
      <c r="J41" s="416"/>
      <c r="K41" s="3910"/>
      <c r="L41" s="3911"/>
      <c r="M41" s="3911"/>
      <c r="N41" s="3912"/>
      <c r="O41" s="2184"/>
      <c r="P41" s="417"/>
      <c r="Q41" s="418"/>
    </row>
    <row r="42" spans="1:18" ht="8.25" customHeight="1" thickBot="1">
      <c r="A42" s="1314"/>
      <c r="B42" s="416"/>
      <c r="C42" s="3888"/>
      <c r="D42" s="3888"/>
      <c r="E42" s="3888"/>
      <c r="F42" s="3888"/>
      <c r="G42" s="807"/>
      <c r="H42" s="2750"/>
      <c r="I42" s="404"/>
      <c r="J42" s="419"/>
      <c r="K42" s="420"/>
      <c r="L42" s="420"/>
      <c r="M42" s="420"/>
      <c r="N42" s="420"/>
      <c r="O42" s="420"/>
      <c r="P42" s="421"/>
      <c r="Q42" s="418"/>
    </row>
    <row r="43" spans="1:18" ht="4.5" customHeight="1" thickBot="1">
      <c r="A43" s="449"/>
      <c r="B43" s="416"/>
      <c r="C43" s="3888"/>
      <c r="D43" s="3888"/>
      <c r="E43" s="3888"/>
      <c r="F43" s="3888"/>
      <c r="G43" s="807"/>
      <c r="H43" s="2750"/>
      <c r="J43" s="416"/>
      <c r="K43" s="418"/>
      <c r="L43" s="418"/>
      <c r="M43" s="418"/>
      <c r="N43" s="418"/>
      <c r="O43" s="418"/>
      <c r="P43" s="417"/>
      <c r="Q43" s="418"/>
    </row>
    <row r="44" spans="1:18" ht="15.75" customHeight="1">
      <c r="A44" s="449"/>
      <c r="B44" s="416"/>
      <c r="C44" s="436"/>
      <c r="D44" s="436"/>
      <c r="E44" s="436"/>
      <c r="F44" s="436"/>
      <c r="G44" s="417"/>
      <c r="I44" s="3244">
        <f>+I16+0.01</f>
        <v>2.2699999999999996</v>
      </c>
      <c r="J44" s="416"/>
      <c r="K44" s="3883" t="s">
        <v>1754</v>
      </c>
      <c r="L44" s="3883"/>
      <c r="M44" s="3883"/>
      <c r="N44" s="3883"/>
      <c r="O44" s="3883"/>
      <c r="P44" s="417"/>
      <c r="Q44" s="418"/>
    </row>
    <row r="45" spans="1:18" ht="15" customHeight="1" thickBot="1">
      <c r="A45" s="449"/>
      <c r="B45" s="416"/>
      <c r="C45" s="3596" t="s">
        <v>1693</v>
      </c>
      <c r="D45" s="2750"/>
      <c r="E45" s="2750"/>
      <c r="F45" s="2750"/>
      <c r="G45" s="417"/>
      <c r="I45" s="404"/>
      <c r="J45" s="416"/>
      <c r="K45" s="3884"/>
      <c r="L45" s="3884"/>
      <c r="M45" s="3884"/>
      <c r="N45" s="3884"/>
      <c r="O45" s="3884"/>
      <c r="P45" s="417"/>
      <c r="Q45" s="418"/>
    </row>
    <row r="46" spans="1:18" ht="29.25" customHeight="1">
      <c r="A46" s="449"/>
      <c r="B46" s="416"/>
      <c r="C46" s="3871" t="s">
        <v>1303</v>
      </c>
      <c r="D46" s="3871"/>
      <c r="E46" s="3871"/>
      <c r="F46" s="3871"/>
      <c r="G46" s="3892"/>
      <c r="I46" s="404"/>
      <c r="J46" s="416"/>
      <c r="K46" s="3884"/>
      <c r="L46" s="3884"/>
      <c r="M46" s="3884"/>
      <c r="N46" s="3884"/>
      <c r="O46" s="3884"/>
      <c r="P46" s="417"/>
      <c r="Q46" s="418"/>
    </row>
    <row r="47" spans="1:18" ht="11.25" customHeight="1" thickBot="1">
      <c r="A47" s="449"/>
      <c r="B47" s="416"/>
      <c r="C47" s="3247"/>
      <c r="D47" s="3247"/>
      <c r="E47" s="3247"/>
      <c r="F47" s="3530"/>
      <c r="G47" s="3894"/>
      <c r="I47" s="404"/>
      <c r="J47" s="416"/>
      <c r="K47" s="1309" t="s">
        <v>862</v>
      </c>
      <c r="L47" s="1316">
        <v>1</v>
      </c>
      <c r="M47" s="1317"/>
      <c r="N47" s="439"/>
      <c r="O47" s="3411"/>
      <c r="P47" s="418"/>
      <c r="Q47" s="418"/>
    </row>
    <row r="48" spans="1:18" ht="25.5" customHeight="1" thickBot="1">
      <c r="A48" s="449"/>
      <c r="B48" s="416"/>
      <c r="C48" s="3871" t="s">
        <v>1856</v>
      </c>
      <c r="D48" s="3945"/>
      <c r="E48" s="3945"/>
      <c r="F48" s="3946"/>
      <c r="G48" s="3527"/>
      <c r="I48" s="404"/>
      <c r="J48" s="416"/>
      <c r="K48" s="3644" t="s">
        <v>863</v>
      </c>
      <c r="L48" s="1316">
        <v>2</v>
      </c>
      <c r="M48" s="1475" t="s">
        <v>813</v>
      </c>
      <c r="N48" s="1468"/>
      <c r="O48" s="3410"/>
      <c r="P48" s="2989"/>
      <c r="Q48" s="418"/>
    </row>
    <row r="49" spans="1:22" ht="5.25" customHeight="1" thickBot="1">
      <c r="A49" s="449"/>
      <c r="B49" s="416"/>
      <c r="C49" s="3937" t="s">
        <v>1694</v>
      </c>
      <c r="D49" s="3937"/>
      <c r="E49" s="3937"/>
      <c r="F49" s="3937"/>
      <c r="G49" s="3531"/>
      <c r="I49" s="404"/>
      <c r="J49" s="419"/>
      <c r="K49" s="420"/>
      <c r="L49" s="425"/>
      <c r="M49" s="420"/>
      <c r="N49" s="420"/>
      <c r="O49" s="420"/>
      <c r="P49" s="421"/>
      <c r="Q49" s="418"/>
    </row>
    <row r="50" spans="1:22" ht="11.25" customHeight="1" thickBot="1">
      <c r="A50" s="449"/>
      <c r="B50" s="416"/>
      <c r="C50" s="3938"/>
      <c r="D50" s="3938"/>
      <c r="E50" s="3938"/>
      <c r="F50" s="3939"/>
      <c r="G50" s="3531"/>
      <c r="I50" s="3244">
        <f>+I44+0.01</f>
        <v>2.2799999999999994</v>
      </c>
      <c r="J50" s="414"/>
      <c r="K50" s="3934" t="s">
        <v>1476</v>
      </c>
      <c r="L50" s="3934"/>
      <c r="M50" s="3934"/>
      <c r="N50" s="3934"/>
      <c r="O50" s="2576" t="s">
        <v>219</v>
      </c>
      <c r="P50" s="415"/>
      <c r="Q50" s="418"/>
    </row>
    <row r="51" spans="1:22" ht="14.25" customHeight="1">
      <c r="A51" s="449"/>
      <c r="B51" s="416"/>
      <c r="C51" s="3940" t="s">
        <v>1692</v>
      </c>
      <c r="D51" s="3940"/>
      <c r="E51" s="3940"/>
      <c r="F51" s="3871"/>
      <c r="G51" s="3892"/>
      <c r="I51" s="404"/>
      <c r="J51" s="416"/>
      <c r="K51" s="3935"/>
      <c r="L51" s="3935"/>
      <c r="M51" s="3935"/>
      <c r="N51" s="3935"/>
      <c r="O51" s="1470"/>
      <c r="P51" s="417"/>
      <c r="Q51" s="418"/>
    </row>
    <row r="52" spans="1:22" ht="12" customHeight="1" thickBot="1">
      <c r="A52" s="449"/>
      <c r="B52" s="416"/>
      <c r="C52" s="3941"/>
      <c r="D52" s="3941"/>
      <c r="E52" s="3941"/>
      <c r="F52" s="3942"/>
      <c r="G52" s="3894"/>
      <c r="I52" s="404"/>
      <c r="J52" s="416"/>
      <c r="K52" s="3935"/>
      <c r="L52" s="3935"/>
      <c r="M52" s="3935"/>
      <c r="N52" s="3935"/>
      <c r="O52" s="429"/>
      <c r="P52" s="417"/>
      <c r="V52" s="418"/>
    </row>
    <row r="53" spans="1:22" ht="11.25" customHeight="1" thickBot="1">
      <c r="A53" s="449"/>
      <c r="B53" s="416"/>
      <c r="C53" s="3943" t="s">
        <v>1733</v>
      </c>
      <c r="D53" s="3943"/>
      <c r="E53" s="3943"/>
      <c r="F53" s="3943"/>
      <c r="G53" s="3892"/>
      <c r="I53" s="404"/>
      <c r="J53" s="419"/>
      <c r="K53" s="3936"/>
      <c r="L53" s="3936"/>
      <c r="M53" s="3936"/>
      <c r="N53" s="3936"/>
      <c r="O53" s="420"/>
      <c r="P53" s="421"/>
      <c r="Q53" s="418"/>
    </row>
    <row r="54" spans="1:22" ht="28.5" customHeight="1" thickBot="1">
      <c r="A54" s="449"/>
      <c r="B54" s="416"/>
      <c r="C54" s="3944"/>
      <c r="D54" s="3944"/>
      <c r="E54" s="3944"/>
      <c r="F54" s="3944"/>
      <c r="G54" s="3894"/>
      <c r="I54" s="3244">
        <f>+I50+0.01</f>
        <v>2.2899999999999991</v>
      </c>
      <c r="J54" s="416"/>
      <c r="K54" s="3884" t="s">
        <v>814</v>
      </c>
      <c r="L54" s="3884"/>
      <c r="M54" s="3884"/>
      <c r="N54" s="3884"/>
      <c r="O54" s="3884"/>
      <c r="P54" s="417"/>
      <c r="Q54" s="418"/>
    </row>
    <row r="55" spans="1:22" ht="11.25" customHeight="1" thickBot="1">
      <c r="A55" s="449"/>
      <c r="B55" s="416"/>
      <c r="C55" s="3975" t="s">
        <v>1691</v>
      </c>
      <c r="D55" s="3975"/>
      <c r="E55" s="3975"/>
      <c r="F55" s="3975"/>
      <c r="G55" s="3892"/>
      <c r="I55" s="404"/>
      <c r="J55" s="416"/>
      <c r="K55" s="3884"/>
      <c r="L55" s="3884"/>
      <c r="M55" s="3884"/>
      <c r="N55" s="3884"/>
      <c r="O55" s="3884"/>
      <c r="P55" s="417"/>
      <c r="Q55" s="418"/>
    </row>
    <row r="56" spans="1:22" ht="11.25" hidden="1" customHeight="1" thickBot="1">
      <c r="A56" s="449"/>
      <c r="B56" s="416"/>
      <c r="C56" s="3884"/>
      <c r="D56" s="3884"/>
      <c r="E56" s="3884"/>
      <c r="F56" s="3884"/>
      <c r="G56" s="3893"/>
      <c r="I56" s="404"/>
      <c r="J56" s="416"/>
      <c r="K56" s="1309" t="s">
        <v>862</v>
      </c>
      <c r="L56" s="1316">
        <v>1</v>
      </c>
      <c r="M56" s="1475"/>
      <c r="N56" s="1468"/>
      <c r="O56" s="1471"/>
      <c r="P56" s="417"/>
      <c r="Q56" s="418"/>
    </row>
    <row r="57" spans="1:22" ht="9.75" customHeight="1">
      <c r="A57" s="449"/>
      <c r="B57" s="416"/>
      <c r="C57" s="3884"/>
      <c r="D57" s="3884"/>
      <c r="E57" s="3884"/>
      <c r="F57" s="3884"/>
      <c r="G57" s="3893"/>
      <c r="I57" s="404"/>
      <c r="J57" s="416"/>
      <c r="K57" s="1493" t="s">
        <v>862</v>
      </c>
      <c r="L57" s="411">
        <v>1</v>
      </c>
      <c r="N57" s="1468"/>
      <c r="O57" s="2891"/>
      <c r="P57" s="417"/>
      <c r="Q57" s="418"/>
    </row>
    <row r="58" spans="1:22" ht="15" customHeight="1" thickBot="1">
      <c r="A58" s="449"/>
      <c r="B58" s="416"/>
      <c r="C58" s="3976"/>
      <c r="D58" s="3976"/>
      <c r="E58" s="3976"/>
      <c r="F58" s="3976"/>
      <c r="G58" s="3894"/>
      <c r="I58" s="404"/>
      <c r="J58" s="419"/>
      <c r="K58" s="3453" t="s">
        <v>863</v>
      </c>
      <c r="L58" s="2889">
        <v>2</v>
      </c>
      <c r="M58" s="2890" t="s">
        <v>1595</v>
      </c>
      <c r="N58" s="420"/>
      <c r="O58" s="2892"/>
      <c r="P58" s="421"/>
      <c r="Q58" s="418"/>
    </row>
    <row r="59" spans="1:22" ht="11.25" customHeight="1">
      <c r="A59" s="449"/>
      <c r="B59" s="416"/>
      <c r="C59" s="3977" t="s">
        <v>816</v>
      </c>
      <c r="D59" s="3977"/>
      <c r="E59" s="3977"/>
      <c r="F59" s="3977"/>
      <c r="G59" s="417"/>
      <c r="I59" s="404"/>
      <c r="J59" s="418"/>
      <c r="K59" s="446"/>
      <c r="L59" s="446"/>
      <c r="M59" s="446"/>
      <c r="N59" s="446"/>
      <c r="O59" s="422"/>
      <c r="P59" s="418"/>
      <c r="Q59" s="418"/>
    </row>
    <row r="60" spans="1:22" ht="11.25" customHeight="1" thickBot="1">
      <c r="A60" s="449"/>
      <c r="B60" s="419"/>
      <c r="C60" s="3978"/>
      <c r="D60" s="3978"/>
      <c r="E60" s="3978"/>
      <c r="F60" s="3978"/>
      <c r="G60" s="421"/>
      <c r="I60" s="404"/>
      <c r="J60" s="418"/>
      <c r="K60" s="447"/>
      <c r="L60" s="447"/>
      <c r="M60" s="447"/>
      <c r="N60" s="445"/>
      <c r="O60" s="422"/>
      <c r="P60" s="418"/>
      <c r="Q60" s="418"/>
    </row>
    <row r="61" spans="1:22" ht="11.25" customHeight="1">
      <c r="A61" s="449"/>
      <c r="I61" s="404"/>
      <c r="J61" s="418"/>
      <c r="K61" s="447"/>
      <c r="L61" s="447"/>
      <c r="M61" s="447"/>
      <c r="N61" s="445"/>
      <c r="O61" s="422"/>
      <c r="P61" s="418"/>
      <c r="Q61" s="418"/>
    </row>
    <row r="62" spans="1:22" ht="11.25" customHeight="1">
      <c r="A62" s="449"/>
      <c r="I62" s="404"/>
      <c r="J62" s="418"/>
      <c r="K62" s="434"/>
      <c r="L62" s="434"/>
      <c r="M62" s="434"/>
      <c r="N62" s="434"/>
      <c r="O62" s="422"/>
      <c r="P62" s="418"/>
      <c r="Q62" s="418"/>
    </row>
    <row r="63" spans="1:22" ht="15" customHeight="1">
      <c r="A63" s="551" t="s">
        <v>1243</v>
      </c>
      <c r="B63" s="1473"/>
      <c r="C63" s="1473"/>
      <c r="E63" s="424"/>
      <c r="F63" s="424"/>
      <c r="J63" s="418"/>
      <c r="K63" s="434"/>
      <c r="L63" s="434"/>
      <c r="M63" s="434"/>
      <c r="N63" s="2053" t="s">
        <v>1162</v>
      </c>
      <c r="O63" s="422"/>
      <c r="P63" s="418"/>
    </row>
    <row r="64" spans="1:22" ht="11.25" customHeight="1">
      <c r="A64" s="449"/>
      <c r="I64" s="1473"/>
      <c r="Q64" s="418"/>
    </row>
    <row r="65" spans="1:17" ht="11.25" customHeight="1" thickBot="1">
      <c r="A65" s="449"/>
      <c r="J65" s="1473"/>
      <c r="L65" s="424"/>
      <c r="M65" s="424"/>
      <c r="N65" s="424"/>
      <c r="Q65" s="418"/>
    </row>
    <row r="66" spans="1:17" ht="11.25" customHeight="1" thickBot="1">
      <c r="A66" s="1314">
        <f>+I54+0.01</f>
        <v>2.2999999999999989</v>
      </c>
      <c r="B66" s="414"/>
      <c r="C66" s="3883" t="s">
        <v>815</v>
      </c>
      <c r="D66" s="3883"/>
      <c r="E66" s="3883"/>
      <c r="F66" s="3883"/>
      <c r="G66" s="415"/>
      <c r="I66" s="3244">
        <f>A99+0.01</f>
        <v>2.3399999999999981</v>
      </c>
      <c r="J66" s="414"/>
      <c r="K66" s="3972" t="s">
        <v>345</v>
      </c>
      <c r="L66" s="3972"/>
      <c r="M66" s="3972"/>
      <c r="N66" s="3972"/>
      <c r="O66" s="2574"/>
      <c r="P66" s="415"/>
      <c r="Q66" s="418"/>
    </row>
    <row r="67" spans="1:17" ht="11.25" customHeight="1">
      <c r="A67" s="449"/>
      <c r="B67" s="416"/>
      <c r="C67" s="2163"/>
      <c r="D67" s="2163"/>
      <c r="E67" s="3450" t="s">
        <v>865</v>
      </c>
      <c r="F67" s="2891"/>
      <c r="G67" s="417"/>
      <c r="J67" s="416"/>
      <c r="K67" s="3973"/>
      <c r="L67" s="3973"/>
      <c r="M67" s="3973"/>
      <c r="N67" s="3973"/>
      <c r="O67" s="2575"/>
      <c r="P67" s="417"/>
      <c r="Q67" s="418"/>
    </row>
    <row r="68" spans="1:17" ht="11.25" customHeight="1" thickBot="1">
      <c r="A68" s="449"/>
      <c r="B68" s="416"/>
      <c r="C68" s="2163"/>
      <c r="D68" s="2163"/>
      <c r="E68" s="3451" t="s">
        <v>864</v>
      </c>
      <c r="F68" s="3452"/>
      <c r="G68" s="417"/>
      <c r="I68" s="404"/>
      <c r="J68" s="416"/>
      <c r="K68" s="3974"/>
      <c r="L68" s="3974"/>
      <c r="M68" s="3974"/>
      <c r="N68" s="3974"/>
      <c r="O68" s="1853" t="s">
        <v>219</v>
      </c>
      <c r="P68" s="417"/>
      <c r="Q68" s="418"/>
    </row>
    <row r="69" spans="1:17" ht="11.25" customHeight="1" thickBot="1">
      <c r="A69" s="449"/>
      <c r="B69" s="419"/>
      <c r="C69" s="1474"/>
      <c r="D69" s="1474"/>
      <c r="E69" s="1474"/>
      <c r="F69" s="1474"/>
      <c r="G69" s="421"/>
      <c r="I69" s="404"/>
      <c r="J69" s="416"/>
      <c r="K69" s="3965" t="s">
        <v>1376</v>
      </c>
      <c r="L69" s="3965"/>
      <c r="M69" s="3965"/>
      <c r="N69" s="3966"/>
      <c r="O69" s="3967"/>
      <c r="P69" s="417"/>
      <c r="Q69" s="418"/>
    </row>
    <row r="70" spans="1:17" ht="12.75">
      <c r="A70" s="1314">
        <f>+A66+0.01</f>
        <v>2.3099999999999987</v>
      </c>
      <c r="B70" s="414"/>
      <c r="C70" s="3883" t="s">
        <v>1373</v>
      </c>
      <c r="D70" s="3934"/>
      <c r="E70" s="3934"/>
      <c r="F70" s="3934"/>
      <c r="G70" s="3892"/>
      <c r="I70" s="404"/>
      <c r="J70" s="416"/>
      <c r="K70" s="3965"/>
      <c r="L70" s="3965"/>
      <c r="M70" s="3965"/>
      <c r="N70" s="3966"/>
      <c r="O70" s="3968"/>
      <c r="P70" s="417"/>
      <c r="Q70" s="418"/>
    </row>
    <row r="71" spans="1:17" ht="21.75" customHeight="1">
      <c r="A71" s="449"/>
      <c r="B71" s="416"/>
      <c r="C71" s="3935"/>
      <c r="D71" s="3935"/>
      <c r="E71" s="3935"/>
      <c r="F71" s="3935"/>
      <c r="G71" s="3893"/>
      <c r="I71" s="404"/>
      <c r="J71" s="416"/>
      <c r="K71" s="3965"/>
      <c r="L71" s="3965"/>
      <c r="M71" s="3965"/>
      <c r="N71" s="3966"/>
      <c r="O71" s="431"/>
      <c r="P71" s="417"/>
      <c r="Q71" s="418"/>
    </row>
    <row r="72" spans="1:17" ht="11.25" customHeight="1">
      <c r="A72" s="449"/>
      <c r="B72" s="416"/>
      <c r="C72" s="3935"/>
      <c r="D72" s="3935"/>
      <c r="E72" s="3935"/>
      <c r="F72" s="3935"/>
      <c r="G72" s="3893"/>
      <c r="I72" s="404"/>
      <c r="J72" s="416"/>
      <c r="K72" s="3969" t="s">
        <v>1880</v>
      </c>
      <c r="L72" s="3969"/>
      <c r="M72" s="3969"/>
      <c r="N72" s="3970"/>
      <c r="O72" s="443"/>
      <c r="P72" s="417"/>
      <c r="Q72" s="418"/>
    </row>
    <row r="73" spans="1:17" ht="11.25" customHeight="1" thickBot="1">
      <c r="A73" s="449"/>
      <c r="B73" s="419"/>
      <c r="C73" s="3936"/>
      <c r="D73" s="3936"/>
      <c r="E73" s="3936"/>
      <c r="F73" s="3936"/>
      <c r="G73" s="3894"/>
      <c r="I73" s="404"/>
      <c r="J73" s="416"/>
      <c r="K73" s="3969"/>
      <c r="L73" s="3969"/>
      <c r="M73" s="3969"/>
      <c r="N73" s="3970"/>
      <c r="O73" s="430"/>
      <c r="P73" s="417"/>
      <c r="Q73" s="418"/>
    </row>
    <row r="74" spans="1:17" ht="11.25" customHeight="1">
      <c r="A74" s="1314">
        <f>+A70+0.01</f>
        <v>2.3199999999999985</v>
      </c>
      <c r="B74" s="414"/>
      <c r="C74" s="3840" t="s">
        <v>1879</v>
      </c>
      <c r="D74" s="3840"/>
      <c r="E74" s="3840"/>
      <c r="F74" s="3840"/>
      <c r="G74" s="415"/>
      <c r="I74" s="404"/>
      <c r="J74" s="416"/>
      <c r="K74" s="3969"/>
      <c r="L74" s="3969"/>
      <c r="M74" s="3969"/>
      <c r="N74" s="3970"/>
      <c r="O74" s="430"/>
      <c r="P74" s="417"/>
      <c r="Q74" s="418"/>
    </row>
    <row r="75" spans="1:17" ht="11.25" customHeight="1">
      <c r="B75" s="416"/>
      <c r="C75" s="3843"/>
      <c r="D75" s="3843"/>
      <c r="E75" s="3843"/>
      <c r="F75" s="3843"/>
      <c r="G75" s="417"/>
      <c r="I75" s="404"/>
      <c r="J75" s="416"/>
      <c r="K75" s="3969"/>
      <c r="L75" s="3969"/>
      <c r="M75" s="3969"/>
      <c r="N75" s="3970"/>
      <c r="O75" s="430"/>
      <c r="P75" s="417"/>
      <c r="Q75" s="418"/>
    </row>
    <row r="76" spans="1:17" ht="11.25" customHeight="1">
      <c r="A76" s="449"/>
      <c r="B76" s="416"/>
      <c r="C76" s="3843"/>
      <c r="D76" s="3843"/>
      <c r="E76" s="3843"/>
      <c r="F76" s="3843"/>
      <c r="G76" s="417"/>
      <c r="I76" s="404"/>
      <c r="J76" s="416"/>
      <c r="K76" s="3969"/>
      <c r="L76" s="3969"/>
      <c r="M76" s="3969"/>
      <c r="N76" s="3970"/>
      <c r="O76" s="430"/>
      <c r="P76" s="417"/>
      <c r="Q76" s="418"/>
    </row>
    <row r="77" spans="1:17" ht="11.25" customHeight="1">
      <c r="A77" s="449"/>
      <c r="B77" s="416"/>
      <c r="C77" s="3843"/>
      <c r="D77" s="3843"/>
      <c r="E77" s="3843"/>
      <c r="F77" s="3843"/>
      <c r="G77" s="417"/>
      <c r="I77" s="404"/>
      <c r="J77" s="416"/>
      <c r="K77" s="3969"/>
      <c r="L77" s="3969"/>
      <c r="M77" s="3969"/>
      <c r="N77" s="3970"/>
      <c r="O77" s="431"/>
      <c r="P77" s="417"/>
      <c r="Q77" s="418"/>
    </row>
    <row r="78" spans="1:17" ht="11.25" customHeight="1">
      <c r="A78" s="449"/>
      <c r="B78" s="416"/>
      <c r="C78" s="3843"/>
      <c r="D78" s="3843"/>
      <c r="E78" s="3843"/>
      <c r="F78" s="3843"/>
      <c r="G78" s="417"/>
      <c r="I78" s="404"/>
      <c r="J78" s="416"/>
      <c r="K78" s="3948" t="s">
        <v>1377</v>
      </c>
      <c r="L78" s="3948"/>
      <c r="M78" s="3948"/>
      <c r="N78" s="3949"/>
      <c r="O78" s="430"/>
      <c r="P78" s="417"/>
      <c r="Q78" s="418"/>
    </row>
    <row r="79" spans="1:17" ht="12.75" customHeight="1">
      <c r="A79" s="449"/>
      <c r="B79" s="416"/>
      <c r="C79" s="3843"/>
      <c r="D79" s="3843"/>
      <c r="E79" s="3843"/>
      <c r="F79" s="3843"/>
      <c r="G79" s="417"/>
      <c r="I79" s="404"/>
      <c r="J79" s="416"/>
      <c r="K79" s="3948"/>
      <c r="L79" s="3948"/>
      <c r="M79" s="3948"/>
      <c r="N79" s="3949"/>
      <c r="O79" s="430"/>
      <c r="P79" s="417"/>
      <c r="Q79" s="418"/>
    </row>
    <row r="80" spans="1:17" ht="19.5" customHeight="1">
      <c r="A80" s="449"/>
      <c r="B80" s="416"/>
      <c r="C80" s="3843"/>
      <c r="D80" s="3843"/>
      <c r="E80" s="3843"/>
      <c r="F80" s="3843"/>
      <c r="G80" s="417"/>
      <c r="I80" s="404"/>
      <c r="J80" s="416"/>
      <c r="K80" s="3948"/>
      <c r="L80" s="3948"/>
      <c r="M80" s="3948"/>
      <c r="N80" s="3949"/>
      <c r="O80" s="431"/>
      <c r="P80" s="417"/>
      <c r="Q80" s="418"/>
    </row>
    <row r="81" spans="1:17" ht="17.25" customHeight="1">
      <c r="A81" s="449"/>
      <c r="B81" s="416"/>
      <c r="C81" s="3971"/>
      <c r="D81" s="3971"/>
      <c r="E81" s="3971"/>
      <c r="F81" s="3971"/>
      <c r="G81" s="417"/>
      <c r="I81" s="404"/>
      <c r="J81" s="416"/>
      <c r="K81" s="3948" t="s">
        <v>1378</v>
      </c>
      <c r="L81" s="3948"/>
      <c r="M81" s="3948"/>
      <c r="N81" s="3949"/>
      <c r="O81" s="430"/>
      <c r="P81" s="417"/>
      <c r="Q81" s="418"/>
    </row>
    <row r="82" spans="1:17" ht="11.25" customHeight="1">
      <c r="A82" s="449"/>
      <c r="B82" s="416"/>
      <c r="C82" s="3902" t="s">
        <v>1892</v>
      </c>
      <c r="D82" s="3902"/>
      <c r="E82" s="3902"/>
      <c r="F82" s="3902"/>
      <c r="G82" s="417"/>
      <c r="I82" s="404"/>
      <c r="J82" s="416"/>
      <c r="K82" s="3948"/>
      <c r="L82" s="3948"/>
      <c r="M82" s="3948"/>
      <c r="N82" s="3949"/>
      <c r="O82" s="430"/>
      <c r="P82" s="417"/>
      <c r="Q82" s="418"/>
    </row>
    <row r="83" spans="1:17" ht="15" customHeight="1" thickBot="1">
      <c r="A83" s="449"/>
      <c r="B83" s="416"/>
      <c r="C83" s="3882"/>
      <c r="D83" s="3882"/>
      <c r="E83" s="3882"/>
      <c r="F83" s="3882"/>
      <c r="G83" s="417"/>
      <c r="I83" s="404"/>
      <c r="J83" s="416"/>
      <c r="K83" s="3948"/>
      <c r="L83" s="3948"/>
      <c r="M83" s="3948"/>
      <c r="N83" s="3949"/>
      <c r="O83" s="431"/>
      <c r="P83" s="417"/>
      <c r="Q83" s="418"/>
    </row>
    <row r="84" spans="1:17" ht="24.75" customHeight="1">
      <c r="A84" s="449"/>
      <c r="B84" s="416"/>
      <c r="C84" s="3882" t="s">
        <v>1834</v>
      </c>
      <c r="D84" s="3882"/>
      <c r="E84" s="3882"/>
      <c r="F84" s="3882"/>
      <c r="G84" s="3892"/>
      <c r="I84" s="404"/>
      <c r="J84" s="416"/>
      <c r="K84" s="3950" t="s">
        <v>1881</v>
      </c>
      <c r="L84" s="3950"/>
      <c r="M84" s="3950"/>
      <c r="N84" s="3951"/>
      <c r="O84" s="430"/>
      <c r="P84" s="417"/>
      <c r="Q84" s="418"/>
    </row>
    <row r="85" spans="1:17" ht="11.25" customHeight="1" thickBot="1">
      <c r="A85" s="449"/>
      <c r="B85" s="416"/>
      <c r="C85" s="3882"/>
      <c r="D85" s="3882"/>
      <c r="E85" s="3882"/>
      <c r="F85" s="3882"/>
      <c r="G85" s="3894"/>
      <c r="I85" s="404"/>
      <c r="J85" s="416"/>
      <c r="K85" s="3950"/>
      <c r="L85" s="3950"/>
      <c r="M85" s="3950"/>
      <c r="N85" s="3951"/>
      <c r="O85" s="430"/>
      <c r="P85" s="417"/>
      <c r="Q85" s="418"/>
    </row>
    <row r="86" spans="1:17" ht="23.25" customHeight="1">
      <c r="A86" s="449"/>
      <c r="B86" s="416"/>
      <c r="C86" s="3935" t="s">
        <v>1374</v>
      </c>
      <c r="D86" s="3935"/>
      <c r="E86" s="3935"/>
      <c r="F86" s="3935"/>
      <c r="G86" s="3892"/>
      <c r="I86" s="404"/>
      <c r="J86" s="416"/>
      <c r="K86" s="3950"/>
      <c r="L86" s="3950"/>
      <c r="M86" s="3950"/>
      <c r="N86" s="3951"/>
      <c r="O86" s="431"/>
      <c r="P86" s="417"/>
      <c r="Q86" s="418"/>
    </row>
    <row r="87" spans="1:17" ht="11.25" customHeight="1">
      <c r="A87" s="449"/>
      <c r="B87" s="416"/>
      <c r="C87" s="3935"/>
      <c r="D87" s="3935"/>
      <c r="E87" s="3935"/>
      <c r="F87" s="3935"/>
      <c r="G87" s="3893"/>
      <c r="I87" s="404"/>
      <c r="J87" s="416"/>
      <c r="K87" s="3952" t="s">
        <v>1678</v>
      </c>
      <c r="L87" s="3952"/>
      <c r="M87" s="3952"/>
      <c r="N87" s="3953"/>
      <c r="O87" s="430"/>
      <c r="P87" s="417"/>
      <c r="Q87" s="418"/>
    </row>
    <row r="88" spans="1:17" ht="11.25" customHeight="1" thickBot="1">
      <c r="A88" s="449"/>
      <c r="B88" s="416"/>
      <c r="C88" s="3941"/>
      <c r="D88" s="3941"/>
      <c r="E88" s="3941"/>
      <c r="F88" s="3942"/>
      <c r="G88" s="3894"/>
      <c r="I88" s="404"/>
      <c r="J88" s="416"/>
      <c r="K88" s="3952"/>
      <c r="L88" s="3952"/>
      <c r="M88" s="3952"/>
      <c r="N88" s="3953"/>
      <c r="O88" s="430"/>
      <c r="P88" s="417"/>
      <c r="Q88" s="418"/>
    </row>
    <row r="89" spans="1:17" ht="11.25" customHeight="1" thickBot="1">
      <c r="A89" s="449"/>
      <c r="B89" s="416"/>
      <c r="C89" s="2162"/>
      <c r="D89" s="2162"/>
      <c r="E89" s="2162"/>
      <c r="F89" s="2162"/>
      <c r="G89" s="417"/>
      <c r="I89" s="404"/>
      <c r="J89" s="416"/>
      <c r="K89" s="3954"/>
      <c r="L89" s="3954"/>
      <c r="M89" s="3954"/>
      <c r="N89" s="3955"/>
      <c r="O89" s="431"/>
      <c r="P89" s="417"/>
      <c r="Q89" s="418"/>
    </row>
    <row r="90" spans="1:17" ht="15" customHeight="1">
      <c r="A90" s="449"/>
      <c r="B90" s="416"/>
      <c r="C90" s="3935" t="s">
        <v>1375</v>
      </c>
      <c r="D90" s="3935"/>
      <c r="E90" s="3935"/>
      <c r="F90" s="3935"/>
      <c r="G90" s="3892"/>
      <c r="I90" s="404"/>
      <c r="J90" s="416"/>
      <c r="K90" s="3958" t="s">
        <v>1594</v>
      </c>
      <c r="L90" s="3959"/>
      <c r="M90" s="3959"/>
      <c r="N90" s="3960"/>
      <c r="O90" s="3956"/>
      <c r="P90" s="417"/>
      <c r="Q90" s="418"/>
    </row>
    <row r="91" spans="1:17" ht="11.25" customHeight="1" thickBot="1">
      <c r="A91" s="449"/>
      <c r="B91" s="416"/>
      <c r="C91" s="3935"/>
      <c r="D91" s="3935"/>
      <c r="E91" s="3935"/>
      <c r="F91" s="3935"/>
      <c r="G91" s="3893"/>
      <c r="I91" s="404"/>
      <c r="J91" s="419"/>
      <c r="K91" s="3961"/>
      <c r="L91" s="3962"/>
      <c r="M91" s="3962"/>
      <c r="N91" s="3963"/>
      <c r="O91" s="3957"/>
      <c r="P91" s="421"/>
      <c r="Q91" s="418"/>
    </row>
    <row r="92" spans="1:17" ht="11.25" customHeight="1">
      <c r="A92" s="449"/>
      <c r="B92" s="416"/>
      <c r="C92" s="3935"/>
      <c r="D92" s="3935"/>
      <c r="E92" s="3935"/>
      <c r="F92" s="3935"/>
      <c r="G92" s="3893"/>
      <c r="I92" s="3244">
        <f>+I66+0.01</f>
        <v>2.3499999999999979</v>
      </c>
      <c r="J92" s="1104"/>
      <c r="K92" s="3919" t="s">
        <v>742</v>
      </c>
      <c r="L92" s="3919"/>
      <c r="M92" s="3919"/>
      <c r="N92" s="3919"/>
      <c r="O92" s="3919"/>
      <c r="P92" s="1099"/>
      <c r="Q92" s="418"/>
    </row>
    <row r="93" spans="1:17" ht="17.25" customHeight="1">
      <c r="A93" s="449"/>
      <c r="B93" s="416"/>
      <c r="C93" s="3935"/>
      <c r="D93" s="3935"/>
      <c r="E93" s="3935"/>
      <c r="F93" s="3935"/>
      <c r="G93" s="3893"/>
      <c r="I93" s="3245"/>
      <c r="J93" s="1105"/>
      <c r="K93" s="3888"/>
      <c r="L93" s="3888"/>
      <c r="M93" s="3888"/>
      <c r="N93" s="3888"/>
      <c r="O93" s="3888"/>
      <c r="P93" s="807"/>
      <c r="Q93" s="418"/>
    </row>
    <row r="94" spans="1:17" ht="11.25" customHeight="1" thickBot="1">
      <c r="A94" s="449"/>
      <c r="B94" s="416"/>
      <c r="C94" s="3941"/>
      <c r="D94" s="3941"/>
      <c r="E94" s="3941"/>
      <c r="F94" s="3941"/>
      <c r="G94" s="3894"/>
      <c r="I94" s="3245"/>
      <c r="J94" s="1105"/>
      <c r="K94" s="3888"/>
      <c r="L94" s="3888"/>
      <c r="M94" s="3888"/>
      <c r="N94" s="3888"/>
      <c r="O94" s="3888"/>
      <c r="P94" s="807"/>
      <c r="Q94" s="418"/>
    </row>
    <row r="95" spans="1:17" ht="12.75" customHeight="1">
      <c r="A95" s="449"/>
      <c r="B95" s="416"/>
      <c r="C95" s="3964" t="s">
        <v>1835</v>
      </c>
      <c r="D95" s="3964"/>
      <c r="E95" s="3964"/>
      <c r="F95" s="3964"/>
      <c r="G95" s="3892"/>
      <c r="I95" s="3245"/>
      <c r="J95" s="1105"/>
      <c r="K95" s="1324" t="s">
        <v>862</v>
      </c>
      <c r="L95" s="2188">
        <v>1</v>
      </c>
      <c r="M95" s="1323"/>
      <c r="N95" s="1100"/>
      <c r="O95" s="1101"/>
      <c r="P95" s="807"/>
      <c r="Q95" s="418"/>
    </row>
    <row r="96" spans="1:17" ht="11.25" customHeight="1">
      <c r="A96" s="449"/>
      <c r="B96" s="416"/>
      <c r="C96" s="3882"/>
      <c r="D96" s="3882"/>
      <c r="E96" s="3882"/>
      <c r="F96" s="3882"/>
      <c r="G96" s="3893"/>
      <c r="I96" s="3245"/>
      <c r="J96" s="1105"/>
      <c r="K96" s="1324" t="s">
        <v>863</v>
      </c>
      <c r="L96" s="2188">
        <v>2</v>
      </c>
      <c r="M96" s="1323" t="s">
        <v>1306</v>
      </c>
      <c r="N96" s="1100"/>
      <c r="O96" s="1102"/>
      <c r="P96" s="807"/>
      <c r="Q96" s="418"/>
    </row>
    <row r="97" spans="1:17" ht="11.25" customHeight="1" thickBot="1">
      <c r="A97" s="449"/>
      <c r="B97" s="416"/>
      <c r="C97" s="3882"/>
      <c r="D97" s="3882"/>
      <c r="E97" s="3882"/>
      <c r="F97" s="3882"/>
      <c r="G97" s="3894"/>
      <c r="I97" s="3245"/>
      <c r="J97" s="1105"/>
      <c r="K97" s="2776"/>
      <c r="L97" s="2777"/>
      <c r="M97" s="2778"/>
      <c r="N97" s="1100"/>
      <c r="O97" s="1100"/>
      <c r="P97" s="807"/>
      <c r="Q97" s="418"/>
    </row>
    <row r="98" spans="1:17" ht="11.25" customHeight="1" thickBot="1">
      <c r="A98" s="449"/>
      <c r="B98" s="416"/>
      <c r="C98" s="434"/>
      <c r="D98" s="434"/>
      <c r="E98" s="434"/>
      <c r="F98" s="434"/>
      <c r="G98" s="417"/>
      <c r="I98" s="3245"/>
      <c r="J98" s="1106"/>
      <c r="K98" s="2189"/>
      <c r="L98" s="2189"/>
      <c r="M98" s="2189"/>
      <c r="N98" s="2189"/>
      <c r="O98" s="2189"/>
      <c r="P98" s="1103"/>
      <c r="Q98" s="418"/>
    </row>
    <row r="99" spans="1:17" ht="11.25" customHeight="1">
      <c r="A99" s="1314">
        <f>A74+0.01</f>
        <v>2.3299999999999983</v>
      </c>
      <c r="B99" s="414"/>
      <c r="C99" s="3922"/>
      <c r="D99" s="3922"/>
      <c r="E99" s="3922"/>
      <c r="F99" s="3922"/>
      <c r="G99" s="415"/>
      <c r="I99" s="3244">
        <f>+I92+0.01</f>
        <v>2.3599999999999977</v>
      </c>
      <c r="J99" s="1104"/>
      <c r="K99" s="3919" t="s">
        <v>379</v>
      </c>
      <c r="L99" s="3919"/>
      <c r="M99" s="3919"/>
      <c r="N99" s="3919"/>
      <c r="O99" s="3919"/>
      <c r="P99" s="1099"/>
      <c r="Q99" s="418"/>
    </row>
    <row r="100" spans="1:17" ht="11.25" customHeight="1">
      <c r="A100" s="449"/>
      <c r="B100" s="416"/>
      <c r="C100" s="3884" t="s">
        <v>1461</v>
      </c>
      <c r="D100" s="3884"/>
      <c r="E100" s="3884"/>
      <c r="F100" s="3884"/>
      <c r="G100" s="3981"/>
      <c r="I100" s="3245"/>
      <c r="J100" s="1105"/>
      <c r="K100" s="3888"/>
      <c r="L100" s="3888"/>
      <c r="M100" s="3888"/>
      <c r="N100" s="3888"/>
      <c r="O100" s="3888"/>
      <c r="P100" s="807"/>
      <c r="Q100" s="418"/>
    </row>
    <row r="101" spans="1:17" ht="11.25" customHeight="1">
      <c r="A101" s="449"/>
      <c r="B101" s="416"/>
      <c r="C101" s="3884"/>
      <c r="D101" s="3884"/>
      <c r="E101" s="3884"/>
      <c r="F101" s="3884"/>
      <c r="G101" s="3981"/>
      <c r="I101" s="3245"/>
      <c r="J101" s="1105"/>
      <c r="K101" s="3888"/>
      <c r="L101" s="3888"/>
      <c r="M101" s="3888"/>
      <c r="N101" s="3888"/>
      <c r="O101" s="3888"/>
      <c r="P101" s="807"/>
      <c r="Q101" s="418"/>
    </row>
    <row r="102" spans="1:17" ht="15.75" customHeight="1">
      <c r="A102" s="449"/>
      <c r="B102" s="416"/>
      <c r="C102" s="3884"/>
      <c r="D102" s="3884"/>
      <c r="E102" s="3884"/>
      <c r="F102" s="3884"/>
      <c r="G102" s="3981"/>
      <c r="I102" s="3245"/>
      <c r="J102" s="1105"/>
      <c r="K102" s="2190" t="s">
        <v>859</v>
      </c>
      <c r="L102" s="2190"/>
      <c r="M102" s="2196"/>
      <c r="N102" s="2197">
        <v>1</v>
      </c>
      <c r="O102" s="2191"/>
      <c r="P102" s="807"/>
      <c r="Q102" s="418"/>
    </row>
    <row r="103" spans="1:17" ht="11.25" customHeight="1">
      <c r="A103" s="449"/>
      <c r="B103" s="416"/>
      <c r="C103" s="3884"/>
      <c r="D103" s="3884"/>
      <c r="E103" s="3884"/>
      <c r="F103" s="3884"/>
      <c r="G103" s="3981"/>
      <c r="I103" s="3245"/>
      <c r="J103" s="1105"/>
      <c r="K103" s="2198" t="s">
        <v>860</v>
      </c>
      <c r="L103" s="2198"/>
      <c r="M103" s="2198"/>
      <c r="N103" s="2199">
        <v>2</v>
      </c>
      <c r="O103" s="2192"/>
      <c r="P103" s="807"/>
      <c r="Q103" s="418"/>
    </row>
    <row r="104" spans="1:17" ht="11.25" customHeight="1">
      <c r="A104" s="449"/>
      <c r="B104" s="416"/>
      <c r="C104" s="3884"/>
      <c r="D104" s="3884"/>
      <c r="E104" s="3884"/>
      <c r="F104" s="3884"/>
      <c r="G104" s="3981"/>
      <c r="I104" s="3245"/>
      <c r="J104" s="1105"/>
      <c r="K104" s="2186" t="s">
        <v>861</v>
      </c>
      <c r="L104" s="2186"/>
      <c r="M104" s="2186"/>
      <c r="N104" s="2159">
        <v>3</v>
      </c>
      <c r="O104" s="2193"/>
      <c r="P104" s="807"/>
      <c r="Q104" s="418"/>
    </row>
    <row r="105" spans="1:17" ht="11.25" customHeight="1">
      <c r="A105" s="449"/>
      <c r="B105" s="416"/>
      <c r="C105" s="3884"/>
      <c r="D105" s="3884"/>
      <c r="E105" s="3884"/>
      <c r="F105" s="3884"/>
      <c r="G105" s="3981"/>
      <c r="I105" s="3245"/>
      <c r="J105" s="1105"/>
      <c r="K105" s="1941" t="s">
        <v>1735</v>
      </c>
      <c r="L105" s="1941"/>
      <c r="M105" s="2187"/>
      <c r="N105" s="2187"/>
      <c r="O105" s="2194"/>
      <c r="P105" s="807"/>
      <c r="Q105" s="418"/>
    </row>
    <row r="106" spans="1:17" ht="14.25" customHeight="1" thickBot="1">
      <c r="A106" s="449"/>
      <c r="B106" s="416"/>
      <c r="C106" s="3884"/>
      <c r="D106" s="3884"/>
      <c r="E106" s="3884"/>
      <c r="F106" s="3884"/>
      <c r="G106" s="3981"/>
      <c r="I106" s="3245"/>
      <c r="J106" s="1105"/>
      <c r="K106" s="3947" t="s">
        <v>1307</v>
      </c>
      <c r="L106" s="3947"/>
      <c r="M106" s="3947"/>
      <c r="N106" s="1506">
        <v>4</v>
      </c>
      <c r="O106" s="2194"/>
      <c r="P106" s="807"/>
      <c r="Q106" s="418"/>
    </row>
    <row r="107" spans="1:17" ht="11.25" customHeight="1" thickBot="1">
      <c r="A107" s="449"/>
      <c r="B107" s="416"/>
      <c r="C107" s="2160" t="s">
        <v>862</v>
      </c>
      <c r="D107" s="1500">
        <v>1</v>
      </c>
      <c r="E107" s="1317"/>
      <c r="F107" s="439"/>
      <c r="G107" s="3979"/>
      <c r="I107" s="404"/>
      <c r="J107" s="1106"/>
      <c r="K107" s="1499"/>
      <c r="L107" s="1499"/>
      <c r="M107" s="1499"/>
      <c r="N107" s="1499"/>
      <c r="O107" s="1499"/>
      <c r="P107" s="1103"/>
      <c r="Q107" s="418"/>
    </row>
    <row r="108" spans="1:17" ht="11.25" customHeight="1" thickBot="1">
      <c r="A108" s="449"/>
      <c r="B108" s="416"/>
      <c r="C108" s="2160" t="s">
        <v>863</v>
      </c>
      <c r="D108" s="1500">
        <v>2</v>
      </c>
      <c r="E108" s="1322" t="s">
        <v>829</v>
      </c>
      <c r="F108" s="439"/>
      <c r="G108" s="3980"/>
      <c r="I108" s="3244">
        <f>+I99+0.01</f>
        <v>2.3699999999999974</v>
      </c>
      <c r="J108" s="1104"/>
      <c r="K108" s="3883" t="s">
        <v>377</v>
      </c>
      <c r="L108" s="3883"/>
      <c r="M108" s="3883"/>
      <c r="N108" s="3883"/>
      <c r="O108" s="3883"/>
      <c r="P108" s="1099"/>
      <c r="Q108" s="418"/>
    </row>
    <row r="109" spans="1:17" ht="15.75" customHeight="1" thickBot="1">
      <c r="A109" s="449"/>
      <c r="B109" s="419"/>
      <c r="C109" s="1499"/>
      <c r="D109" s="1501"/>
      <c r="E109" s="1499"/>
      <c r="F109" s="1499"/>
      <c r="G109" s="421"/>
      <c r="I109" s="404"/>
      <c r="J109" s="1105"/>
      <c r="K109" s="3884"/>
      <c r="L109" s="3884"/>
      <c r="M109" s="3884"/>
      <c r="N109" s="3884"/>
      <c r="O109" s="3884"/>
      <c r="P109" s="807"/>
      <c r="Q109" s="418"/>
    </row>
    <row r="110" spans="1:17" ht="11.25" customHeight="1">
      <c r="I110" s="3245"/>
      <c r="J110" s="1105"/>
      <c r="K110" s="2178" t="s">
        <v>862</v>
      </c>
      <c r="L110" s="2179">
        <v>1</v>
      </c>
      <c r="M110" s="1475"/>
      <c r="N110" s="1468"/>
      <c r="O110" s="1471"/>
      <c r="P110" s="807"/>
      <c r="Q110" s="418"/>
    </row>
    <row r="111" spans="1:17" ht="17.25" customHeight="1">
      <c r="I111" s="3245"/>
      <c r="J111" s="1105"/>
      <c r="K111" s="2178" t="s">
        <v>863</v>
      </c>
      <c r="L111" s="2179">
        <v>2</v>
      </c>
      <c r="M111" s="2055" t="s">
        <v>1305</v>
      </c>
      <c r="N111" s="1468"/>
      <c r="O111" s="1469"/>
      <c r="P111" s="807"/>
      <c r="Q111" s="418"/>
    </row>
    <row r="112" spans="1:17" ht="11.25" customHeight="1" thickBot="1">
      <c r="I112" s="3245"/>
      <c r="J112" s="1106"/>
      <c r="K112" s="1900"/>
      <c r="L112" s="1900"/>
      <c r="M112" s="1900"/>
      <c r="N112" s="1900"/>
      <c r="O112" s="1499"/>
      <c r="P112" s="1103"/>
      <c r="Q112" s="418"/>
    </row>
    <row r="113" spans="1:19" ht="11.25" customHeight="1">
      <c r="I113" s="3244">
        <f>+I108+0.01</f>
        <v>2.3799999999999972</v>
      </c>
      <c r="J113" s="1104"/>
      <c r="K113" s="3883" t="s">
        <v>378</v>
      </c>
      <c r="L113" s="3883"/>
      <c r="M113" s="3883"/>
      <c r="N113" s="3883"/>
      <c r="O113" s="3883"/>
      <c r="P113" s="1099"/>
      <c r="Q113" s="418"/>
    </row>
    <row r="114" spans="1:19" ht="11.25" customHeight="1">
      <c r="I114" s="3245"/>
      <c r="J114" s="1105"/>
      <c r="K114" s="2186" t="s">
        <v>859</v>
      </c>
      <c r="L114" s="2178"/>
      <c r="M114" s="2178"/>
      <c r="N114" s="1506">
        <v>1</v>
      </c>
      <c r="O114" s="2158"/>
      <c r="P114" s="807"/>
      <c r="Q114" s="418"/>
    </row>
    <row r="115" spans="1:19" ht="11.25" customHeight="1">
      <c r="I115" s="3245"/>
      <c r="J115" s="1105"/>
      <c r="K115" s="2178" t="s">
        <v>1077</v>
      </c>
      <c r="L115" s="2178"/>
      <c r="M115" s="2178"/>
      <c r="N115" s="1506">
        <v>2</v>
      </c>
      <c r="O115" s="2195"/>
      <c r="P115" s="807"/>
      <c r="Q115" s="418"/>
    </row>
    <row r="116" spans="1:19" ht="11.25" customHeight="1">
      <c r="I116" s="3245"/>
      <c r="J116" s="1105"/>
      <c r="K116" s="2178" t="s">
        <v>1078</v>
      </c>
      <c r="L116" s="2178"/>
      <c r="M116" s="2178"/>
      <c r="N116" s="1506">
        <v>3</v>
      </c>
      <c r="O116" s="2193"/>
      <c r="P116" s="807"/>
      <c r="Q116" s="418"/>
    </row>
    <row r="117" spans="1:19" ht="11.25" customHeight="1">
      <c r="I117" s="3245"/>
      <c r="J117" s="1105"/>
      <c r="K117" s="3947" t="s">
        <v>1307</v>
      </c>
      <c r="L117" s="3947"/>
      <c r="M117" s="3947"/>
      <c r="N117" s="1506">
        <v>4</v>
      </c>
      <c r="O117" s="2194"/>
      <c r="P117" s="807"/>
      <c r="Q117" s="418"/>
    </row>
    <row r="118" spans="1:19" ht="11.25" customHeight="1" thickBot="1">
      <c r="I118" s="3245"/>
      <c r="J118" s="1106"/>
      <c r="K118" s="1499"/>
      <c r="L118" s="1499"/>
      <c r="M118" s="1499"/>
      <c r="N118" s="1499"/>
      <c r="O118" s="1499"/>
      <c r="P118" s="1103"/>
      <c r="Q118" s="418"/>
      <c r="S118" s="411" t="str">
        <f t="shared" ref="S118" si="0">PROPER(K118)</f>
        <v/>
      </c>
    </row>
    <row r="119" spans="1:19" ht="11.25" customHeight="1">
      <c r="I119" s="404"/>
      <c r="J119" s="418"/>
      <c r="K119" s="418"/>
      <c r="L119" s="418"/>
      <c r="M119" s="418"/>
      <c r="N119" s="418"/>
      <c r="O119" s="418"/>
      <c r="P119" s="418"/>
      <c r="Q119" s="418"/>
    </row>
    <row r="120" spans="1:19" ht="11.25" customHeight="1">
      <c r="I120" s="404"/>
      <c r="J120" s="418"/>
      <c r="K120" s="418"/>
      <c r="L120" s="418"/>
      <c r="M120" s="418"/>
      <c r="N120" s="418"/>
      <c r="O120" s="418"/>
      <c r="P120" s="418"/>
      <c r="Q120" s="418"/>
    </row>
    <row r="121" spans="1:19" ht="11.25" customHeight="1">
      <c r="I121" s="404"/>
      <c r="J121" s="418"/>
      <c r="K121" s="418"/>
      <c r="L121" s="418"/>
      <c r="M121" s="418"/>
      <c r="N121" s="418"/>
      <c r="O121" s="418"/>
      <c r="P121" s="418"/>
      <c r="Q121" s="418"/>
    </row>
    <row r="122" spans="1:19" ht="11.25" customHeight="1">
      <c r="I122" s="404"/>
      <c r="J122" s="418"/>
      <c r="K122" s="418"/>
      <c r="L122" s="418"/>
      <c r="M122" s="418"/>
      <c r="N122" s="418"/>
      <c r="O122" s="418"/>
      <c r="P122" s="418"/>
      <c r="Q122" s="418"/>
    </row>
    <row r="123" spans="1:19" ht="11.25" customHeight="1">
      <c r="I123" s="404"/>
      <c r="J123" s="418"/>
      <c r="K123" s="418"/>
      <c r="L123" s="418"/>
      <c r="M123" s="418"/>
      <c r="N123" s="418"/>
      <c r="O123" s="418"/>
      <c r="P123" s="418"/>
      <c r="Q123" s="418"/>
    </row>
    <row r="124" spans="1:19" ht="11.25" customHeight="1">
      <c r="I124" s="404"/>
      <c r="J124" s="418"/>
      <c r="K124" s="418"/>
      <c r="L124" s="418"/>
      <c r="M124" s="418"/>
      <c r="N124" s="418"/>
      <c r="O124" s="418"/>
      <c r="P124" s="418"/>
      <c r="Q124" s="418"/>
    </row>
    <row r="125" spans="1:19" ht="11.25" customHeight="1">
      <c r="I125" s="404"/>
      <c r="J125" s="418"/>
      <c r="K125" s="418"/>
      <c r="L125" s="418"/>
      <c r="M125" s="418"/>
      <c r="N125" s="418"/>
      <c r="O125" s="418"/>
      <c r="P125" s="418"/>
      <c r="Q125" s="418"/>
    </row>
    <row r="126" spans="1:19" ht="11.25" customHeight="1">
      <c r="A126" s="449"/>
      <c r="I126" s="404"/>
      <c r="J126" s="418"/>
      <c r="K126" s="418"/>
      <c r="L126" s="418"/>
      <c r="M126" s="418"/>
      <c r="N126" s="418"/>
      <c r="O126" s="418"/>
      <c r="P126" s="418"/>
      <c r="Q126" s="418"/>
    </row>
    <row r="127" spans="1:19" ht="11.25" customHeight="1">
      <c r="A127" s="449"/>
      <c r="I127" s="404"/>
      <c r="J127" s="418"/>
      <c r="K127" s="418"/>
      <c r="L127" s="418"/>
      <c r="M127" s="418"/>
      <c r="N127" s="418"/>
      <c r="O127" s="418"/>
      <c r="P127" s="418"/>
      <c r="Q127" s="418"/>
    </row>
    <row r="128" spans="1:19" ht="11.25" customHeight="1">
      <c r="A128" s="449"/>
      <c r="I128" s="404"/>
      <c r="J128" s="418"/>
      <c r="K128" s="418"/>
      <c r="L128" s="418"/>
      <c r="M128" s="418"/>
      <c r="N128" s="418"/>
      <c r="O128" s="418"/>
      <c r="P128" s="418"/>
      <c r="Q128" s="418"/>
    </row>
    <row r="129" spans="1:17" ht="11.25" customHeight="1">
      <c r="A129" s="449"/>
      <c r="I129" s="404"/>
      <c r="J129" s="418"/>
      <c r="K129" s="418"/>
      <c r="L129" s="418"/>
      <c r="M129" s="418"/>
      <c r="N129" s="418"/>
      <c r="O129" s="418"/>
      <c r="P129" s="418"/>
      <c r="Q129" s="418"/>
    </row>
    <row r="130" spans="1:17" ht="11.25" customHeight="1">
      <c r="A130" s="449"/>
      <c r="I130" s="404"/>
      <c r="J130" s="418"/>
      <c r="K130" s="418"/>
      <c r="L130" s="418"/>
      <c r="M130" s="418"/>
      <c r="N130" s="418"/>
      <c r="O130" s="418"/>
      <c r="P130" s="418"/>
      <c r="Q130" s="418"/>
    </row>
    <row r="131" spans="1:17" ht="11.25" customHeight="1">
      <c r="A131" s="449"/>
      <c r="I131" s="404"/>
      <c r="J131" s="418"/>
      <c r="K131" s="418"/>
      <c r="L131" s="418"/>
      <c r="M131" s="418"/>
      <c r="N131" s="418"/>
      <c r="O131" s="418"/>
      <c r="P131" s="418"/>
      <c r="Q131" s="418"/>
    </row>
    <row r="132" spans="1:17" ht="11.25" customHeight="1">
      <c r="A132" s="449"/>
      <c r="I132" s="404"/>
      <c r="J132" s="418"/>
      <c r="K132" s="418"/>
      <c r="L132" s="418"/>
      <c r="M132" s="418"/>
      <c r="N132" s="418"/>
      <c r="O132" s="418"/>
      <c r="P132" s="418"/>
      <c r="Q132" s="418"/>
    </row>
    <row r="133" spans="1:17" ht="11.25" customHeight="1">
      <c r="A133" s="449"/>
      <c r="I133" s="404"/>
      <c r="J133" s="418"/>
      <c r="K133" s="418"/>
      <c r="L133" s="418"/>
      <c r="M133" s="418"/>
      <c r="N133" s="418"/>
      <c r="O133" s="418"/>
      <c r="P133" s="418"/>
      <c r="Q133" s="418"/>
    </row>
    <row r="134" spans="1:17" ht="11.25" customHeight="1">
      <c r="A134" s="449"/>
      <c r="I134" s="404"/>
      <c r="J134" s="418"/>
      <c r="K134" s="418"/>
      <c r="L134" s="418"/>
      <c r="M134" s="418"/>
      <c r="N134" s="418"/>
      <c r="O134" s="418"/>
      <c r="P134" s="418"/>
      <c r="Q134" s="418"/>
    </row>
    <row r="135" spans="1:17" ht="11.25" customHeight="1">
      <c r="A135" s="449"/>
      <c r="I135" s="404"/>
      <c r="J135" s="418"/>
      <c r="K135" s="418"/>
      <c r="L135" s="418"/>
      <c r="M135" s="418"/>
      <c r="N135" s="418"/>
      <c r="O135" s="418"/>
      <c r="P135" s="418"/>
      <c r="Q135" s="418"/>
    </row>
    <row r="136" spans="1:17" ht="11.25" customHeight="1">
      <c r="A136" s="449"/>
      <c r="I136" s="404"/>
      <c r="J136" s="418"/>
      <c r="K136" s="418"/>
      <c r="L136" s="418"/>
      <c r="M136" s="418"/>
      <c r="N136" s="418"/>
      <c r="O136" s="418"/>
      <c r="P136" s="418"/>
      <c r="Q136" s="418"/>
    </row>
    <row r="137" spans="1:17" ht="11.25" customHeight="1">
      <c r="A137" s="449"/>
      <c r="I137" s="404"/>
      <c r="J137" s="418"/>
      <c r="K137" s="418"/>
      <c r="L137" s="418"/>
      <c r="M137" s="418"/>
      <c r="N137" s="418"/>
      <c r="O137" s="418"/>
      <c r="P137" s="418"/>
      <c r="Q137" s="418"/>
    </row>
    <row r="138" spans="1:17" ht="11.25" customHeight="1">
      <c r="A138" s="449"/>
      <c r="I138" s="404"/>
      <c r="J138" s="418"/>
      <c r="K138" s="418"/>
      <c r="L138" s="418"/>
      <c r="M138" s="418"/>
      <c r="N138" s="418"/>
      <c r="O138" s="418"/>
      <c r="P138" s="418"/>
      <c r="Q138" s="418"/>
    </row>
    <row r="139" spans="1:17" ht="11.25" customHeight="1">
      <c r="A139" s="449"/>
      <c r="I139" s="404"/>
      <c r="Q139" s="418"/>
    </row>
    <row r="140" spans="1:17" ht="11.25" customHeight="1">
      <c r="A140" s="449"/>
      <c r="I140" s="404"/>
      <c r="Q140" s="418"/>
    </row>
    <row r="141" spans="1:17" ht="11.25" customHeight="1">
      <c r="A141" s="449"/>
      <c r="I141" s="404"/>
      <c r="Q141" s="418"/>
    </row>
    <row r="142" spans="1:17" ht="11.25" customHeight="1">
      <c r="A142" s="449"/>
      <c r="I142" s="404"/>
      <c r="Q142" s="418"/>
    </row>
    <row r="143" spans="1:17" ht="11.25" customHeight="1">
      <c r="A143" s="449"/>
      <c r="I143" s="404"/>
      <c r="Q143" s="418"/>
    </row>
    <row r="144" spans="1:17" ht="11.25" customHeight="1">
      <c r="A144" s="449"/>
      <c r="I144" s="404"/>
      <c r="Q144" s="418"/>
    </row>
    <row r="145" spans="1:17" ht="11.25" customHeight="1">
      <c r="A145" s="449"/>
      <c r="I145" s="404"/>
      <c r="Q145" s="418"/>
    </row>
    <row r="146" spans="1:17" ht="11.25" customHeight="1">
      <c r="A146" s="449"/>
      <c r="I146" s="404"/>
      <c r="Q146" s="418"/>
    </row>
    <row r="147" spans="1:17" ht="11.25" customHeight="1">
      <c r="A147" s="449"/>
      <c r="I147" s="404"/>
      <c r="Q147" s="418"/>
    </row>
    <row r="148" spans="1:17" ht="11.25" customHeight="1">
      <c r="A148" s="449"/>
      <c r="I148" s="404"/>
      <c r="Q148" s="418"/>
    </row>
    <row r="149" spans="1:17" ht="11.25" customHeight="1">
      <c r="A149" s="449"/>
      <c r="I149" s="404"/>
      <c r="Q149" s="418"/>
    </row>
    <row r="150" spans="1:17" ht="11.25" customHeight="1">
      <c r="A150" s="449"/>
      <c r="I150" s="3246"/>
      <c r="Q150" s="418"/>
    </row>
    <row r="151" spans="1:17" ht="11.25" customHeight="1">
      <c r="I151" s="3246"/>
      <c r="Q151" s="418"/>
    </row>
    <row r="152" spans="1:17" ht="11.25" customHeight="1">
      <c r="I152" s="3246"/>
      <c r="Q152" s="418"/>
    </row>
    <row r="153" spans="1:17" ht="11.25" customHeight="1">
      <c r="I153" s="3246"/>
    </row>
    <row r="154" spans="1:17" ht="11.25" customHeight="1">
      <c r="I154" s="3246"/>
    </row>
  </sheetData>
  <customSheetViews>
    <customSheetView guid="{BDF1A126-BD1D-4A5E-80B8-98941684E462}" scale="89" showPageBreaks="1" printArea="1" view="pageBreakPreview" topLeftCell="A64">
      <selection activeCell="V88" sqref="V88"/>
      <rowBreaks count="1" manualBreakCount="1">
        <brk id="63" max="16" man="1"/>
      </rowBreaks>
      <colBreaks count="1" manualBreakCount="1">
        <brk id="22" max="1048575" man="1"/>
      </colBreaks>
      <pageMargins left="0.34" right="0.25" top="0.75" bottom="0.75" header="0.3" footer="0.3"/>
      <pageSetup paperSize="9" orientation="portrait" r:id="rId1"/>
      <headerFooter alignWithMargins="0">
        <oddFooter>&amp;L&amp;"Arial Narrow,Regular"&amp;8&amp;D&amp;C&amp;"Arial Narrow,Regular"&amp;8&amp;F</oddFooter>
      </headerFooter>
    </customSheetView>
    <customSheetView guid="{04F0793E-5444-463D-A1D5-E52E08A4C249}" scale="85" showPageBreaks="1" printArea="1">
      <colBreaks count="1" manualBreakCount="1">
        <brk id="22" max="1048575" man="1"/>
      </colBreaks>
      <pageMargins left="0.25" right="0.25" top="0.75" bottom="0.75" header="0.3" footer="0.3"/>
      <pageSetup paperSize="9" orientation="portrait" r:id="rId2"/>
      <headerFooter alignWithMargins="0">
        <oddFooter>&amp;L&amp;"Arial Narrow,Regular"&amp;8&amp;D&amp;C&amp;"Arial Narrow,Regular"&amp;8&amp;F</oddFooter>
      </headerFooter>
    </customSheetView>
    <customSheetView guid="{925F74B5-C2F5-4E55-AFE4-045C56169B44}" scale="85" showPageBreaks="1" printArea="1" topLeftCell="A83">
      <selection activeCell="L119" sqref="L119:N119"/>
      <colBreaks count="1" manualBreakCount="1">
        <brk id="22" max="1048575" man="1"/>
      </colBreaks>
      <pageMargins left="0.25" right="0.25" top="0.75" bottom="0.75" header="0.3" footer="0.3"/>
      <pageSetup paperSize="9" orientation="portrait" r:id="rId3"/>
      <headerFooter alignWithMargins="0">
        <oddFooter>&amp;L&amp;"Arial Narrow,Regular"&amp;8&amp;D&amp;C&amp;"Arial Narrow,Regular"&amp;8&amp;F</oddFooter>
      </headerFooter>
    </customSheetView>
    <customSheetView guid="{1FF58891-F32F-4F97-9812-E2D02F4497AA}" scale="89" showPageBreaks="1" printArea="1" view="pageBreakPreview" topLeftCell="A13">
      <selection activeCell="B5" sqref="B5:B23"/>
      <rowBreaks count="1" manualBreakCount="1">
        <brk id="63" max="16" man="1"/>
      </rowBreaks>
      <colBreaks count="1" manualBreakCount="1">
        <brk id="22" max="1048575" man="1"/>
      </colBreaks>
      <pageMargins left="0.34" right="0.25" top="0.75" bottom="0.75" header="0.3" footer="0.3"/>
      <pageSetup paperSize="9" orientation="portrait" r:id="rId4"/>
      <headerFooter alignWithMargins="0">
        <oddFooter>&amp;L&amp;"Arial Narrow,Regular"&amp;8&amp;D&amp;C&amp;"Arial Narrow,Regular"&amp;8&amp;F</oddFooter>
      </headerFooter>
    </customSheetView>
    <customSheetView guid="{2A6091F0-BAF4-46A2-BC20-0DE610E67601}" scale="89" showPageBreaks="1" printArea="1" view="pageBreakPreview" topLeftCell="A13">
      <selection activeCell="C22" sqref="C22:F25"/>
      <rowBreaks count="1" manualBreakCount="1">
        <brk id="63" max="16" man="1"/>
      </rowBreaks>
      <colBreaks count="1" manualBreakCount="1">
        <brk id="22" max="1048575" man="1"/>
      </colBreaks>
      <pageMargins left="0.34" right="0.25" top="0.75" bottom="0.75" header="0.3" footer="0.3"/>
      <pageSetup paperSize="9" orientation="portrait" r:id="rId5"/>
      <headerFooter alignWithMargins="0">
        <oddFooter>&amp;L&amp;"Arial Narrow,Regular"&amp;8&amp;D&amp;C&amp;"Arial Narrow,Regular"&amp;8&amp;F</oddFooter>
      </headerFooter>
    </customSheetView>
    <customSheetView guid="{5111FDC7-EEAC-46C3-8033-47A3563F0C00}" scale="89" showPageBreaks="1" printArea="1" hiddenRows="1" view="pageBreakPreview" topLeftCell="A4">
      <selection activeCell="L33" sqref="L33:O37"/>
      <rowBreaks count="1" manualBreakCount="1">
        <brk id="63" max="16" man="1"/>
      </rowBreaks>
      <colBreaks count="1" manualBreakCount="1">
        <brk id="22" max="1048575" man="1"/>
      </colBreaks>
      <pageMargins left="0.34" right="0.25" top="0.75" bottom="0.75" header="0.3" footer="0.3"/>
      <pageSetup paperSize="9" orientation="portrait" r:id="rId6"/>
      <headerFooter alignWithMargins="0">
        <oddFooter>&amp;L&amp;"Arial Narrow,Regular"&amp;8&amp;D&amp;C&amp;"Arial Narrow,Regular"&amp;8&amp;F</oddFooter>
      </headerFooter>
    </customSheetView>
    <customSheetView guid="{2A5E79E4-584C-4F65-A220-87928CEA02AF}" scale="89" showPageBreaks="1" printArea="1" hiddenRows="1" view="pageBreakPreview" topLeftCell="A28">
      <selection activeCell="C22" sqref="C22:F25"/>
      <rowBreaks count="1" manualBreakCount="1">
        <brk id="60" max="16" man="1"/>
      </rowBreaks>
      <colBreaks count="1" manualBreakCount="1">
        <brk id="21" max="1048575" man="1"/>
      </colBreaks>
      <pageMargins left="0.34" right="0.25" top="0.75" bottom="0.75" header="0.3" footer="0.3"/>
      <pageSetup paperSize="9" orientation="portrait" r:id="rId7"/>
      <headerFooter alignWithMargins="0">
        <oddFooter>&amp;L&amp;"Arial Narrow,Regular"&amp;8&amp;D&amp;C&amp;"Arial Narrow,Regular"&amp;8&amp;F</oddFooter>
      </headerFooter>
    </customSheetView>
    <customSheetView guid="{66872EF1-41BD-4D4B-B603-B8B0D03DAD22}" scale="89" showPageBreaks="1" printArea="1" hiddenRows="1" view="pageBreakPreview" topLeftCell="A28">
      <selection activeCell="C22" sqref="C22:F25"/>
      <rowBreaks count="1" manualBreakCount="1">
        <brk id="60" max="16" man="1"/>
      </rowBreaks>
      <colBreaks count="1" manualBreakCount="1">
        <brk id="21" max="1048575" man="1"/>
      </colBreaks>
      <pageMargins left="0.34" right="0.25" top="0.75" bottom="0.75" header="0.3" footer="0.3"/>
      <pageSetup paperSize="9" orientation="portrait" r:id="rId8"/>
      <headerFooter alignWithMargins="0">
        <oddFooter>&amp;L&amp;"Arial Narrow,Regular"&amp;8&amp;D&amp;C&amp;"Arial Narrow,Regular"&amp;8&amp;F</oddFooter>
      </headerFooter>
    </customSheetView>
    <customSheetView guid="{ACE56013-11B3-4BF4-BD0B-BF59142DAC13}" scale="89" showPageBreaks="1" printArea="1" hiddenRows="1" view="pageBreakPreview" topLeftCell="A28">
      <selection activeCell="F61" sqref="F61"/>
      <rowBreaks count="1" manualBreakCount="1">
        <brk id="60" max="16" man="1"/>
      </rowBreaks>
      <colBreaks count="1" manualBreakCount="1">
        <brk id="21" max="1048575" man="1"/>
      </colBreaks>
      <pageMargins left="0.34" right="0.25" top="0.75" bottom="0.75" header="0.3" footer="0.3"/>
      <pageSetup paperSize="9" orientation="portrait" r:id="rId9"/>
      <headerFooter alignWithMargins="0">
        <oddFooter>&amp;L&amp;"Arial Narrow,Regular"&amp;8&amp;D&amp;C&amp;"Arial Narrow,Regular"&amp;8&amp;F</oddFooter>
      </headerFooter>
    </customSheetView>
  </customSheetViews>
  <mergeCells count="84">
    <mergeCell ref="G84:G85"/>
    <mergeCell ref="G95:G97"/>
    <mergeCell ref="G107:G108"/>
    <mergeCell ref="G70:G73"/>
    <mergeCell ref="G37:G38"/>
    <mergeCell ref="G46:G47"/>
    <mergeCell ref="G55:G58"/>
    <mergeCell ref="G53:G54"/>
    <mergeCell ref="G51:G52"/>
    <mergeCell ref="C100:G106"/>
    <mergeCell ref="C99:F99"/>
    <mergeCell ref="G86:G88"/>
    <mergeCell ref="G90:G94"/>
    <mergeCell ref="C41:F43"/>
    <mergeCell ref="K66:N68"/>
    <mergeCell ref="K54:O55"/>
    <mergeCell ref="C66:F66"/>
    <mergeCell ref="C55:F58"/>
    <mergeCell ref="C59:F60"/>
    <mergeCell ref="K69:N71"/>
    <mergeCell ref="O69:O70"/>
    <mergeCell ref="C70:F73"/>
    <mergeCell ref="K72:N77"/>
    <mergeCell ref="K78:N80"/>
    <mergeCell ref="C74:F81"/>
    <mergeCell ref="K117:M117"/>
    <mergeCell ref="K81:N83"/>
    <mergeCell ref="C82:F83"/>
    <mergeCell ref="C84:F85"/>
    <mergeCell ref="K84:N86"/>
    <mergeCell ref="C86:F88"/>
    <mergeCell ref="K106:M106"/>
    <mergeCell ref="K108:O109"/>
    <mergeCell ref="K113:O113"/>
    <mergeCell ref="K87:N89"/>
    <mergeCell ref="O90:O91"/>
    <mergeCell ref="C90:F94"/>
    <mergeCell ref="K92:O94"/>
    <mergeCell ref="K90:N91"/>
    <mergeCell ref="C95:F97"/>
    <mergeCell ref="K99:O101"/>
    <mergeCell ref="K50:N53"/>
    <mergeCell ref="C49:F50"/>
    <mergeCell ref="C51:F52"/>
    <mergeCell ref="C53:F54"/>
    <mergeCell ref="C48:F48"/>
    <mergeCell ref="C28:F29"/>
    <mergeCell ref="K28:K29"/>
    <mergeCell ref="O28:O29"/>
    <mergeCell ref="C30:F31"/>
    <mergeCell ref="K30:K31"/>
    <mergeCell ref="O30:O31"/>
    <mergeCell ref="G28:G29"/>
    <mergeCell ref="G30:G31"/>
    <mergeCell ref="K44:O46"/>
    <mergeCell ref="K40:N41"/>
    <mergeCell ref="C32:F33"/>
    <mergeCell ref="C35:F36"/>
    <mergeCell ref="C46:F46"/>
    <mergeCell ref="G32:G33"/>
    <mergeCell ref="K33:N36"/>
    <mergeCell ref="K37:N38"/>
    <mergeCell ref="C13:F14"/>
    <mergeCell ref="K16:N24"/>
    <mergeCell ref="O19:O20"/>
    <mergeCell ref="C20:F21"/>
    <mergeCell ref="K25:N27"/>
    <mergeCell ref="C26:F27"/>
    <mergeCell ref="C24:F25"/>
    <mergeCell ref="C16:F19"/>
    <mergeCell ref="C15:F15"/>
    <mergeCell ref="G13:G14"/>
    <mergeCell ref="G16:G18"/>
    <mergeCell ref="G20:G21"/>
    <mergeCell ref="G22:G23"/>
    <mergeCell ref="G24:G25"/>
    <mergeCell ref="G26:G27"/>
    <mergeCell ref="C3:F4"/>
    <mergeCell ref="K3:O4"/>
    <mergeCell ref="C5:F7"/>
    <mergeCell ref="K5:N8"/>
    <mergeCell ref="K9:O11"/>
    <mergeCell ref="C9:F11"/>
    <mergeCell ref="G9:G12"/>
  </mergeCells>
  <pageMargins left="0.25" right="0.25" top="0.75" bottom="0.75" header="0.3" footer="0.3"/>
  <pageSetup paperSize="9" orientation="portrait" r:id="rId10"/>
  <headerFooter alignWithMargins="0">
    <oddFooter>&amp;L&amp;"Arial Narrow,Regular"&amp;8&amp;D&amp;C&amp;"Arial Narrow,Regular"&amp;8&amp;F</oddFooter>
  </headerFooter>
  <rowBreaks count="1" manualBreakCount="1">
    <brk id="60" max="15" man="1"/>
  </rowBreaks>
  <colBreaks count="1" manualBreakCount="1">
    <brk id="21" max="1048575" man="1"/>
  </colBreaks>
  <drawing r:id="rId11"/>
  <legacyDrawing r:id="rId1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0"/>
  <sheetViews>
    <sheetView view="pageLayout" zoomScaleNormal="100" workbookViewId="0">
      <selection activeCell="O1" sqref="O1"/>
    </sheetView>
  </sheetViews>
  <sheetFormatPr defaultColWidth="9.140625" defaultRowHeight="15"/>
  <cols>
    <col min="1" max="1" width="2.140625" style="1688" customWidth="1"/>
    <col min="2" max="2" width="6" style="1688" customWidth="1"/>
    <col min="3" max="3" width="16.42578125" style="1688" customWidth="1"/>
    <col min="4" max="4" width="5.5703125" style="1688" customWidth="1"/>
    <col min="5" max="5" width="8.85546875" style="1688" customWidth="1"/>
    <col min="6" max="6" width="7.7109375" style="1688" customWidth="1"/>
    <col min="7" max="7" width="8.28515625" style="1688" customWidth="1"/>
    <col min="8" max="8" width="4.140625" style="1688" customWidth="1"/>
    <col min="9" max="9" width="6.42578125" style="1688" customWidth="1"/>
    <col min="10" max="10" width="10.5703125" style="1688" customWidth="1"/>
    <col min="11" max="11" width="10.140625" style="1688" customWidth="1"/>
    <col min="12" max="12" width="9" style="1688" customWidth="1"/>
    <col min="13" max="13" width="11.5703125" style="1688" customWidth="1"/>
    <col min="14" max="14" width="10.85546875" style="1688" customWidth="1"/>
    <col min="15" max="15" width="7.28515625" style="1688" customWidth="1"/>
    <col min="16" max="16384" width="9.140625" style="1688"/>
  </cols>
  <sheetData>
    <row r="1" spans="1:15" ht="23.25" customHeight="1">
      <c r="A1" s="4012" t="s">
        <v>1516</v>
      </c>
      <c r="B1" s="4012"/>
      <c r="C1" s="4012"/>
      <c r="D1" s="4012"/>
      <c r="E1" s="4012"/>
      <c r="F1" s="4012"/>
      <c r="G1" s="4012"/>
      <c r="H1" s="4012"/>
      <c r="I1" s="552"/>
      <c r="J1" s="552"/>
      <c r="K1" s="494"/>
      <c r="L1" s="494"/>
      <c r="O1" s="2054" t="s">
        <v>1396</v>
      </c>
    </row>
    <row r="2" spans="1:15" ht="12.75" customHeight="1">
      <c r="A2" s="1995"/>
      <c r="B2" s="1995"/>
      <c r="C2" s="1995"/>
      <c r="D2" s="1995"/>
      <c r="E2" s="1995"/>
      <c r="F2" s="1995"/>
      <c r="G2" s="1995"/>
      <c r="H2" s="1995"/>
      <c r="I2" s="552"/>
      <c r="J2" s="552"/>
      <c r="K2" s="494"/>
      <c r="L2" s="494"/>
      <c r="N2" s="1689"/>
    </row>
    <row r="3" spans="1:15" ht="33.75" customHeight="1" thickBot="1">
      <c r="A3" s="4013">
        <v>2.39</v>
      </c>
      <c r="B3" s="4013"/>
      <c r="C3" s="4014" t="s">
        <v>1163</v>
      </c>
      <c r="D3" s="4014"/>
      <c r="E3" s="4014"/>
      <c r="F3" s="4014"/>
      <c r="G3" s="4014"/>
      <c r="H3" s="4014"/>
      <c r="I3" s="4014"/>
      <c r="J3" s="4014"/>
      <c r="K3" s="4014"/>
      <c r="L3" s="4014"/>
      <c r="M3" s="4014"/>
      <c r="N3" s="1690"/>
    </row>
    <row r="4" spans="1:15" ht="12.75" customHeight="1">
      <c r="C4" s="1690"/>
      <c r="D4" s="1690"/>
      <c r="E4" s="1690"/>
      <c r="F4" s="1690"/>
      <c r="K4" s="1929" t="s">
        <v>351</v>
      </c>
      <c r="L4" s="1929"/>
      <c r="M4" s="1930"/>
      <c r="N4" s="1691"/>
    </row>
    <row r="5" spans="1:15" ht="12.75" customHeight="1" thickBot="1">
      <c r="C5" s="1690"/>
      <c r="D5" s="1690"/>
      <c r="E5" s="1690"/>
      <c r="F5" s="1690"/>
      <c r="K5" s="4015" t="s">
        <v>1571</v>
      </c>
      <c r="L5" s="4015"/>
      <c r="M5" s="4015"/>
      <c r="N5" s="511"/>
    </row>
    <row r="6" spans="1:15" ht="7.5" customHeight="1">
      <c r="C6" s="1690"/>
      <c r="D6" s="1690"/>
      <c r="E6" s="1690"/>
      <c r="F6" s="1690"/>
      <c r="G6" s="1690"/>
      <c r="H6" s="1690"/>
      <c r="I6" s="1690"/>
      <c r="J6" s="1690"/>
      <c r="K6" s="1690"/>
      <c r="L6" s="1690"/>
      <c r="M6" s="1690"/>
      <c r="N6" s="1690"/>
    </row>
    <row r="7" spans="1:15" ht="6" customHeight="1" thickBot="1"/>
    <row r="8" spans="1:15" s="1692" customFormat="1" ht="24" customHeight="1" thickBot="1">
      <c r="C8" s="4016"/>
      <c r="D8" s="4017"/>
      <c r="E8" s="4017"/>
      <c r="F8" s="4017"/>
      <c r="G8" s="4017"/>
      <c r="H8" s="4017"/>
      <c r="I8" s="4017"/>
      <c r="J8" s="4017" t="s">
        <v>209</v>
      </c>
      <c r="K8" s="4017"/>
      <c r="L8" s="4017"/>
      <c r="M8" s="4017"/>
      <c r="N8" s="4018"/>
    </row>
    <row r="9" spans="1:15" ht="12.75" customHeight="1" thickBot="1">
      <c r="C9" s="1204"/>
      <c r="D9" s="4019">
        <v>2.4</v>
      </c>
      <c r="E9" s="4020"/>
      <c r="F9" s="4021">
        <v>2.41</v>
      </c>
      <c r="G9" s="4022"/>
      <c r="H9" s="4021">
        <f>+F9+0.01</f>
        <v>2.42</v>
      </c>
      <c r="I9" s="4023"/>
      <c r="J9" s="1205">
        <f>+H9+0.01</f>
        <v>2.4299999999999997</v>
      </c>
      <c r="K9" s="1205">
        <f>+J9+0.01</f>
        <v>2.4399999999999995</v>
      </c>
      <c r="L9" s="1206">
        <f>+K9+0.01</f>
        <v>2.4499999999999993</v>
      </c>
      <c r="M9" s="1207">
        <f>+L9+0.01</f>
        <v>2.4599999999999991</v>
      </c>
      <c r="N9" s="1208">
        <f>+M9+0.01</f>
        <v>2.4699999999999989</v>
      </c>
    </row>
    <row r="10" spans="1:15" ht="15" customHeight="1">
      <c r="C10" s="4016" t="s">
        <v>222</v>
      </c>
      <c r="D10" s="4025" t="s">
        <v>1214</v>
      </c>
      <c r="E10" s="4026"/>
      <c r="F10" s="4027" t="s">
        <v>1079</v>
      </c>
      <c r="G10" s="4028"/>
      <c r="H10" s="4025" t="s">
        <v>1080</v>
      </c>
      <c r="I10" s="4029"/>
      <c r="J10" s="4033" t="s">
        <v>352</v>
      </c>
      <c r="K10" s="3999" t="s">
        <v>1244</v>
      </c>
      <c r="L10" s="4002" t="s">
        <v>741</v>
      </c>
      <c r="M10" s="4002"/>
      <c r="N10" s="4003"/>
    </row>
    <row r="11" spans="1:15" ht="15" customHeight="1">
      <c r="C11" s="4024"/>
      <c r="D11" s="4027"/>
      <c r="E11" s="4028"/>
      <c r="F11" s="4027"/>
      <c r="G11" s="4028"/>
      <c r="H11" s="4027"/>
      <c r="I11" s="4030"/>
      <c r="J11" s="4005"/>
      <c r="K11" s="4000"/>
      <c r="L11" s="4004" t="s">
        <v>353</v>
      </c>
      <c r="M11" s="4006" t="s">
        <v>1215</v>
      </c>
      <c r="N11" s="4008" t="s">
        <v>1208</v>
      </c>
    </row>
    <row r="12" spans="1:15" ht="15" customHeight="1">
      <c r="C12" s="4024"/>
      <c r="D12" s="4027"/>
      <c r="E12" s="4028"/>
      <c r="F12" s="4027"/>
      <c r="G12" s="4028"/>
      <c r="H12" s="4027"/>
      <c r="I12" s="4030"/>
      <c r="J12" s="4005"/>
      <c r="K12" s="4000"/>
      <c r="L12" s="4005"/>
      <c r="M12" s="4007"/>
      <c r="N12" s="4009"/>
    </row>
    <row r="13" spans="1:15" ht="18" customHeight="1">
      <c r="C13" s="4024"/>
      <c r="D13" s="4027"/>
      <c r="E13" s="4028"/>
      <c r="F13" s="4027"/>
      <c r="G13" s="4028"/>
      <c r="H13" s="4027"/>
      <c r="I13" s="4030"/>
      <c r="J13" s="4005"/>
      <c r="K13" s="4000"/>
      <c r="L13" s="4005"/>
      <c r="M13" s="4007"/>
      <c r="N13" s="4009"/>
    </row>
    <row r="14" spans="1:15" ht="12.75" customHeight="1">
      <c r="C14" s="1693"/>
      <c r="D14" s="2200" t="s">
        <v>862</v>
      </c>
      <c r="E14" s="2201">
        <v>1</v>
      </c>
      <c r="F14" s="4027"/>
      <c r="G14" s="4028"/>
      <c r="H14" s="4027"/>
      <c r="I14" s="4030"/>
      <c r="J14" s="4005"/>
      <c r="K14" s="4000"/>
      <c r="L14" s="4005"/>
      <c r="M14" s="4007"/>
      <c r="N14" s="4009"/>
    </row>
    <row r="15" spans="1:15" ht="12.75" customHeight="1">
      <c r="C15" s="1693"/>
      <c r="D15" s="2202" t="s">
        <v>863</v>
      </c>
      <c r="E15" s="4031" t="s">
        <v>1081</v>
      </c>
      <c r="F15" s="2203"/>
      <c r="G15" s="2204"/>
      <c r="H15" s="4027"/>
      <c r="I15" s="4030"/>
      <c r="J15" s="4005"/>
      <c r="K15" s="4000"/>
      <c r="L15" s="4005"/>
      <c r="M15" s="4007"/>
      <c r="N15" s="4009"/>
    </row>
    <row r="16" spans="1:15" ht="12.75" customHeight="1">
      <c r="C16" s="1693"/>
      <c r="D16" s="2205"/>
      <c r="E16" s="4032"/>
      <c r="F16" s="2203"/>
      <c r="G16" s="2204"/>
      <c r="H16" s="4027"/>
      <c r="I16" s="4030"/>
      <c r="J16" s="4005"/>
      <c r="K16" s="4001"/>
      <c r="L16" s="1694"/>
      <c r="M16" s="1695"/>
      <c r="N16" s="1696"/>
    </row>
    <row r="17" spans="1:15" ht="13.5" customHeight="1">
      <c r="A17" s="1692"/>
      <c r="B17" s="1692"/>
      <c r="C17" s="2443" t="s">
        <v>1082</v>
      </c>
      <c r="D17" s="2206"/>
      <c r="E17" s="2207"/>
      <c r="F17" s="2444" t="s">
        <v>1083</v>
      </c>
      <c r="G17" s="2445" t="s">
        <v>1084</v>
      </c>
      <c r="H17" s="4010"/>
      <c r="I17" s="4011"/>
      <c r="J17" s="2446" t="s">
        <v>219</v>
      </c>
      <c r="K17" s="2447" t="s">
        <v>219</v>
      </c>
      <c r="L17" s="2446" t="s">
        <v>219</v>
      </c>
      <c r="M17" s="2448" t="s">
        <v>219</v>
      </c>
      <c r="N17" s="2449" t="s">
        <v>219</v>
      </c>
    </row>
    <row r="18" spans="1:15" ht="6.75" customHeight="1">
      <c r="C18" s="1697"/>
      <c r="D18" s="1690"/>
      <c r="E18" s="1690"/>
      <c r="F18" s="1690"/>
      <c r="G18" s="1690"/>
      <c r="H18" s="1690"/>
      <c r="I18" s="1690"/>
      <c r="J18" s="1690"/>
      <c r="K18" s="1690"/>
      <c r="L18" s="1690"/>
      <c r="M18" s="1690"/>
      <c r="N18" s="1698"/>
    </row>
    <row r="19" spans="1:15" s="1692" customFormat="1" ht="18.75" customHeight="1">
      <c r="B19" s="2579">
        <v>1</v>
      </c>
      <c r="C19" s="1699" t="s">
        <v>210</v>
      </c>
      <c r="D19" s="3991"/>
      <c r="E19" s="3992"/>
      <c r="F19" s="1700"/>
      <c r="G19" s="1701"/>
      <c r="H19" s="3993"/>
      <c r="I19" s="3994"/>
      <c r="J19" s="450"/>
      <c r="K19" s="451"/>
      <c r="L19" s="452"/>
      <c r="M19" s="1538"/>
      <c r="N19" s="451"/>
    </row>
    <row r="20" spans="1:15" s="1692" customFormat="1" ht="18.75" customHeight="1">
      <c r="B20" s="2579">
        <v>2</v>
      </c>
      <c r="C20" s="1699" t="s">
        <v>211</v>
      </c>
      <c r="D20" s="3991"/>
      <c r="E20" s="3992"/>
      <c r="F20" s="1700"/>
      <c r="G20" s="1701"/>
      <c r="H20" s="3993"/>
      <c r="I20" s="3994"/>
      <c r="J20" s="450"/>
      <c r="K20" s="451"/>
      <c r="L20" s="452"/>
      <c r="M20" s="1538"/>
      <c r="N20" s="451"/>
    </row>
    <row r="21" spans="1:15" s="1692" customFormat="1" ht="18.75" customHeight="1">
      <c r="B21" s="2579">
        <v>3</v>
      </c>
      <c r="C21" s="1699" t="s">
        <v>212</v>
      </c>
      <c r="D21" s="3991"/>
      <c r="E21" s="3992"/>
      <c r="F21" s="1700"/>
      <c r="G21" s="1701"/>
      <c r="H21" s="3993"/>
      <c r="I21" s="3994"/>
      <c r="J21" s="450"/>
      <c r="K21" s="451"/>
      <c r="L21" s="452"/>
      <c r="M21" s="1538"/>
      <c r="N21" s="451"/>
    </row>
    <row r="22" spans="1:15" s="1692" customFormat="1" ht="18.75" customHeight="1">
      <c r="B22" s="2579">
        <v>4</v>
      </c>
      <c r="C22" s="1699" t="s">
        <v>213</v>
      </c>
      <c r="D22" s="3991"/>
      <c r="E22" s="3992"/>
      <c r="F22" s="1700"/>
      <c r="G22" s="1701"/>
      <c r="H22" s="3993"/>
      <c r="I22" s="3994"/>
      <c r="J22" s="453"/>
      <c r="K22" s="451"/>
      <c r="L22" s="452"/>
      <c r="M22" s="1538"/>
      <c r="N22" s="451"/>
    </row>
    <row r="23" spans="1:15" s="1692" customFormat="1" ht="18.75" customHeight="1">
      <c r="B23" s="2579">
        <v>5</v>
      </c>
      <c r="C23" s="1699" t="s">
        <v>214</v>
      </c>
      <c r="D23" s="3991"/>
      <c r="E23" s="3992"/>
      <c r="F23" s="1700"/>
      <c r="G23" s="1701"/>
      <c r="H23" s="3993"/>
      <c r="I23" s="3994"/>
      <c r="J23" s="450"/>
      <c r="K23" s="451"/>
      <c r="L23" s="452"/>
      <c r="M23" s="1538"/>
      <c r="N23" s="451"/>
    </row>
    <row r="24" spans="1:15" s="1692" customFormat="1" ht="18.75" customHeight="1">
      <c r="B24" s="2579">
        <v>6</v>
      </c>
      <c r="C24" s="1699" t="s">
        <v>215</v>
      </c>
      <c r="D24" s="3991"/>
      <c r="E24" s="3992"/>
      <c r="F24" s="1700"/>
      <c r="G24" s="1701"/>
      <c r="H24" s="3993"/>
      <c r="I24" s="3994"/>
      <c r="J24" s="450"/>
      <c r="K24" s="451"/>
      <c r="L24" s="452"/>
      <c r="M24" s="1538"/>
      <c r="N24" s="451"/>
    </row>
    <row r="25" spans="1:15" s="1692" customFormat="1" ht="18.75" customHeight="1">
      <c r="B25" s="2579">
        <v>7</v>
      </c>
      <c r="C25" s="1699" t="s">
        <v>216</v>
      </c>
      <c r="D25" s="3991"/>
      <c r="E25" s="3992"/>
      <c r="F25" s="1700"/>
      <c r="G25" s="1701"/>
      <c r="H25" s="3993"/>
      <c r="I25" s="3994"/>
      <c r="J25" s="450"/>
      <c r="K25" s="451"/>
      <c r="L25" s="452"/>
      <c r="M25" s="1538"/>
      <c r="N25" s="451"/>
    </row>
    <row r="26" spans="1:15" s="1692" customFormat="1" ht="18.75" customHeight="1">
      <c r="B26" s="2579">
        <v>8</v>
      </c>
      <c r="C26" s="1699" t="s">
        <v>217</v>
      </c>
      <c r="D26" s="3991"/>
      <c r="E26" s="3992"/>
      <c r="F26" s="1700"/>
      <c r="G26" s="1701"/>
      <c r="H26" s="3993"/>
      <c r="I26" s="3994"/>
      <c r="J26" s="450"/>
      <c r="K26" s="451"/>
      <c r="L26" s="452"/>
      <c r="M26" s="1538"/>
      <c r="N26" s="451"/>
    </row>
    <row r="27" spans="1:15" s="1692" customFormat="1" ht="27" customHeight="1" thickBot="1">
      <c r="B27" s="2579">
        <v>9</v>
      </c>
      <c r="C27" s="1702" t="s">
        <v>1216</v>
      </c>
      <c r="D27" s="3995"/>
      <c r="E27" s="3996"/>
      <c r="F27" s="1703"/>
      <c r="G27" s="1704"/>
      <c r="H27" s="3997"/>
      <c r="I27" s="3998"/>
      <c r="J27" s="454"/>
      <c r="K27" s="455"/>
      <c r="L27" s="1705"/>
      <c r="M27" s="1706"/>
      <c r="N27" s="455"/>
    </row>
    <row r="28" spans="1:15" s="1692" customFormat="1" ht="12.75" customHeight="1" thickBot="1">
      <c r="B28" s="2579"/>
      <c r="C28" s="1707"/>
      <c r="D28" s="1707"/>
      <c r="E28" s="1707"/>
      <c r="F28" s="1708"/>
      <c r="G28" s="1708"/>
      <c r="H28" s="1708"/>
      <c r="I28" s="1708"/>
      <c r="J28" s="218"/>
      <c r="K28" s="218"/>
      <c r="L28" s="218"/>
      <c r="M28" s="218"/>
      <c r="N28" s="218"/>
      <c r="O28" s="1709"/>
    </row>
    <row r="29" spans="1:15" s="1692" customFormat="1" ht="24.95" customHeight="1" thickBot="1">
      <c r="B29" s="2595">
        <v>2.48</v>
      </c>
      <c r="C29" s="3987" t="s">
        <v>1308</v>
      </c>
      <c r="D29" s="3987"/>
      <c r="E29" s="3987"/>
      <c r="F29" s="3987"/>
      <c r="G29" s="3987"/>
      <c r="H29" s="3987"/>
      <c r="I29" s="3988"/>
      <c r="J29" s="3989"/>
      <c r="K29" s="3990"/>
      <c r="L29" s="218"/>
      <c r="M29" s="218"/>
      <c r="N29" s="218"/>
    </row>
    <row r="30" spans="1:15" s="1692" customFormat="1" ht="24.95" customHeight="1" thickBot="1">
      <c r="B30" s="2595">
        <v>2.4900000000000002</v>
      </c>
      <c r="C30" s="3985" t="s">
        <v>1309</v>
      </c>
      <c r="D30" s="3986"/>
      <c r="E30" s="3986"/>
      <c r="F30" s="3986"/>
      <c r="G30" s="3986"/>
      <c r="H30" s="3986"/>
      <c r="I30" s="3433"/>
      <c r="J30" s="3982"/>
      <c r="K30" s="3983"/>
      <c r="L30" s="3983"/>
      <c r="M30" s="3983"/>
      <c r="N30" s="3984"/>
    </row>
  </sheetData>
  <customSheetViews>
    <customSheetView guid="{BDF1A126-BD1D-4A5E-80B8-98941684E462}" showPageBreaks="1" printArea="1" view="pageLayout" topLeftCell="A12">
      <selection activeCell="P27" sqref="P27"/>
      <pageMargins left="0.63" right="0.5" top="0.78" bottom="0.53" header="0.6" footer="0.33"/>
      <pageSetup paperSize="9" orientation="landscape" r:id="rId1"/>
    </customSheetView>
    <customSheetView guid="{04F0793E-5444-463D-A1D5-E52E08A4C249}" showPageBreaks="1" printArea="1">
      <selection activeCell="Q18" sqref="Q18"/>
      <pageMargins left="0.63" right="0.5" top="0.75" bottom="0.75" header="0.55000000000000004" footer="0.5"/>
      <pageSetup paperSize="9" orientation="landscape" r:id="rId2"/>
    </customSheetView>
    <customSheetView guid="{925F74B5-C2F5-4E55-AFE4-045C56169B44}" showPageBreaks="1" printArea="1">
      <selection activeCell="R7" sqref="R7"/>
      <pageMargins left="0.63" right="0.5" top="0.75" bottom="0.75" header="0.55000000000000004" footer="0.5"/>
      <pageSetup paperSize="9" orientation="landscape" r:id="rId3"/>
    </customSheetView>
    <customSheetView guid="{1FF58891-F32F-4F97-9812-E2D02F4497AA}" showPageBreaks="1" printArea="1" view="pageLayout" topLeftCell="A4">
      <selection activeCell="B5" sqref="B5:B23"/>
      <pageMargins left="0.63" right="0.5" top="0.78" bottom="0.53" header="0.6" footer="0.33"/>
      <pageSetup paperSize="9" orientation="landscape" r:id="rId4"/>
    </customSheetView>
    <customSheetView guid="{2A6091F0-BAF4-46A2-BC20-0DE610E67601}" showPageBreaks="1" printArea="1" view="pageLayout" topLeftCell="A4">
      <selection activeCell="P11" sqref="P11"/>
      <pageMargins left="0.63" right="0.5" top="0.78" bottom="0.53" header="0.6" footer="0.33"/>
      <pageSetup paperSize="9" orientation="landscape" r:id="rId5"/>
    </customSheetView>
    <customSheetView guid="{5111FDC7-EEAC-46C3-8033-47A3563F0C00}" showPageBreaks="1" printArea="1" view="pageLayout">
      <selection activeCell="K5" sqref="K5:M5"/>
      <pageMargins left="0.63" right="0.5" top="0.78" bottom="0.53" header="0.6" footer="0.33"/>
      <pageSetup paperSize="9" orientation="landscape" r:id="rId6"/>
    </customSheetView>
    <customSheetView guid="{2A5E79E4-584C-4F65-A220-87928CEA02AF}" showPageBreaks="1" printArea="1" view="pageLayout" topLeftCell="A13">
      <selection activeCell="C3" sqref="C3:M3"/>
      <pageMargins left="0.63" right="0.5" top="0.78" bottom="0.53" header="0.6" footer="0.33"/>
      <pageSetup paperSize="9" orientation="landscape" r:id="rId7"/>
    </customSheetView>
    <customSheetView guid="{66872EF1-41BD-4D4B-B603-B8B0D03DAD22}" showPageBreaks="1" printArea="1" view="pageLayout" topLeftCell="A13">
      <selection activeCell="C3" sqref="C3:M3"/>
      <pageMargins left="0.63" right="0.5" top="0.78" bottom="0.53" header="0.6" footer="0.33"/>
      <pageSetup paperSize="9" orientation="landscape" r:id="rId8"/>
    </customSheetView>
    <customSheetView guid="{ACE56013-11B3-4BF4-BD0B-BF59142DAC13}" showPageBreaks="1" printArea="1" view="pageLayout">
      <selection sqref="A1:H1"/>
      <pageMargins left="0.63" right="0.5" top="0.78" bottom="0.53" header="0.6" footer="0.33"/>
      <pageSetup paperSize="9" orientation="landscape" r:id="rId9"/>
    </customSheetView>
  </customSheetViews>
  <mergeCells count="43">
    <mergeCell ref="H17:I17"/>
    <mergeCell ref="A1:H1"/>
    <mergeCell ref="A3:B3"/>
    <mergeCell ref="C3:M3"/>
    <mergeCell ref="K5:M5"/>
    <mergeCell ref="C8:I8"/>
    <mergeCell ref="J8:N8"/>
    <mergeCell ref="D9:E9"/>
    <mergeCell ref="F9:G9"/>
    <mergeCell ref="H9:I9"/>
    <mergeCell ref="C10:C13"/>
    <mergeCell ref="D10:E13"/>
    <mergeCell ref="F10:G14"/>
    <mergeCell ref="H10:I16"/>
    <mergeCell ref="E15:E16"/>
    <mergeCell ref="J10:J16"/>
    <mergeCell ref="K10:K16"/>
    <mergeCell ref="L10:N10"/>
    <mergeCell ref="L11:L15"/>
    <mergeCell ref="M11:M15"/>
    <mergeCell ref="N11:N15"/>
    <mergeCell ref="D19:E19"/>
    <mergeCell ref="H19:I19"/>
    <mergeCell ref="D20:E20"/>
    <mergeCell ref="H20:I20"/>
    <mergeCell ref="D21:E21"/>
    <mergeCell ref="H21:I21"/>
    <mergeCell ref="D22:E22"/>
    <mergeCell ref="H22:I22"/>
    <mergeCell ref="D23:E23"/>
    <mergeCell ref="H23:I23"/>
    <mergeCell ref="D24:E24"/>
    <mergeCell ref="H24:I24"/>
    <mergeCell ref="J30:N30"/>
    <mergeCell ref="C30:H30"/>
    <mergeCell ref="C29:I29"/>
    <mergeCell ref="J29:K29"/>
    <mergeCell ref="D25:E25"/>
    <mergeCell ref="H25:I25"/>
    <mergeCell ref="D26:E26"/>
    <mergeCell ref="H26:I26"/>
    <mergeCell ref="D27:E27"/>
    <mergeCell ref="H27:I27"/>
  </mergeCells>
  <pageMargins left="0.63" right="0.5" top="0.78" bottom="0.53" header="0.6" footer="0.33"/>
  <pageSetup paperSize="9" orientation="landscape" r:id="rId10"/>
  <drawing r:id="rId11"/>
  <legacyDrawing r:id="rId1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sheetPr>
  <dimension ref="A1:AZ58"/>
  <sheetViews>
    <sheetView view="pageLayout" zoomScaleNormal="100" workbookViewId="0"/>
  </sheetViews>
  <sheetFormatPr defaultColWidth="2.7109375" defaultRowHeight="12.75"/>
  <cols>
    <col min="1" max="1" width="5.140625" style="482" customWidth="1"/>
    <col min="2" max="2" width="1.28515625" style="411" customWidth="1"/>
    <col min="3" max="4" width="2.7109375" style="411"/>
    <col min="5" max="9" width="1.5703125" style="411" customWidth="1"/>
    <col min="10" max="10" width="2.7109375" style="411"/>
    <col min="11" max="11" width="0.42578125" style="411" customWidth="1"/>
    <col min="12" max="12" width="4.5703125" style="411" customWidth="1"/>
    <col min="13" max="17" width="3.140625" style="411" customWidth="1"/>
    <col min="18" max="18" width="7.7109375" style="411" customWidth="1"/>
    <col min="19" max="24" width="3.140625" style="411" customWidth="1"/>
    <col min="25" max="26" width="2.7109375" style="411" customWidth="1"/>
    <col min="27" max="16384" width="2.7109375" style="411"/>
  </cols>
  <sheetData>
    <row r="1" spans="1:30" s="367" customFormat="1" ht="20.100000000000001" customHeight="1">
      <c r="A1" s="551" t="s">
        <v>1565</v>
      </c>
      <c r="B1" s="1935"/>
      <c r="C1" s="1935"/>
      <c r="D1" s="1935"/>
      <c r="E1" s="1935"/>
      <c r="F1" s="1935"/>
      <c r="G1" s="1935"/>
      <c r="H1" s="1935"/>
      <c r="I1" s="1942"/>
      <c r="J1" s="1942"/>
      <c r="K1" s="1942"/>
      <c r="L1" s="1942"/>
      <c r="M1" s="1942"/>
      <c r="AB1" s="2054" t="s">
        <v>1475</v>
      </c>
    </row>
    <row r="2" spans="1:30" s="367" customFormat="1" ht="5.25" customHeight="1">
      <c r="A2" s="481"/>
      <c r="B2" s="1935"/>
      <c r="C2" s="1935"/>
      <c r="D2" s="1935"/>
      <c r="E2" s="1935"/>
      <c r="F2" s="1935"/>
      <c r="G2" s="1935"/>
      <c r="H2" s="1935"/>
      <c r="I2" s="1942"/>
      <c r="J2" s="1942"/>
      <c r="K2" s="1942"/>
      <c r="L2" s="1942"/>
      <c r="M2" s="1942"/>
      <c r="AD2" s="1689"/>
    </row>
    <row r="3" spans="1:30" ht="18.75" customHeight="1">
      <c r="A3" s="481" t="s">
        <v>461</v>
      </c>
    </row>
    <row r="4" spans="1:30" s="1326" customFormat="1" ht="12">
      <c r="A4" s="1325"/>
      <c r="B4" s="4049">
        <v>2.5</v>
      </c>
      <c r="C4" s="4050"/>
      <c r="D4" s="4050"/>
      <c r="E4" s="4050"/>
      <c r="F4" s="4050"/>
      <c r="G4" s="4050"/>
      <c r="H4" s="4050"/>
      <c r="I4" s="4050"/>
      <c r="J4" s="4050"/>
      <c r="K4" s="4050"/>
      <c r="L4" s="4051"/>
      <c r="M4" s="4049">
        <v>2.5099999999999998</v>
      </c>
      <c r="N4" s="4050"/>
      <c r="O4" s="4050"/>
      <c r="P4" s="4050"/>
      <c r="Q4" s="4050"/>
      <c r="R4" s="4051"/>
      <c r="S4" s="4049">
        <v>2.52</v>
      </c>
      <c r="T4" s="4050"/>
      <c r="U4" s="4050"/>
      <c r="V4" s="4050"/>
      <c r="W4" s="4050"/>
      <c r="X4" s="4051"/>
    </row>
    <row r="5" spans="1:30" ht="12.75" customHeight="1">
      <c r="A5" s="4034"/>
      <c r="B5" s="4044" t="s">
        <v>1198</v>
      </c>
      <c r="C5" s="4045"/>
      <c r="D5" s="4045"/>
      <c r="E5" s="4045"/>
      <c r="F5" s="4045"/>
      <c r="G5" s="4045"/>
      <c r="H5" s="4045"/>
      <c r="I5" s="4045"/>
      <c r="J5" s="4045"/>
      <c r="K5" s="4045"/>
      <c r="L5" s="4046"/>
      <c r="M5" s="4044" t="s">
        <v>818</v>
      </c>
      <c r="N5" s="4045"/>
      <c r="O5" s="4045"/>
      <c r="P5" s="4045"/>
      <c r="Q5" s="4045"/>
      <c r="R5" s="4046"/>
      <c r="S5" s="4044" t="s">
        <v>819</v>
      </c>
      <c r="T5" s="4045"/>
      <c r="U5" s="4045"/>
      <c r="V5" s="4045"/>
      <c r="W5" s="4045"/>
      <c r="X5" s="4046"/>
    </row>
    <row r="6" spans="1:30" ht="27.75" customHeight="1">
      <c r="A6" s="4034"/>
      <c r="B6" s="4047"/>
      <c r="C6" s="3973"/>
      <c r="D6" s="3973"/>
      <c r="E6" s="3973"/>
      <c r="F6" s="3973"/>
      <c r="G6" s="3973"/>
      <c r="H6" s="3973"/>
      <c r="I6" s="3973"/>
      <c r="J6" s="3973"/>
      <c r="K6" s="3973"/>
      <c r="L6" s="4048"/>
      <c r="M6" s="4042" t="s">
        <v>1485</v>
      </c>
      <c r="N6" s="3935"/>
      <c r="O6" s="3935"/>
      <c r="P6" s="3935"/>
      <c r="Q6" s="3935"/>
      <c r="R6" s="4043"/>
      <c r="S6" s="1993"/>
      <c r="T6" s="1994"/>
      <c r="U6" s="1994"/>
      <c r="V6" s="1994"/>
      <c r="W6" s="1994"/>
      <c r="X6" s="1998"/>
    </row>
    <row r="7" spans="1:30" ht="13.5" customHeight="1">
      <c r="A7" s="4034"/>
      <c r="B7" s="4047"/>
      <c r="C7" s="3973"/>
      <c r="D7" s="3973"/>
      <c r="E7" s="3973"/>
      <c r="F7" s="3973"/>
      <c r="G7" s="3973"/>
      <c r="H7" s="3973"/>
      <c r="I7" s="3973"/>
      <c r="J7" s="3973"/>
      <c r="K7" s="3973"/>
      <c r="L7" s="4048"/>
      <c r="M7" s="4042" t="s">
        <v>1705</v>
      </c>
      <c r="N7" s="3935"/>
      <c r="O7" s="3935"/>
      <c r="P7" s="3935"/>
      <c r="Q7" s="3935"/>
      <c r="R7" s="4043"/>
      <c r="S7" s="4058" t="s">
        <v>1484</v>
      </c>
      <c r="T7" s="4059"/>
      <c r="U7" s="4059"/>
      <c r="V7" s="4059"/>
      <c r="W7" s="4059"/>
      <c r="X7" s="4060"/>
    </row>
    <row r="8" spans="1:30" ht="27.75" customHeight="1">
      <c r="A8" s="4034"/>
      <c r="B8" s="4047"/>
      <c r="C8" s="3973"/>
      <c r="D8" s="3973"/>
      <c r="E8" s="3973"/>
      <c r="F8" s="3973"/>
      <c r="G8" s="3973"/>
      <c r="H8" s="3973"/>
      <c r="I8" s="3973"/>
      <c r="J8" s="3973"/>
      <c r="K8" s="3973"/>
      <c r="L8" s="4048"/>
      <c r="M8" s="4055"/>
      <c r="N8" s="4056"/>
      <c r="O8" s="4056"/>
      <c r="P8" s="4056"/>
      <c r="Q8" s="4056"/>
      <c r="R8" s="4057"/>
      <c r="S8" s="4061"/>
      <c r="T8" s="4062"/>
      <c r="U8" s="4062"/>
      <c r="V8" s="4062"/>
      <c r="W8" s="4062"/>
      <c r="X8" s="4063"/>
    </row>
    <row r="9" spans="1:30" ht="12.75" customHeight="1">
      <c r="A9" s="4034"/>
      <c r="B9" s="1715"/>
      <c r="C9" s="1716"/>
      <c r="D9" s="4035" t="s">
        <v>717</v>
      </c>
      <c r="E9" s="4035"/>
      <c r="F9" s="4035"/>
      <c r="G9" s="4035"/>
      <c r="H9" s="4035"/>
      <c r="I9" s="4035"/>
      <c r="J9" s="4035"/>
      <c r="K9" s="1716"/>
      <c r="L9" s="1717"/>
      <c r="M9" s="4052" t="s">
        <v>712</v>
      </c>
      <c r="N9" s="4053"/>
      <c r="O9" s="4053"/>
      <c r="P9" s="4053"/>
      <c r="Q9" s="4053"/>
      <c r="R9" s="4054"/>
      <c r="S9" s="4052" t="s">
        <v>42</v>
      </c>
      <c r="T9" s="4053"/>
      <c r="U9" s="4053"/>
      <c r="V9" s="4053"/>
      <c r="W9" s="4053"/>
      <c r="X9" s="4054"/>
    </row>
    <row r="10" spans="1:30" ht="5.25" customHeight="1"/>
    <row r="11" spans="1:30" ht="12.75" customHeight="1">
      <c r="A11" s="485">
        <v>1</v>
      </c>
      <c r="B11" s="1710" t="s">
        <v>913</v>
      </c>
      <c r="C11" s="1711"/>
      <c r="D11" s="1711"/>
      <c r="E11" s="1711"/>
      <c r="F11" s="1711"/>
      <c r="G11" s="487"/>
      <c r="H11" s="487"/>
      <c r="I11" s="487"/>
      <c r="J11" s="487"/>
      <c r="K11" s="487"/>
      <c r="L11" s="488"/>
      <c r="M11" s="4036"/>
      <c r="N11" s="4037"/>
      <c r="O11" s="4037"/>
      <c r="P11" s="4037"/>
      <c r="Q11" s="4037"/>
      <c r="R11" s="4038"/>
      <c r="S11" s="4039"/>
      <c r="T11" s="4040"/>
      <c r="U11" s="4040"/>
      <c r="V11" s="4040"/>
      <c r="W11" s="4040"/>
      <c r="X11" s="4041"/>
      <c r="Y11" s="508"/>
      <c r="Z11" s="508"/>
    </row>
    <row r="12" spans="1:30" ht="12.75" customHeight="1">
      <c r="A12" s="485">
        <v>2</v>
      </c>
      <c r="B12" s="1710" t="s">
        <v>914</v>
      </c>
      <c r="C12" s="1711"/>
      <c r="D12" s="1711"/>
      <c r="E12" s="1711"/>
      <c r="F12" s="1711"/>
      <c r="G12" s="487"/>
      <c r="H12" s="487"/>
      <c r="I12" s="487"/>
      <c r="J12" s="487"/>
      <c r="K12" s="487"/>
      <c r="L12" s="488"/>
      <c r="M12" s="4036"/>
      <c r="N12" s="4037"/>
      <c r="O12" s="4037"/>
      <c r="P12" s="4037"/>
      <c r="Q12" s="4037"/>
      <c r="R12" s="4038"/>
      <c r="S12" s="4039"/>
      <c r="T12" s="4040"/>
      <c r="U12" s="4040"/>
      <c r="V12" s="4040"/>
      <c r="W12" s="4040"/>
      <c r="X12" s="4041"/>
    </row>
    <row r="13" spans="1:30" ht="12.75" customHeight="1">
      <c r="A13" s="485">
        <v>3</v>
      </c>
      <c r="B13" s="1710" t="s">
        <v>915</v>
      </c>
      <c r="C13" s="1711"/>
      <c r="D13" s="1711"/>
      <c r="E13" s="1711"/>
      <c r="F13" s="1711"/>
      <c r="G13" s="487"/>
      <c r="H13" s="487"/>
      <c r="I13" s="487"/>
      <c r="J13" s="487"/>
      <c r="K13" s="487"/>
      <c r="L13" s="488"/>
      <c r="M13" s="4036"/>
      <c r="N13" s="4037"/>
      <c r="O13" s="4037"/>
      <c r="P13" s="4037"/>
      <c r="Q13" s="4037"/>
      <c r="R13" s="4038"/>
      <c r="S13" s="4039"/>
      <c r="T13" s="4040"/>
      <c r="U13" s="4040"/>
      <c r="V13" s="4040"/>
      <c r="W13" s="4040"/>
      <c r="X13" s="4041"/>
    </row>
    <row r="14" spans="1:30" ht="12.75" customHeight="1">
      <c r="A14" s="485">
        <v>4</v>
      </c>
      <c r="B14" s="1712" t="s">
        <v>916</v>
      </c>
      <c r="C14" s="1713"/>
      <c r="D14" s="1713"/>
      <c r="E14" s="1713"/>
      <c r="F14" s="1713"/>
      <c r="G14" s="490"/>
      <c r="H14" s="490"/>
      <c r="I14" s="490"/>
      <c r="J14" s="490"/>
      <c r="K14" s="490"/>
      <c r="L14" s="491"/>
      <c r="M14" s="4036"/>
      <c r="N14" s="4037"/>
      <c r="O14" s="4037"/>
      <c r="P14" s="4037"/>
      <c r="Q14" s="4037"/>
      <c r="R14" s="4038"/>
      <c r="S14" s="4039"/>
      <c r="T14" s="4040"/>
      <c r="U14" s="4040"/>
      <c r="V14" s="4040"/>
      <c r="W14" s="4040"/>
      <c r="X14" s="4041"/>
    </row>
    <row r="15" spans="1:30" ht="12.75" customHeight="1">
      <c r="A15" s="485">
        <v>5</v>
      </c>
      <c r="B15" s="1712" t="s">
        <v>917</v>
      </c>
      <c r="C15" s="1713"/>
      <c r="D15" s="1713"/>
      <c r="E15" s="1713"/>
      <c r="F15" s="1713"/>
      <c r="G15" s="490"/>
      <c r="H15" s="490"/>
      <c r="I15" s="490"/>
      <c r="J15" s="490"/>
      <c r="K15" s="490"/>
      <c r="L15" s="491"/>
      <c r="M15" s="4036"/>
      <c r="N15" s="4037"/>
      <c r="O15" s="4037"/>
      <c r="P15" s="4037"/>
      <c r="Q15" s="4037"/>
      <c r="R15" s="4038"/>
      <c r="S15" s="4039"/>
      <c r="T15" s="4040"/>
      <c r="U15" s="4040"/>
      <c r="V15" s="4040"/>
      <c r="W15" s="4040"/>
      <c r="X15" s="4041"/>
    </row>
    <row r="16" spans="1:30" ht="12.75" customHeight="1">
      <c r="A16" s="485">
        <v>6</v>
      </c>
      <c r="B16" s="1712" t="s">
        <v>918</v>
      </c>
      <c r="C16" s="1713"/>
      <c r="D16" s="1713"/>
      <c r="E16" s="1713"/>
      <c r="F16" s="1713"/>
      <c r="G16" s="490"/>
      <c r="H16" s="490"/>
      <c r="I16" s="490"/>
      <c r="J16" s="490"/>
      <c r="K16" s="490"/>
      <c r="L16" s="491"/>
      <c r="M16" s="4039"/>
      <c r="N16" s="4040"/>
      <c r="O16" s="4040"/>
      <c r="P16" s="4040"/>
      <c r="Q16" s="4040"/>
      <c r="R16" s="4041"/>
      <c r="S16" s="4039"/>
      <c r="T16" s="4040"/>
      <c r="U16" s="4040"/>
      <c r="V16" s="4040"/>
      <c r="W16" s="4040"/>
      <c r="X16" s="4041"/>
    </row>
    <row r="17" spans="1:40" ht="12.75" customHeight="1">
      <c r="A17" s="485">
        <v>7</v>
      </c>
      <c r="B17" s="2861" t="s">
        <v>1630</v>
      </c>
      <c r="C17" s="2860"/>
      <c r="D17" s="2779"/>
      <c r="E17" s="2779"/>
      <c r="F17" s="2779"/>
      <c r="G17" s="2780"/>
      <c r="H17" s="2780"/>
      <c r="I17" s="2780"/>
      <c r="J17" s="483"/>
      <c r="K17" s="483"/>
      <c r="L17" s="484"/>
      <c r="M17" s="2773"/>
      <c r="N17" s="2774"/>
      <c r="O17" s="2774"/>
      <c r="P17" s="2774"/>
      <c r="Q17" s="2774"/>
      <c r="R17" s="2775"/>
      <c r="S17" s="2773"/>
      <c r="T17" s="2774"/>
      <c r="U17" s="2774"/>
      <c r="V17" s="2774"/>
      <c r="W17" s="2774"/>
      <c r="X17" s="2775"/>
    </row>
    <row r="18" spans="1:40" ht="12.75" customHeight="1">
      <c r="A18" s="485">
        <v>8</v>
      </c>
      <c r="B18" s="1493" t="s">
        <v>919</v>
      </c>
      <c r="C18" s="1714"/>
      <c r="D18" s="1714"/>
      <c r="E18" s="1714"/>
      <c r="F18" s="1714"/>
      <c r="G18" s="483"/>
      <c r="H18" s="483"/>
      <c r="I18" s="483"/>
      <c r="J18" s="483"/>
      <c r="K18" s="483"/>
      <c r="L18" s="484"/>
      <c r="M18" s="1245"/>
      <c r="N18" s="1246"/>
      <c r="O18" s="1246"/>
      <c r="P18" s="1246"/>
      <c r="Q18" s="1246"/>
      <c r="R18" s="1247"/>
      <c r="S18" s="1245"/>
      <c r="T18" s="1246"/>
      <c r="U18" s="1246"/>
      <c r="V18" s="1246"/>
      <c r="W18" s="1246"/>
      <c r="X18" s="1247"/>
      <c r="AN18" s="411" t="s">
        <v>858</v>
      </c>
    </row>
    <row r="19" spans="1:40" ht="12.75" customHeight="1">
      <c r="A19" s="485">
        <v>9</v>
      </c>
      <c r="B19" s="1712" t="s">
        <v>1085</v>
      </c>
      <c r="C19" s="1713"/>
      <c r="D19" s="1713"/>
      <c r="E19" s="1713"/>
      <c r="F19" s="1713"/>
      <c r="G19" s="490"/>
      <c r="H19" s="490"/>
      <c r="I19" s="490"/>
      <c r="J19" s="490"/>
      <c r="K19" s="490"/>
      <c r="L19" s="491"/>
      <c r="M19" s="1242"/>
      <c r="N19" s="1243"/>
      <c r="O19" s="1243"/>
      <c r="P19" s="1243"/>
      <c r="Q19" s="1243"/>
      <c r="R19" s="1244"/>
      <c r="S19" s="1245"/>
      <c r="T19" s="1246"/>
      <c r="U19" s="1246"/>
      <c r="V19" s="1246"/>
      <c r="W19" s="1246"/>
      <c r="X19" s="1247"/>
      <c r="AN19" s="1418" t="s">
        <v>825</v>
      </c>
    </row>
    <row r="20" spans="1:40" ht="12.75" customHeight="1">
      <c r="A20" s="485">
        <v>10</v>
      </c>
      <c r="B20" s="1712" t="s">
        <v>920</v>
      </c>
      <c r="C20" s="1713"/>
      <c r="D20" s="1713"/>
      <c r="E20" s="1713"/>
      <c r="F20" s="1713"/>
      <c r="G20" s="490"/>
      <c r="H20" s="490"/>
      <c r="I20" s="490"/>
      <c r="J20" s="490"/>
      <c r="K20" s="490"/>
      <c r="L20" s="491"/>
      <c r="M20" s="4036"/>
      <c r="N20" s="4037"/>
      <c r="O20" s="4037"/>
      <c r="P20" s="4037"/>
      <c r="Q20" s="4037"/>
      <c r="R20" s="4038"/>
      <c r="S20" s="4039"/>
      <c r="T20" s="4040"/>
      <c r="U20" s="4040"/>
      <c r="V20" s="4040"/>
      <c r="W20" s="4040"/>
      <c r="X20" s="4041"/>
      <c r="AN20" s="1418" t="s">
        <v>1199</v>
      </c>
    </row>
    <row r="21" spans="1:40" ht="12.75" customHeight="1">
      <c r="A21" s="485">
        <v>11</v>
      </c>
      <c r="B21" s="1712" t="s">
        <v>921</v>
      </c>
      <c r="C21" s="1713"/>
      <c r="D21" s="1713"/>
      <c r="E21" s="1713"/>
      <c r="F21" s="1713"/>
      <c r="G21" s="490"/>
      <c r="H21" s="490"/>
      <c r="I21" s="490"/>
      <c r="J21" s="490"/>
      <c r="K21" s="490"/>
      <c r="L21" s="491"/>
      <c r="M21" s="4036"/>
      <c r="N21" s="4037"/>
      <c r="O21" s="4037"/>
      <c r="P21" s="4037"/>
      <c r="Q21" s="4037"/>
      <c r="R21" s="4038"/>
      <c r="S21" s="4039"/>
      <c r="T21" s="4040"/>
      <c r="U21" s="4040"/>
      <c r="V21" s="4040"/>
      <c r="W21" s="4040"/>
      <c r="X21" s="4041"/>
      <c r="AN21" s="1418" t="s">
        <v>826</v>
      </c>
    </row>
    <row r="22" spans="1:40" ht="12.75" customHeight="1">
      <c r="A22" s="485">
        <v>12</v>
      </c>
      <c r="B22" s="1712" t="s">
        <v>922</v>
      </c>
      <c r="C22" s="1713"/>
      <c r="D22" s="1713"/>
      <c r="E22" s="1713"/>
      <c r="F22" s="1713"/>
      <c r="G22" s="490"/>
      <c r="H22" s="490"/>
      <c r="I22" s="490"/>
      <c r="J22" s="490"/>
      <c r="K22" s="490"/>
      <c r="L22" s="491"/>
      <c r="M22" s="4036"/>
      <c r="N22" s="4037"/>
      <c r="O22" s="4037"/>
      <c r="P22" s="4037"/>
      <c r="Q22" s="4037"/>
      <c r="R22" s="4038"/>
      <c r="S22" s="4039"/>
      <c r="T22" s="4040"/>
      <c r="U22" s="4040"/>
      <c r="V22" s="4040"/>
      <c r="W22" s="4040"/>
      <c r="X22" s="4041"/>
      <c r="AN22" s="1418" t="s">
        <v>827</v>
      </c>
    </row>
    <row r="23" spans="1:40" ht="12.75" customHeight="1">
      <c r="A23" s="485">
        <v>13</v>
      </c>
      <c r="B23" s="1712" t="s">
        <v>923</v>
      </c>
      <c r="C23" s="1713"/>
      <c r="D23" s="1713"/>
      <c r="E23" s="1713"/>
      <c r="F23" s="1713"/>
      <c r="G23" s="490"/>
      <c r="H23" s="490"/>
      <c r="I23" s="490"/>
      <c r="J23" s="490"/>
      <c r="K23" s="490"/>
      <c r="L23" s="491"/>
      <c r="M23" s="4036"/>
      <c r="N23" s="4037"/>
      <c r="O23" s="4037"/>
      <c r="P23" s="4037"/>
      <c r="Q23" s="4037"/>
      <c r="R23" s="4038"/>
      <c r="S23" s="4039"/>
      <c r="T23" s="4040"/>
      <c r="U23" s="4040"/>
      <c r="V23" s="4040"/>
      <c r="W23" s="4040"/>
      <c r="X23" s="4041"/>
    </row>
    <row r="24" spans="1:40" ht="12.75" customHeight="1">
      <c r="A24" s="979">
        <v>14</v>
      </c>
      <c r="B24" s="1712" t="s">
        <v>924</v>
      </c>
      <c r="C24" s="1713"/>
      <c r="D24" s="1713"/>
      <c r="E24" s="1713"/>
      <c r="F24" s="1713"/>
      <c r="G24" s="490"/>
      <c r="H24" s="490"/>
      <c r="I24" s="490"/>
      <c r="J24" s="490"/>
      <c r="K24" s="490"/>
      <c r="L24" s="491"/>
      <c r="M24" s="4036"/>
      <c r="N24" s="4037"/>
      <c r="O24" s="4037"/>
      <c r="P24" s="4037"/>
      <c r="Q24" s="4037"/>
      <c r="R24" s="4038"/>
      <c r="S24" s="4039"/>
      <c r="T24" s="4040"/>
      <c r="U24" s="4040"/>
      <c r="V24" s="4040"/>
      <c r="W24" s="4040"/>
      <c r="X24" s="4041"/>
    </row>
    <row r="26" spans="1:40" ht="17.25" customHeight="1" thickBot="1">
      <c r="A26" s="2056">
        <v>2.5299999999999998</v>
      </c>
      <c r="B26" s="367"/>
      <c r="C26" s="2609" t="s">
        <v>830</v>
      </c>
      <c r="D26" s="367"/>
      <c r="E26" s="367"/>
    </row>
    <row r="27" spans="1:40" ht="11.25" customHeight="1">
      <c r="A27" s="2057"/>
      <c r="S27" s="1494" t="s">
        <v>862</v>
      </c>
      <c r="T27" s="1500">
        <v>1</v>
      </c>
      <c r="U27" s="1467"/>
      <c r="V27" s="1493"/>
      <c r="AC27" s="414"/>
      <c r="AD27" s="415"/>
    </row>
    <row r="28" spans="1:40" ht="11.25" customHeight="1" thickBot="1">
      <c r="A28" s="2057"/>
      <c r="S28" s="1494" t="s">
        <v>863</v>
      </c>
      <c r="T28" s="1500">
        <v>2</v>
      </c>
      <c r="U28" s="1475" t="s">
        <v>1477</v>
      </c>
      <c r="V28" s="1493"/>
      <c r="AC28" s="419"/>
      <c r="AD28" s="421"/>
    </row>
    <row r="29" spans="1:40" ht="9.75" customHeight="1">
      <c r="A29" s="2057"/>
      <c r="S29" s="418"/>
      <c r="T29" s="343"/>
      <c r="U29" s="976"/>
    </row>
    <row r="30" spans="1:40" ht="27" customHeight="1">
      <c r="A30" s="2056">
        <v>2.54</v>
      </c>
      <c r="B30" s="1493"/>
      <c r="C30" s="4068" t="s">
        <v>828</v>
      </c>
      <c r="D30" s="4068"/>
      <c r="E30" s="4068"/>
      <c r="F30" s="4068"/>
      <c r="G30" s="4068"/>
      <c r="H30" s="4068"/>
      <c r="I30" s="4068"/>
      <c r="J30" s="4068"/>
      <c r="K30" s="4068"/>
      <c r="L30" s="4068"/>
      <c r="M30" s="4068"/>
      <c r="N30" s="4068"/>
      <c r="O30" s="4068"/>
      <c r="P30" s="4068"/>
      <c r="Q30" s="4068"/>
      <c r="R30" s="4068"/>
      <c r="S30" s="4068"/>
      <c r="T30" s="4068"/>
      <c r="U30" s="4068"/>
      <c r="V30" s="4068"/>
      <c r="W30" s="4068"/>
      <c r="X30" s="4068"/>
      <c r="Y30" s="4068"/>
      <c r="Z30" s="4068"/>
      <c r="AA30" s="4068"/>
      <c r="AB30" s="4068"/>
      <c r="AC30" s="4068"/>
      <c r="AD30" s="4068"/>
    </row>
    <row r="31" spans="1:40" ht="12.75" customHeight="1" thickBot="1">
      <c r="B31" s="1493"/>
      <c r="C31" s="1493"/>
      <c r="D31" s="1493"/>
      <c r="E31" s="1493"/>
      <c r="F31" s="1493"/>
      <c r="G31" s="1493"/>
      <c r="H31" s="1493"/>
      <c r="I31" s="1493"/>
      <c r="J31" s="1493"/>
      <c r="K31" s="1493"/>
      <c r="L31" s="1493"/>
      <c r="M31" s="1493"/>
      <c r="N31" s="1324" t="s">
        <v>1744</v>
      </c>
      <c r="O31" s="1494"/>
      <c r="P31" s="1494"/>
      <c r="Q31" s="1494"/>
      <c r="R31" s="1494"/>
      <c r="S31" s="1494"/>
      <c r="T31" s="1494"/>
      <c r="U31" s="1494"/>
      <c r="V31" s="1494">
        <v>1</v>
      </c>
      <c r="W31" s="1493"/>
      <c r="X31" s="1493"/>
      <c r="Y31" s="1493"/>
      <c r="Z31" s="1493"/>
      <c r="AA31" s="1493"/>
      <c r="AB31" s="1493"/>
      <c r="AC31" s="1493"/>
      <c r="AD31" s="1493"/>
    </row>
    <row r="32" spans="1:40" ht="12.75" customHeight="1">
      <c r="B32" s="1493"/>
      <c r="C32" s="1493"/>
      <c r="D32" s="1493"/>
      <c r="E32" s="1493"/>
      <c r="F32" s="1493"/>
      <c r="G32" s="1493"/>
      <c r="H32" s="1493"/>
      <c r="I32" s="1493"/>
      <c r="J32" s="1493"/>
      <c r="K32" s="1493"/>
      <c r="L32" s="1493"/>
      <c r="M32" s="1493"/>
      <c r="N32" s="1324" t="s">
        <v>1086</v>
      </c>
      <c r="O32" s="1494"/>
      <c r="P32" s="1494"/>
      <c r="Q32" s="1494"/>
      <c r="R32" s="1494"/>
      <c r="S32" s="1494"/>
      <c r="T32" s="1494"/>
      <c r="U32" s="1494"/>
      <c r="V32" s="1494">
        <v>2</v>
      </c>
      <c r="W32" s="1493"/>
      <c r="X32" s="1493"/>
      <c r="Y32" s="1493"/>
      <c r="Z32" s="1493"/>
      <c r="AA32" s="1493"/>
      <c r="AB32" s="1493"/>
      <c r="AC32" s="1497"/>
      <c r="AD32" s="1502"/>
    </row>
    <row r="33" spans="1:52" ht="12.75" customHeight="1" thickBot="1">
      <c r="B33" s="1493"/>
      <c r="C33" s="1493"/>
      <c r="D33" s="1493"/>
      <c r="E33" s="1493"/>
      <c r="F33" s="1493"/>
      <c r="G33" s="1493"/>
      <c r="H33" s="1493"/>
      <c r="I33" s="1493"/>
      <c r="J33" s="1493"/>
      <c r="K33" s="1493"/>
      <c r="L33" s="1493"/>
      <c r="M33" s="1493"/>
      <c r="N33" s="1494" t="s">
        <v>1743</v>
      </c>
      <c r="O33" s="1494"/>
      <c r="P33" s="1494"/>
      <c r="Q33" s="1494"/>
      <c r="R33" s="1494"/>
      <c r="S33" s="1494"/>
      <c r="T33" s="1494"/>
      <c r="U33" s="1494"/>
      <c r="V33" s="1494">
        <v>3</v>
      </c>
      <c r="W33" s="1493"/>
      <c r="X33" s="1493"/>
      <c r="Y33" s="1493"/>
      <c r="Z33" s="1493"/>
      <c r="AA33" s="1493"/>
      <c r="AB33" s="1493"/>
      <c r="AC33" s="1498"/>
      <c r="AD33" s="1504"/>
    </row>
    <row r="34" spans="1:52" ht="12.75" customHeight="1">
      <c r="B34" s="1493"/>
      <c r="C34" s="1493"/>
      <c r="D34" s="1493"/>
      <c r="E34" s="1493"/>
      <c r="F34" s="1493"/>
      <c r="G34" s="1493"/>
      <c r="H34" s="1493"/>
      <c r="I34" s="1493"/>
      <c r="J34" s="1493"/>
      <c r="K34" s="1493"/>
      <c r="L34" s="1493"/>
      <c r="M34" s="1493"/>
      <c r="N34" s="1494" t="s">
        <v>1087</v>
      </c>
      <c r="O34" s="1494"/>
      <c r="P34" s="1494"/>
      <c r="Q34" s="1494"/>
      <c r="R34" s="1494"/>
      <c r="S34" s="1494"/>
      <c r="T34" s="1494"/>
      <c r="U34" s="1494"/>
      <c r="V34" s="1494">
        <v>4</v>
      </c>
      <c r="W34" s="1493"/>
      <c r="X34" s="1493"/>
      <c r="Y34" s="1493"/>
      <c r="Z34" s="1493"/>
      <c r="AA34" s="1493"/>
      <c r="AB34" s="1493"/>
      <c r="AC34" s="1493"/>
      <c r="AD34" s="1493"/>
    </row>
    <row r="35" spans="1:52" ht="12.75" customHeight="1">
      <c r="B35" s="1493"/>
      <c r="C35" s="1493"/>
      <c r="D35" s="1493"/>
      <c r="E35" s="1493"/>
      <c r="F35" s="1493"/>
      <c r="G35" s="1493"/>
      <c r="H35" s="1493"/>
      <c r="I35" s="1493"/>
      <c r="J35" s="1493"/>
      <c r="K35" s="1493"/>
      <c r="L35" s="1493"/>
      <c r="M35" s="1493"/>
      <c r="N35" s="1494" t="s">
        <v>1088</v>
      </c>
      <c r="O35" s="1494"/>
      <c r="P35" s="1494"/>
      <c r="Q35" s="1494"/>
      <c r="R35" s="1494"/>
      <c r="S35" s="1494"/>
      <c r="T35" s="1494"/>
      <c r="U35" s="1494"/>
      <c r="V35" s="1494">
        <v>5</v>
      </c>
      <c r="W35" s="1493"/>
      <c r="X35" s="1493"/>
      <c r="Y35" s="1493"/>
      <c r="Z35" s="1493"/>
      <c r="AA35" s="1493"/>
      <c r="AB35" s="1493"/>
      <c r="AC35" s="1493"/>
      <c r="AD35" s="1493"/>
    </row>
    <row r="36" spans="1:52" ht="12.75" customHeight="1">
      <c r="B36" s="1493"/>
      <c r="C36" s="1493"/>
      <c r="D36" s="1493"/>
      <c r="E36" s="1493"/>
      <c r="F36" s="1493"/>
      <c r="G36" s="1493"/>
      <c r="H36" s="1493"/>
      <c r="I36" s="1493"/>
      <c r="J36" s="1493"/>
      <c r="K36" s="1493"/>
      <c r="L36" s="1493"/>
      <c r="M36" s="1493"/>
      <c r="N36" s="1494" t="s">
        <v>1089</v>
      </c>
      <c r="O36" s="1494"/>
      <c r="P36" s="1494"/>
      <c r="Q36" s="1494"/>
      <c r="R36" s="1494"/>
      <c r="S36" s="1494"/>
      <c r="T36" s="1494"/>
      <c r="U36" s="1494"/>
      <c r="V36" s="1494">
        <v>6</v>
      </c>
      <c r="W36" s="1493"/>
      <c r="X36" s="1493"/>
      <c r="Y36" s="1493"/>
      <c r="Z36" s="1493"/>
      <c r="AA36" s="1493"/>
      <c r="AB36" s="1493"/>
      <c r="AC36" s="1493"/>
      <c r="AD36" s="1493"/>
    </row>
    <row r="37" spans="1:52" ht="8.25" customHeight="1" thickBot="1">
      <c r="B37" s="1493"/>
      <c r="C37" s="1493"/>
      <c r="D37" s="1493"/>
      <c r="E37" s="1493"/>
      <c r="F37" s="1493"/>
      <c r="G37" s="1493"/>
      <c r="H37" s="1493"/>
      <c r="I37" s="1493"/>
      <c r="J37" s="1493"/>
      <c r="K37" s="1493"/>
      <c r="L37" s="1493"/>
      <c r="M37" s="1493"/>
      <c r="N37" s="1493"/>
      <c r="O37" s="1493"/>
      <c r="P37" s="1493"/>
      <c r="Q37" s="1493"/>
      <c r="R37" s="1493"/>
      <c r="S37" s="1493"/>
      <c r="T37" s="1493"/>
      <c r="U37" s="1493"/>
      <c r="V37" s="1493"/>
      <c r="W37" s="1493"/>
      <c r="X37" s="1493"/>
      <c r="Y37" s="1493"/>
      <c r="Z37" s="1493"/>
      <c r="AA37" s="1493"/>
      <c r="AB37" s="1493"/>
      <c r="AC37" s="1493"/>
      <c r="AD37" s="1493"/>
    </row>
    <row r="38" spans="1:52" ht="13.5">
      <c r="A38" s="2056">
        <v>2.5499999999999998</v>
      </c>
      <c r="B38" s="1493"/>
      <c r="C38" s="1387" t="s">
        <v>831</v>
      </c>
      <c r="D38" s="1493"/>
      <c r="E38" s="1493"/>
      <c r="F38" s="1493"/>
      <c r="G38" s="1493"/>
      <c r="H38" s="1493"/>
      <c r="I38" s="1493"/>
      <c r="J38" s="1493"/>
      <c r="K38" s="1493"/>
      <c r="L38" s="1493"/>
      <c r="M38" s="1493"/>
      <c r="N38" s="1493"/>
      <c r="O38" s="1493"/>
      <c r="P38" s="1493"/>
      <c r="Q38" s="1493"/>
      <c r="R38" s="1493"/>
      <c r="S38" s="1493"/>
      <c r="T38" s="1493"/>
      <c r="U38" s="1493"/>
      <c r="V38" s="1493"/>
      <c r="W38" s="1493"/>
      <c r="X38" s="1493"/>
      <c r="Y38" s="1493"/>
      <c r="Z38" s="1493"/>
      <c r="AA38" s="1493"/>
      <c r="AB38" s="1493"/>
      <c r="AC38" s="1497"/>
      <c r="AD38" s="1502"/>
    </row>
    <row r="39" spans="1:52" ht="12.75" customHeight="1" thickBot="1">
      <c r="B39" s="1493"/>
      <c r="C39" s="1493"/>
      <c r="D39" s="1493"/>
      <c r="E39" s="1493"/>
      <c r="F39" s="1493"/>
      <c r="G39" s="1493"/>
      <c r="H39" s="1493"/>
      <c r="I39" s="1493"/>
      <c r="J39" s="1493"/>
      <c r="K39" s="1493"/>
      <c r="L39" s="1493"/>
      <c r="M39" s="1493"/>
      <c r="N39" s="1493"/>
      <c r="O39" s="1493"/>
      <c r="P39" s="1493"/>
      <c r="Q39" s="1493"/>
      <c r="R39" s="1493"/>
      <c r="S39" s="1494" t="s">
        <v>862</v>
      </c>
      <c r="T39" s="1500">
        <v>1</v>
      </c>
      <c r="U39" s="1467"/>
      <c r="V39" s="1493"/>
      <c r="W39" s="1493"/>
      <c r="X39" s="1493"/>
      <c r="Y39" s="1493"/>
      <c r="Z39" s="1493"/>
      <c r="AA39" s="1493"/>
      <c r="AB39" s="1493"/>
      <c r="AC39" s="1498"/>
      <c r="AD39" s="1504"/>
      <c r="AZ39" s="411" t="str">
        <f t="shared" ref="AZ39" si="0">PROPER(B26)</f>
        <v/>
      </c>
    </row>
    <row r="40" spans="1:52" ht="12.75" customHeight="1">
      <c r="B40" s="1493"/>
      <c r="C40" s="1493"/>
      <c r="D40" s="1493"/>
      <c r="E40" s="1493"/>
      <c r="F40" s="1493"/>
      <c r="G40" s="1493"/>
      <c r="H40" s="1493"/>
      <c r="I40" s="1493"/>
      <c r="J40" s="1493"/>
      <c r="K40" s="1493"/>
      <c r="L40" s="1493"/>
      <c r="M40" s="1493"/>
      <c r="N40" s="1493"/>
      <c r="O40" s="1493"/>
      <c r="P40" s="1493"/>
      <c r="Q40" s="1493"/>
      <c r="R40" s="1493"/>
      <c r="S40" s="1494" t="s">
        <v>863</v>
      </c>
      <c r="T40" s="1500">
        <v>2</v>
      </c>
      <c r="U40" s="1475" t="s">
        <v>1478</v>
      </c>
      <c r="V40" s="1493"/>
      <c r="W40" s="1493"/>
      <c r="X40" s="1493"/>
      <c r="Y40" s="1493"/>
      <c r="Z40" s="1493"/>
      <c r="AA40" s="1493"/>
      <c r="AB40" s="1493"/>
      <c r="AC40" s="1493"/>
      <c r="AD40" s="1493"/>
    </row>
    <row r="41" spans="1:52" ht="13.5">
      <c r="B41" s="1493"/>
      <c r="C41" s="1493"/>
      <c r="D41" s="1493"/>
      <c r="E41" s="1493"/>
      <c r="F41" s="1493"/>
      <c r="G41" s="1493"/>
      <c r="H41" s="1493"/>
      <c r="I41" s="1493"/>
      <c r="J41" s="1493"/>
      <c r="K41" s="1493"/>
      <c r="L41" s="1493"/>
      <c r="M41" s="1493"/>
      <c r="N41" s="1493"/>
      <c r="O41" s="1493"/>
      <c r="P41" s="1493"/>
      <c r="Q41" s="1493"/>
      <c r="R41" s="1493"/>
      <c r="S41" s="1472"/>
      <c r="T41" s="1718"/>
      <c r="U41" s="976"/>
      <c r="V41" s="1493"/>
      <c r="W41" s="1493"/>
      <c r="X41" s="1493"/>
      <c r="Y41" s="1493"/>
      <c r="Z41" s="1493"/>
      <c r="AA41" s="1493"/>
      <c r="AB41" s="1493"/>
      <c r="AC41" s="1493"/>
      <c r="AD41" s="1493"/>
    </row>
    <row r="42" spans="1:52" ht="12.75" customHeight="1" thickBot="1">
      <c r="A42" s="2056">
        <v>2.56</v>
      </c>
      <c r="B42" s="1493"/>
      <c r="C42" s="1387" t="s">
        <v>1200</v>
      </c>
      <c r="D42" s="1493"/>
      <c r="E42" s="1493"/>
      <c r="F42" s="1493"/>
      <c r="G42" s="1493"/>
      <c r="H42" s="1493"/>
      <c r="I42" s="1493"/>
      <c r="J42" s="1493"/>
      <c r="K42" s="1493"/>
      <c r="L42" s="1493"/>
      <c r="M42" s="1493"/>
      <c r="N42" s="1493"/>
      <c r="O42" s="1493"/>
      <c r="P42" s="1493"/>
      <c r="Q42" s="1493"/>
      <c r="R42" s="1493"/>
      <c r="S42" s="1493"/>
      <c r="T42" s="1493"/>
      <c r="U42" s="1493"/>
      <c r="V42" s="1493"/>
      <c r="W42" s="1493"/>
      <c r="X42" s="1493"/>
      <c r="Y42" s="1493"/>
      <c r="Z42" s="1493"/>
      <c r="AA42" s="1493"/>
      <c r="AB42" s="1493"/>
      <c r="AC42" s="1493"/>
      <c r="AD42" s="1493"/>
    </row>
    <row r="43" spans="1:52" ht="15" customHeight="1">
      <c r="B43" s="1493"/>
      <c r="C43" s="1493"/>
      <c r="D43" s="1493"/>
      <c r="E43" s="1493"/>
      <c r="F43" s="1493"/>
      <c r="G43" s="1493"/>
      <c r="H43" s="1493"/>
      <c r="I43" s="1493"/>
      <c r="J43" s="1493"/>
      <c r="K43" s="1493"/>
      <c r="L43" s="1493"/>
      <c r="M43" s="1493"/>
      <c r="N43" s="1324" t="s">
        <v>1745</v>
      </c>
      <c r="O43" s="1494"/>
      <c r="P43" s="1494"/>
      <c r="Q43" s="1494"/>
      <c r="R43" s="1494"/>
      <c r="S43" s="1494"/>
      <c r="T43" s="1494"/>
      <c r="U43" s="1494"/>
      <c r="V43" s="1494">
        <v>1</v>
      </c>
      <c r="W43" s="1493"/>
      <c r="X43" s="1493"/>
      <c r="Y43" s="1493"/>
      <c r="Z43" s="1493"/>
      <c r="AA43" s="1493"/>
      <c r="AB43" s="1493"/>
      <c r="AC43" s="1497"/>
      <c r="AD43" s="1502"/>
    </row>
    <row r="44" spans="1:52" ht="11.25" customHeight="1" thickBot="1">
      <c r="B44" s="1493"/>
      <c r="C44" s="1493"/>
      <c r="D44" s="1493"/>
      <c r="E44" s="1493"/>
      <c r="F44" s="1493"/>
      <c r="G44" s="1493"/>
      <c r="H44" s="1493"/>
      <c r="I44" s="1493"/>
      <c r="J44" s="1493"/>
      <c r="K44" s="1493"/>
      <c r="L44" s="1493"/>
      <c r="M44" s="1493"/>
      <c r="N44" s="1324" t="s">
        <v>1086</v>
      </c>
      <c r="O44" s="1494"/>
      <c r="P44" s="1494"/>
      <c r="Q44" s="1494"/>
      <c r="R44" s="1494"/>
      <c r="S44" s="1494"/>
      <c r="T44" s="1494"/>
      <c r="U44" s="1494"/>
      <c r="V44" s="1494">
        <v>2</v>
      </c>
      <c r="W44" s="1493"/>
      <c r="X44" s="1493"/>
      <c r="Y44" s="1493"/>
      <c r="Z44" s="1493"/>
      <c r="AA44" s="1493"/>
      <c r="AB44" s="1493"/>
      <c r="AC44" s="1498"/>
      <c r="AD44" s="1504"/>
    </row>
    <row r="45" spans="1:52" ht="11.25" customHeight="1">
      <c r="B45" s="1493"/>
      <c r="C45" s="1493"/>
      <c r="D45" s="1493"/>
      <c r="E45" s="1493"/>
      <c r="F45" s="1493"/>
      <c r="G45" s="1493"/>
      <c r="H45" s="1493"/>
      <c r="I45" s="1493"/>
      <c r="J45" s="1493"/>
      <c r="K45" s="1493"/>
      <c r="L45" s="1493"/>
      <c r="M45" s="1493"/>
      <c r="N45" s="1494" t="s">
        <v>1743</v>
      </c>
      <c r="O45" s="1494"/>
      <c r="P45" s="1494"/>
      <c r="Q45" s="1494"/>
      <c r="R45" s="1494"/>
      <c r="S45" s="1494"/>
      <c r="T45" s="1494"/>
      <c r="U45" s="1494"/>
      <c r="V45" s="1494">
        <v>3</v>
      </c>
      <c r="W45" s="1493"/>
      <c r="X45" s="1493"/>
      <c r="Y45" s="1493"/>
      <c r="Z45" s="1493"/>
      <c r="AA45" s="1493"/>
      <c r="AB45" s="1493"/>
      <c r="AC45" s="1493"/>
      <c r="AD45" s="1493"/>
    </row>
    <row r="46" spans="1:52" ht="11.25" customHeight="1">
      <c r="B46" s="1493"/>
      <c r="C46" s="1493"/>
      <c r="D46" s="1493"/>
      <c r="E46" s="1493"/>
      <c r="F46" s="1493"/>
      <c r="G46" s="1493"/>
      <c r="H46" s="1493"/>
      <c r="I46" s="1493"/>
      <c r="J46" s="1493"/>
      <c r="K46" s="1493"/>
      <c r="L46" s="1493"/>
      <c r="M46" s="1493"/>
      <c r="N46" s="1494" t="s">
        <v>1087</v>
      </c>
      <c r="O46" s="1494"/>
      <c r="P46" s="1494"/>
      <c r="Q46" s="1494"/>
      <c r="R46" s="1494"/>
      <c r="S46" s="1494"/>
      <c r="T46" s="1494"/>
      <c r="U46" s="1494"/>
      <c r="V46" s="1494">
        <v>4</v>
      </c>
      <c r="W46" s="1493"/>
      <c r="X46" s="1493"/>
      <c r="Y46" s="1493"/>
      <c r="Z46" s="1493"/>
      <c r="AA46" s="1493"/>
      <c r="AB46" s="1493"/>
      <c r="AC46" s="1493"/>
      <c r="AD46" s="1493"/>
    </row>
    <row r="47" spans="1:52" ht="11.25" customHeight="1">
      <c r="B47" s="1493"/>
      <c r="C47" s="1493"/>
      <c r="D47" s="1493"/>
      <c r="E47" s="1493"/>
      <c r="F47" s="1493"/>
      <c r="G47" s="1493"/>
      <c r="H47" s="1493"/>
      <c r="I47" s="1493"/>
      <c r="J47" s="1493"/>
      <c r="K47" s="1493"/>
      <c r="L47" s="1493"/>
      <c r="M47" s="1493"/>
      <c r="N47" s="1494" t="s">
        <v>1088</v>
      </c>
      <c r="O47" s="1494"/>
      <c r="P47" s="1494"/>
      <c r="Q47" s="1494"/>
      <c r="R47" s="1494"/>
      <c r="S47" s="1494"/>
      <c r="T47" s="1494"/>
      <c r="U47" s="1494"/>
      <c r="V47" s="1494">
        <v>5</v>
      </c>
      <c r="W47" s="1493"/>
      <c r="X47" s="1493"/>
      <c r="Y47" s="1493"/>
      <c r="Z47" s="1493"/>
      <c r="AA47" s="1493"/>
      <c r="AB47" s="1493"/>
      <c r="AC47" s="1493"/>
      <c r="AD47" s="1493"/>
    </row>
    <row r="48" spans="1:52" ht="15.75" customHeight="1">
      <c r="B48" s="1493"/>
      <c r="C48" s="1493"/>
      <c r="D48" s="1493"/>
      <c r="E48" s="1493"/>
      <c r="F48" s="1493"/>
      <c r="G48" s="1493"/>
      <c r="H48" s="1493"/>
      <c r="I48" s="1493"/>
      <c r="J48" s="1493"/>
      <c r="K48" s="1493"/>
      <c r="L48" s="1493"/>
      <c r="M48" s="1493"/>
      <c r="N48" s="1494" t="s">
        <v>1089</v>
      </c>
      <c r="O48" s="1494"/>
      <c r="P48" s="1494"/>
      <c r="Q48" s="1494"/>
      <c r="R48" s="1494"/>
      <c r="S48" s="1494"/>
      <c r="T48" s="1494"/>
      <c r="U48" s="1494"/>
      <c r="V48" s="1494">
        <v>6</v>
      </c>
      <c r="W48" s="1493"/>
      <c r="X48" s="1493"/>
      <c r="Y48" s="1493"/>
      <c r="Z48" s="1493"/>
      <c r="AA48" s="1493"/>
      <c r="AB48" s="1493"/>
      <c r="AC48" s="1493"/>
      <c r="AD48" s="1493"/>
    </row>
    <row r="49" spans="1:33" ht="13.5" thickBot="1"/>
    <row r="50" spans="1:33" s="326" customFormat="1" ht="12.75" customHeight="1">
      <c r="A50" s="2056">
        <v>2.57</v>
      </c>
      <c r="B50" s="4066" t="s">
        <v>513</v>
      </c>
      <c r="C50" s="4066"/>
      <c r="D50" s="4066"/>
      <c r="E50" s="4066"/>
      <c r="F50" s="4066"/>
      <c r="G50" s="4066"/>
      <c r="H50" s="4066"/>
      <c r="I50" s="4066"/>
      <c r="J50" s="4066"/>
      <c r="K50" s="4066"/>
      <c r="L50" s="4066"/>
      <c r="M50" s="4066"/>
      <c r="N50" s="4066"/>
      <c r="O50" s="4066"/>
      <c r="P50" s="4066"/>
      <c r="Q50" s="4066"/>
      <c r="R50" s="4069" t="s">
        <v>1755</v>
      </c>
      <c r="S50" s="4069"/>
      <c r="T50" s="4069"/>
      <c r="U50" s="4069"/>
      <c r="V50" s="4069"/>
      <c r="W50" s="4069"/>
      <c r="X50" s="4069"/>
      <c r="Y50" s="4069"/>
      <c r="Z50" s="4069"/>
      <c r="AA50" s="4069"/>
      <c r="AB50" s="329"/>
      <c r="AC50" s="748"/>
      <c r="AD50" s="512"/>
    </row>
    <row r="51" spans="1:33" s="326" customFormat="1" ht="24" customHeight="1" thickBot="1">
      <c r="A51" s="482"/>
      <c r="B51" s="4064" t="s">
        <v>512</v>
      </c>
      <c r="C51" s="4065"/>
      <c r="D51" s="4065"/>
      <c r="E51" s="4065"/>
      <c r="F51" s="4065"/>
      <c r="G51" s="4065"/>
      <c r="H51" s="4065"/>
      <c r="I51" s="4065"/>
      <c r="J51" s="4065"/>
      <c r="K51" s="4065"/>
      <c r="L51" s="4065"/>
      <c r="M51" s="4065"/>
      <c r="N51" s="4065"/>
      <c r="O51" s="4065"/>
      <c r="P51" s="4065"/>
      <c r="Q51" s="329"/>
      <c r="R51" s="329"/>
      <c r="S51" s="329"/>
      <c r="T51" s="329"/>
      <c r="U51" s="4067" t="s">
        <v>514</v>
      </c>
      <c r="V51" s="4067"/>
      <c r="W51" s="4067"/>
      <c r="X51" s="4067"/>
      <c r="Y51" s="4067"/>
      <c r="Z51" s="4067"/>
      <c r="AA51" s="329"/>
      <c r="AB51" s="329"/>
      <c r="AC51" s="330"/>
      <c r="AD51" s="2253"/>
    </row>
    <row r="52" spans="1:33">
      <c r="A52" s="2862"/>
      <c r="B52" s="2750"/>
      <c r="C52" s="2750"/>
      <c r="D52" s="2750"/>
      <c r="E52" s="2750"/>
      <c r="F52" s="2750"/>
      <c r="G52" s="2750"/>
      <c r="H52" s="2750"/>
      <c r="I52" s="2750"/>
      <c r="J52" s="2750"/>
      <c r="K52" s="2750"/>
      <c r="L52" s="2750"/>
      <c r="M52" s="2750"/>
      <c r="N52" s="2750"/>
      <c r="O52" s="2750"/>
      <c r="P52" s="2750"/>
      <c r="Q52" s="2750"/>
      <c r="R52" s="2750"/>
      <c r="S52" s="2750"/>
      <c r="T52" s="2750"/>
      <c r="U52" s="2750"/>
      <c r="V52" s="2750"/>
      <c r="W52" s="2750"/>
      <c r="X52" s="2750"/>
      <c r="Y52" s="2750"/>
      <c r="Z52" s="2750"/>
      <c r="AA52" s="2750"/>
      <c r="AB52" s="2750"/>
      <c r="AC52" s="2750"/>
      <c r="AD52" s="2750"/>
      <c r="AE52" s="2750"/>
      <c r="AF52" s="2750"/>
    </row>
    <row r="53" spans="1:33">
      <c r="A53" s="2862"/>
      <c r="B53" s="2750"/>
      <c r="C53" s="2750"/>
      <c r="D53" s="2750"/>
      <c r="E53" s="2750"/>
      <c r="F53" s="2750"/>
      <c r="G53" s="2750"/>
      <c r="H53" s="2750"/>
      <c r="I53" s="2750"/>
      <c r="J53" s="2750"/>
      <c r="K53" s="2750"/>
      <c r="L53" s="2750"/>
      <c r="M53" s="2750"/>
      <c r="N53" s="2750"/>
      <c r="O53" s="2750"/>
      <c r="P53" s="2750"/>
      <c r="Q53" s="2750"/>
      <c r="R53" s="2750"/>
      <c r="S53" s="2750"/>
      <c r="T53" s="2750"/>
      <c r="U53" s="2750"/>
      <c r="V53" s="2750"/>
      <c r="W53" s="2750"/>
      <c r="X53" s="2750"/>
      <c r="Y53" s="2750"/>
      <c r="Z53" s="2750"/>
      <c r="AA53" s="2750"/>
      <c r="AB53" s="2750"/>
      <c r="AC53" s="2750"/>
      <c r="AD53" s="2750"/>
      <c r="AE53" s="2750"/>
      <c r="AF53" s="2750"/>
    </row>
    <row r="54" spans="1:33">
      <c r="A54" s="2862"/>
      <c r="B54" s="2750"/>
      <c r="C54" s="2750"/>
      <c r="D54" s="2750"/>
      <c r="E54" s="2750"/>
      <c r="F54" s="2750"/>
      <c r="G54" s="2750"/>
      <c r="H54" s="2750"/>
      <c r="I54" s="2750"/>
      <c r="J54" s="2750"/>
      <c r="K54" s="2750"/>
      <c r="L54" s="2750"/>
      <c r="M54" s="2750"/>
      <c r="N54" s="2750"/>
      <c r="O54" s="2750"/>
      <c r="P54" s="2750"/>
      <c r="Q54" s="2750"/>
      <c r="R54" s="2750"/>
      <c r="S54" s="2750"/>
      <c r="T54" s="2750"/>
      <c r="U54" s="2750"/>
      <c r="V54" s="2750"/>
      <c r="W54" s="2750"/>
      <c r="X54" s="2750"/>
      <c r="Y54" s="2750"/>
      <c r="Z54" s="2750"/>
      <c r="AA54" s="2750"/>
      <c r="AB54" s="2750"/>
      <c r="AC54" s="2750"/>
      <c r="AD54" s="2750"/>
      <c r="AE54" s="2750"/>
      <c r="AF54" s="2750"/>
    </row>
    <row r="55" spans="1:33">
      <c r="A55" s="2862"/>
      <c r="B55" s="2750"/>
      <c r="C55" s="2750"/>
      <c r="D55" s="2750"/>
      <c r="E55" s="2750"/>
      <c r="F55" s="2750"/>
      <c r="G55" s="2750"/>
      <c r="H55" s="2750"/>
      <c r="I55" s="2750"/>
      <c r="J55" s="2750"/>
      <c r="K55" s="2750"/>
      <c r="L55" s="2750"/>
      <c r="M55" s="2750"/>
      <c r="N55" s="2750"/>
      <c r="O55" s="2750"/>
      <c r="P55" s="2750"/>
      <c r="Q55" s="2750"/>
      <c r="R55" s="2750"/>
      <c r="S55" s="2750"/>
      <c r="T55" s="2750"/>
      <c r="U55" s="2750"/>
      <c r="V55" s="2750"/>
      <c r="W55" s="2750"/>
      <c r="X55" s="2750"/>
      <c r="Y55" s="2750"/>
      <c r="Z55" s="2750"/>
      <c r="AA55" s="2750"/>
      <c r="AB55" s="2750"/>
      <c r="AC55" s="2750"/>
      <c r="AD55" s="2750"/>
      <c r="AE55" s="2750"/>
      <c r="AF55" s="2750"/>
    </row>
    <row r="56" spans="1:33" ht="3.75" customHeight="1">
      <c r="A56" s="2862"/>
      <c r="B56" s="2750"/>
      <c r="C56" s="2750"/>
      <c r="D56" s="2750"/>
      <c r="E56" s="2750"/>
      <c r="F56" s="2750"/>
      <c r="G56" s="2750"/>
      <c r="H56" s="2750"/>
      <c r="I56" s="2750"/>
      <c r="J56" s="2750"/>
      <c r="K56" s="2750"/>
      <c r="L56" s="2750"/>
      <c r="M56" s="2750"/>
      <c r="N56" s="2750"/>
      <c r="O56" s="2750"/>
      <c r="P56" s="2750"/>
      <c r="Q56" s="2750"/>
      <c r="R56" s="2750"/>
      <c r="S56" s="2750"/>
      <c r="T56" s="2750"/>
      <c r="U56" s="2750"/>
      <c r="V56" s="2750"/>
      <c r="W56" s="2750"/>
      <c r="X56" s="2750"/>
      <c r="Y56" s="2750"/>
      <c r="Z56" s="2750"/>
      <c r="AA56" s="2750"/>
      <c r="AB56" s="2750"/>
      <c r="AC56" s="2750"/>
      <c r="AD56" s="2750"/>
      <c r="AE56" s="2750"/>
      <c r="AF56" s="2750"/>
    </row>
    <row r="57" spans="1:33">
      <c r="A57" s="2862"/>
      <c r="B57" s="2750"/>
      <c r="C57" s="2750"/>
      <c r="D57" s="2750"/>
      <c r="E57" s="2750"/>
      <c r="F57" s="2750"/>
      <c r="G57" s="2750"/>
      <c r="H57" s="2750"/>
      <c r="I57" s="2750"/>
      <c r="J57" s="2750"/>
      <c r="K57" s="2750"/>
      <c r="L57" s="2750"/>
      <c r="M57" s="2750"/>
      <c r="N57" s="2750"/>
      <c r="O57" s="2750"/>
      <c r="P57" s="2750"/>
      <c r="Q57" s="2750"/>
      <c r="R57" s="2750"/>
      <c r="S57" s="2750"/>
      <c r="T57" s="2750"/>
      <c r="U57" s="2750"/>
      <c r="V57" s="2750"/>
      <c r="W57" s="2750"/>
      <c r="X57" s="2750"/>
      <c r="Y57" s="2750"/>
      <c r="Z57" s="2750"/>
      <c r="AA57" s="2750"/>
      <c r="AB57" s="2750"/>
      <c r="AC57" s="2750"/>
      <c r="AD57" s="2750"/>
      <c r="AE57" s="2750"/>
      <c r="AF57" s="2750"/>
    </row>
    <row r="58" spans="1:33">
      <c r="A58" s="2862"/>
      <c r="B58" s="2750"/>
      <c r="C58" s="2750"/>
      <c r="D58" s="2750"/>
      <c r="E58" s="2750"/>
      <c r="F58" s="2750"/>
      <c r="G58" s="2750"/>
      <c r="H58" s="2750"/>
      <c r="I58" s="2750"/>
      <c r="J58" s="2750"/>
      <c r="K58" s="2750"/>
      <c r="L58" s="2750"/>
      <c r="M58" s="2750"/>
      <c r="N58" s="2750"/>
      <c r="O58" s="2750"/>
      <c r="P58" s="2750"/>
      <c r="Q58" s="2750"/>
      <c r="R58" s="2750"/>
      <c r="S58" s="2750"/>
      <c r="T58" s="2750"/>
      <c r="U58" s="2750"/>
      <c r="V58" s="2750"/>
      <c r="W58" s="2750"/>
      <c r="X58" s="2750"/>
      <c r="Y58" s="2750"/>
      <c r="Z58" s="2750"/>
      <c r="AA58" s="2750"/>
      <c r="AB58" s="2750"/>
      <c r="AC58" s="2750"/>
      <c r="AD58" s="2750"/>
      <c r="AE58" s="2750"/>
      <c r="AF58" s="2750"/>
      <c r="AG58" s="2750"/>
    </row>
  </sheetData>
  <customSheetViews>
    <customSheetView guid="{BDF1A126-BD1D-4A5E-80B8-98941684E462}" showPageBreaks="1" printArea="1" view="pageLayout">
      <selection activeCell="B5" sqref="B5:L23"/>
      <pageMargins left="0.76" right="0.19684930008748899" top="0.59055008748906401" bottom="0.59055008748906401" header="0" footer="0"/>
      <pageSetup paperSize="9" orientation="portrait" r:id="rId1"/>
    </customSheetView>
    <customSheetView guid="{04F0793E-5444-463D-A1D5-E52E08A4C249}" showPageBreaks="1" printArea="1">
      <selection activeCell="S5" sqref="S5:X7"/>
      <pageMargins left="0.7" right="0.7" top="0.75" bottom="0.75" header="0.3" footer="0.3"/>
      <pageSetup orientation="portrait" r:id="rId2"/>
    </customSheetView>
    <customSheetView guid="{925F74B5-C2F5-4E55-AFE4-045C56169B44}" showPageBreaks="1" printArea="1">
      <selection activeCell="B4" sqref="B4:L6"/>
      <pageMargins left="0.7" right="0.7" top="0.75" bottom="0.75" header="0.3" footer="0.3"/>
      <pageSetup orientation="portrait" r:id="rId3"/>
    </customSheetView>
    <customSheetView guid="{1FF58891-F32F-4F97-9812-E2D02F4497AA}" showPageBreaks="1" printArea="1" view="pageLayout">
      <selection activeCell="B5" sqref="B5:L23"/>
      <pageMargins left="0.76" right="0.19684930008748899" top="0.59055008748906401" bottom="0.59055008748906401" header="0" footer="0"/>
      <pageSetup paperSize="9" orientation="portrait" r:id="rId4"/>
    </customSheetView>
    <customSheetView guid="{2A6091F0-BAF4-46A2-BC20-0DE610E67601}" showPageBreaks="1" printArea="1" view="pageLayout">
      <selection activeCell="B5" sqref="B5:L23"/>
      <pageMargins left="0.76" right="0.19684930008748899" top="0.59055008748906401" bottom="0.59055008748906401" header="0" footer="0"/>
      <pageSetup paperSize="9" orientation="portrait" r:id="rId5"/>
    </customSheetView>
    <customSheetView guid="{5111FDC7-EEAC-46C3-8033-47A3563F0C00}" showPageBreaks="1" printArea="1" view="pageLayout">
      <selection activeCell="M7" sqref="M7:R8"/>
      <pageMargins left="0.76" right="0.19684930008748899" top="0.59055008748906401" bottom="0.59055008748906401" header="0" footer="0"/>
      <pageSetup paperSize="9" orientation="portrait" r:id="rId6"/>
    </customSheetView>
    <customSheetView guid="{2A5E79E4-584C-4F65-A220-87928CEA02AF}" showPageBreaks="1" printArea="1" view="pageLayout" topLeftCell="A31">
      <selection activeCell="P34" sqref="P34"/>
      <pageMargins left="0.76" right="0.19684930008748899" top="0.59055008748906401" bottom="0.59055008748906401" header="0" footer="0"/>
      <pageSetup paperSize="9" orientation="portrait" r:id="rId7"/>
    </customSheetView>
    <customSheetView guid="{66872EF1-41BD-4D4B-B603-B8B0D03DAD22}" showPageBreaks="1" printArea="1" view="pageLayout" topLeftCell="A31">
      <selection activeCell="P34" sqref="P34"/>
      <pageMargins left="0.76" right="0.19684930008748899" top="0.59055008748906401" bottom="0.59055008748906401" header="0" footer="0"/>
      <pageSetup paperSize="9" orientation="portrait" r:id="rId8"/>
    </customSheetView>
    <customSheetView guid="{ACE56013-11B3-4BF4-BD0B-BF59142DAC13}" showPageBreaks="1" printArea="1" view="pageLayout" topLeftCell="A31">
      <selection activeCell="R50" sqref="R50:X50"/>
      <pageMargins left="0.76" right="0.19684930008748899" top="0.59055008748906401" bottom="0.59055008748906401" header="0" footer="0"/>
      <pageSetup paperSize="9" orientation="portrait" r:id="rId9"/>
    </customSheetView>
  </customSheetViews>
  <mergeCells count="40">
    <mergeCell ref="B51:P51"/>
    <mergeCell ref="B50:Q50"/>
    <mergeCell ref="U51:Z51"/>
    <mergeCell ref="M23:R23"/>
    <mergeCell ref="S23:X23"/>
    <mergeCell ref="M24:R24"/>
    <mergeCell ref="S24:X24"/>
    <mergeCell ref="C30:AD30"/>
    <mergeCell ref="R50:AA50"/>
    <mergeCell ref="M20:R20"/>
    <mergeCell ref="S20:X20"/>
    <mergeCell ref="M21:R21"/>
    <mergeCell ref="S21:X21"/>
    <mergeCell ref="M22:R22"/>
    <mergeCell ref="S22:X22"/>
    <mergeCell ref="M14:R14"/>
    <mergeCell ref="S14:X14"/>
    <mergeCell ref="M15:R15"/>
    <mergeCell ref="S15:X15"/>
    <mergeCell ref="M16:R16"/>
    <mergeCell ref="S16:X16"/>
    <mergeCell ref="B4:L4"/>
    <mergeCell ref="M4:R4"/>
    <mergeCell ref="S4:X4"/>
    <mergeCell ref="S9:X9"/>
    <mergeCell ref="M11:R11"/>
    <mergeCell ref="S11:X11"/>
    <mergeCell ref="M7:R8"/>
    <mergeCell ref="M5:R5"/>
    <mergeCell ref="S5:X5"/>
    <mergeCell ref="S7:X8"/>
    <mergeCell ref="M9:R9"/>
    <mergeCell ref="A5:A9"/>
    <mergeCell ref="D9:J9"/>
    <mergeCell ref="M13:R13"/>
    <mergeCell ref="S13:X13"/>
    <mergeCell ref="M12:R12"/>
    <mergeCell ref="S12:X12"/>
    <mergeCell ref="M6:R6"/>
    <mergeCell ref="B5:L8"/>
  </mergeCells>
  <pageMargins left="0.76" right="0.19684930008748899" top="0.59055008748906401" bottom="0.59055008748906401" header="0" footer="0"/>
  <pageSetup paperSize="9" orientation="portrait" r:id="rId10"/>
  <drawing r:id="rId11"/>
  <legacyDrawing r:id="rId1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sheetPr>
  <dimension ref="B1:AQ69"/>
  <sheetViews>
    <sheetView showGridLines="0" topLeftCell="A52" zoomScale="90" zoomScaleNormal="90" workbookViewId="0">
      <selection activeCell="AM78" sqref="AM78"/>
    </sheetView>
  </sheetViews>
  <sheetFormatPr defaultColWidth="11.42578125" defaultRowHeight="12.75"/>
  <cols>
    <col min="1" max="1" width="1.85546875" style="2622" customWidth="1"/>
    <col min="2" max="2" width="4.140625" style="2623" customWidth="1"/>
    <col min="3" max="3" width="4" style="2623" customWidth="1"/>
    <col min="4" max="5" width="3.7109375" style="2622" customWidth="1"/>
    <col min="6" max="10" width="3.7109375" style="2624" customWidth="1"/>
    <col min="11" max="11" width="3.28515625" style="2624" customWidth="1"/>
    <col min="12" max="12" width="3.7109375" style="2624" customWidth="1"/>
    <col min="13" max="13" width="0.85546875" style="2624" customWidth="1"/>
    <col min="14" max="14" width="8.140625" style="2624" customWidth="1"/>
    <col min="15" max="15" width="3.140625" style="2624" customWidth="1"/>
    <col min="16" max="16" width="3.7109375" style="2624" customWidth="1"/>
    <col min="17" max="17" width="3.5703125" style="2624" customWidth="1"/>
    <col min="18" max="18" width="3.7109375" style="2624" customWidth="1"/>
    <col min="19" max="19" width="4" style="2622" customWidth="1"/>
    <col min="20" max="20" width="2.7109375" style="2622" customWidth="1"/>
    <col min="21" max="21" width="8" style="2624" customWidth="1"/>
    <col min="22" max="22" width="3.7109375" style="2622" customWidth="1"/>
    <col min="23" max="23" width="6.7109375" style="2622" customWidth="1"/>
    <col min="24" max="24" width="7.140625" style="2625" customWidth="1"/>
    <col min="25" max="25" width="0.7109375" style="2622" customWidth="1"/>
    <col min="26" max="28" width="3.7109375" style="2622" customWidth="1"/>
    <col min="29" max="60" width="2.7109375" style="2622" customWidth="1"/>
    <col min="61" max="16384" width="11.42578125" style="2622"/>
  </cols>
  <sheetData>
    <row r="1" spans="2:43" s="28" customFormat="1" ht="18">
      <c r="B1" s="551" t="s">
        <v>1516</v>
      </c>
      <c r="C1" s="2626"/>
      <c r="L1" s="959"/>
      <c r="M1" s="959"/>
      <c r="N1" s="959"/>
      <c r="O1" s="959"/>
      <c r="P1" s="959"/>
      <c r="Q1" s="959"/>
      <c r="R1" s="959"/>
      <c r="S1" s="959"/>
      <c r="T1" s="959"/>
      <c r="U1" s="959"/>
      <c r="V1" s="959"/>
      <c r="W1" s="2054" t="s">
        <v>1528</v>
      </c>
      <c r="X1" s="961"/>
      <c r="Y1" s="2627"/>
      <c r="Z1" s="2627"/>
      <c r="AB1" s="959"/>
      <c r="AC1" s="959"/>
      <c r="AD1" s="959"/>
      <c r="AE1" s="959"/>
      <c r="AF1" s="959"/>
      <c r="AG1" s="959"/>
      <c r="AH1" s="959"/>
      <c r="AI1" s="959"/>
      <c r="AJ1" s="959"/>
      <c r="AK1" s="959"/>
      <c r="AL1" s="959"/>
      <c r="AM1" s="959"/>
      <c r="AN1" s="959"/>
      <c r="AO1" s="2627"/>
      <c r="AP1" s="2627"/>
      <c r="AQ1" s="2627"/>
    </row>
    <row r="2" spans="2:43" s="326" customFormat="1" ht="4.5" customHeight="1">
      <c r="B2" s="2628"/>
      <c r="C2" s="2628"/>
      <c r="W2" s="340"/>
      <c r="X2" s="2629"/>
      <c r="Y2" s="340"/>
      <c r="Z2" s="340"/>
      <c r="AA2" s="340"/>
      <c r="AB2" s="340"/>
      <c r="AC2" s="340"/>
      <c r="AD2" s="340"/>
      <c r="AE2" s="340"/>
      <c r="AF2" s="340"/>
    </row>
    <row r="3" spans="2:43" s="78" customFormat="1" ht="19.5" customHeight="1">
      <c r="B3" s="2658" t="s">
        <v>1495</v>
      </c>
      <c r="C3" s="2630"/>
      <c r="U3" s="77" t="s">
        <v>1525</v>
      </c>
      <c r="V3" s="66"/>
      <c r="W3" s="67"/>
      <c r="X3" s="2631"/>
      <c r="AI3" s="2632"/>
      <c r="AJ3" s="2632"/>
    </row>
    <row r="4" spans="2:43" s="78" customFormat="1" ht="11.25" customHeight="1" thickBot="1">
      <c r="B4" s="2658"/>
      <c r="C4" s="2630"/>
      <c r="S4" s="77"/>
      <c r="V4" s="2631"/>
      <c r="X4" s="2631"/>
      <c r="AI4" s="2632"/>
      <c r="AJ4" s="2632"/>
    </row>
    <row r="5" spans="2:43" s="963" customFormat="1">
      <c r="B5" s="2659"/>
      <c r="C5" s="2660"/>
      <c r="D5" s="2661"/>
      <c r="E5" s="2661"/>
      <c r="F5" s="2661"/>
      <c r="G5" s="2661"/>
      <c r="H5" s="2661"/>
      <c r="I5" s="2661"/>
      <c r="J5" s="2661"/>
      <c r="K5" s="2662"/>
      <c r="L5" s="4156">
        <v>2.58</v>
      </c>
      <c r="M5" s="4117"/>
      <c r="N5" s="4118"/>
      <c r="O5" s="4116">
        <v>2.59</v>
      </c>
      <c r="P5" s="4117"/>
      <c r="Q5" s="4118"/>
      <c r="R5" s="4113">
        <v>2.6</v>
      </c>
      <c r="S5" s="4114"/>
      <c r="T5" s="4114"/>
      <c r="U5" s="4114"/>
      <c r="V5" s="4114"/>
      <c r="W5" s="4114"/>
      <c r="X5" s="4115"/>
    </row>
    <row r="6" spans="2:43" s="963" customFormat="1" ht="12.75" customHeight="1">
      <c r="B6" s="4079" t="s">
        <v>1496</v>
      </c>
      <c r="C6" s="2634"/>
      <c r="D6" s="2468"/>
      <c r="E6" s="2468"/>
      <c r="F6" s="2468"/>
      <c r="G6" s="2468"/>
      <c r="H6" s="2468"/>
      <c r="I6" s="2468"/>
      <c r="J6" s="2468"/>
      <c r="K6" s="1577"/>
      <c r="L6" s="4082" t="s">
        <v>1756</v>
      </c>
      <c r="M6" s="4083"/>
      <c r="N6" s="4084"/>
      <c r="O6" s="4088" t="s">
        <v>1757</v>
      </c>
      <c r="P6" s="4089"/>
      <c r="Q6" s="4090"/>
      <c r="R6" s="4093" t="s">
        <v>1894</v>
      </c>
      <c r="S6" s="4094"/>
      <c r="T6" s="4094"/>
      <c r="U6" s="4094"/>
      <c r="V6" s="4094"/>
      <c r="W6" s="4094"/>
      <c r="X6" s="4095"/>
    </row>
    <row r="7" spans="2:43" s="963" customFormat="1" ht="27" customHeight="1">
      <c r="B7" s="4080"/>
      <c r="C7" s="2635"/>
      <c r="D7" s="327"/>
      <c r="E7" s="327"/>
      <c r="F7" s="327"/>
      <c r="G7" s="327"/>
      <c r="H7" s="327"/>
      <c r="I7" s="327"/>
      <c r="J7" s="327"/>
      <c r="K7" s="2636"/>
      <c r="L7" s="4085"/>
      <c r="M7" s="4086"/>
      <c r="N7" s="4087"/>
      <c r="O7" s="4091"/>
      <c r="P7" s="3884"/>
      <c r="Q7" s="4092"/>
      <c r="R7" s="4096"/>
      <c r="S7" s="4097"/>
      <c r="T7" s="4097"/>
      <c r="U7" s="4097"/>
      <c r="V7" s="4097"/>
      <c r="W7" s="4097"/>
      <c r="X7" s="4098"/>
    </row>
    <row r="8" spans="2:43" s="963" customFormat="1" ht="13.5" customHeight="1">
      <c r="B8" s="4080"/>
      <c r="C8" s="2635"/>
      <c r="D8" s="327"/>
      <c r="E8" s="327"/>
      <c r="F8" s="327"/>
      <c r="G8" s="327"/>
      <c r="H8" s="327"/>
      <c r="I8" s="327"/>
      <c r="J8" s="327"/>
      <c r="K8" s="2636"/>
      <c r="L8" s="4085"/>
      <c r="M8" s="4086"/>
      <c r="N8" s="4087"/>
      <c r="O8" s="4091"/>
      <c r="P8" s="3884"/>
      <c r="Q8" s="4092"/>
      <c r="R8" s="4099" t="s">
        <v>1517</v>
      </c>
      <c r="S8" s="4100"/>
      <c r="T8" s="4100"/>
      <c r="U8" s="4100"/>
      <c r="V8" s="4100"/>
      <c r="W8" s="4100"/>
      <c r="X8" s="4103" t="s">
        <v>486</v>
      </c>
    </row>
    <row r="9" spans="2:43" s="963" customFormat="1" ht="13.5" customHeight="1">
      <c r="B9" s="4080"/>
      <c r="C9" s="2635"/>
      <c r="D9" s="327"/>
      <c r="E9" s="327"/>
      <c r="F9" s="327"/>
      <c r="G9" s="327"/>
      <c r="H9" s="327"/>
      <c r="I9" s="327"/>
      <c r="J9" s="327"/>
      <c r="K9" s="2636"/>
      <c r="L9" s="4085"/>
      <c r="M9" s="4086"/>
      <c r="N9" s="4087"/>
      <c r="O9" s="4091"/>
      <c r="P9" s="3884"/>
      <c r="Q9" s="4092"/>
      <c r="R9" s="4101"/>
      <c r="S9" s="4102"/>
      <c r="T9" s="4102"/>
      <c r="U9" s="4102"/>
      <c r="V9" s="4102"/>
      <c r="W9" s="4102"/>
      <c r="X9" s="4104"/>
      <c r="AH9" s="1485"/>
    </row>
    <row r="10" spans="2:43" s="963" customFormat="1" ht="13.5" customHeight="1">
      <c r="B10" s="4080"/>
      <c r="C10" s="2635"/>
      <c r="D10" s="327"/>
      <c r="E10" s="327"/>
      <c r="F10" s="327"/>
      <c r="G10" s="327"/>
      <c r="H10" s="327"/>
      <c r="I10" s="327"/>
      <c r="J10" s="327"/>
      <c r="K10" s="2636"/>
      <c r="L10" s="4085"/>
      <c r="M10" s="4086"/>
      <c r="N10" s="4087"/>
      <c r="O10" s="4091"/>
      <c r="P10" s="3884"/>
      <c r="Q10" s="4092"/>
      <c r="R10" s="2883" t="s">
        <v>1626</v>
      </c>
      <c r="S10" s="2884"/>
      <c r="T10" s="2884"/>
      <c r="U10" s="2884"/>
      <c r="V10" s="2884"/>
      <c r="W10" s="2884"/>
      <c r="X10" s="2885" t="s">
        <v>487</v>
      </c>
    </row>
    <row r="11" spans="2:43" s="963" customFormat="1" ht="13.5" customHeight="1">
      <c r="B11" s="4080"/>
      <c r="C11" s="2635"/>
      <c r="D11" s="327"/>
      <c r="E11" s="327"/>
      <c r="F11" s="327"/>
      <c r="G11" s="327"/>
      <c r="H11" s="327"/>
      <c r="I11" s="327"/>
      <c r="J11" s="327"/>
      <c r="K11" s="2636"/>
      <c r="L11" s="4085"/>
      <c r="M11" s="4086"/>
      <c r="N11" s="4087"/>
      <c r="O11" s="4091"/>
      <c r="P11" s="3884"/>
      <c r="Q11" s="4092"/>
      <c r="R11" s="2651" t="s">
        <v>1518</v>
      </c>
      <c r="S11" s="2652"/>
      <c r="T11" s="2652"/>
      <c r="U11" s="2652"/>
      <c r="V11" s="2652"/>
      <c r="W11" s="2652"/>
      <c r="X11" s="2887" t="s">
        <v>488</v>
      </c>
    </row>
    <row r="12" spans="2:43" s="963" customFormat="1" ht="13.5" customHeight="1">
      <c r="B12" s="4080"/>
      <c r="C12" s="2635"/>
      <c r="D12" s="327"/>
      <c r="E12" s="327"/>
      <c r="F12" s="327"/>
      <c r="G12" s="327"/>
      <c r="H12" s="327"/>
      <c r="I12" s="327"/>
      <c r="J12" s="327"/>
      <c r="K12" s="2636"/>
      <c r="L12" s="4085"/>
      <c r="M12" s="4086"/>
      <c r="N12" s="4087"/>
      <c r="O12" s="4091"/>
      <c r="P12" s="3884"/>
      <c r="Q12" s="4092"/>
      <c r="R12" s="2651" t="s">
        <v>1519</v>
      </c>
      <c r="S12" s="2652"/>
      <c r="T12" s="2652"/>
      <c r="V12" s="2652"/>
      <c r="W12" s="2652"/>
      <c r="X12" s="2887" t="s">
        <v>489</v>
      </c>
    </row>
    <row r="13" spans="2:43" s="963" customFormat="1" ht="27.75" customHeight="1">
      <c r="B13" s="4080"/>
      <c r="C13" s="2635"/>
      <c r="D13" s="327"/>
      <c r="E13" s="327"/>
      <c r="F13" s="327"/>
      <c r="G13" s="327"/>
      <c r="H13" s="327"/>
      <c r="I13" s="327"/>
      <c r="J13" s="327"/>
      <c r="K13" s="2636"/>
      <c r="L13" s="4085"/>
      <c r="M13" s="4086"/>
      <c r="N13" s="4087"/>
      <c r="O13" s="4091"/>
      <c r="P13" s="3884"/>
      <c r="Q13" s="4092"/>
      <c r="R13" s="4105" t="s">
        <v>1520</v>
      </c>
      <c r="S13" s="4106"/>
      <c r="T13" s="4106"/>
      <c r="U13" s="4106"/>
      <c r="V13" s="4106"/>
      <c r="W13" s="4106"/>
      <c r="X13" s="2887" t="s">
        <v>490</v>
      </c>
    </row>
    <row r="14" spans="2:43" s="963" customFormat="1" ht="13.5" customHeight="1">
      <c r="B14" s="4080"/>
      <c r="C14" s="2635"/>
      <c r="D14" s="327"/>
      <c r="E14" s="327"/>
      <c r="F14" s="327"/>
      <c r="G14" s="327"/>
      <c r="H14" s="327"/>
      <c r="I14" s="327"/>
      <c r="J14" s="327"/>
      <c r="K14" s="2636"/>
      <c r="L14" s="4085"/>
      <c r="M14" s="4086"/>
      <c r="N14" s="4087"/>
      <c r="O14" s="4091"/>
      <c r="P14" s="3884"/>
      <c r="Q14" s="4092"/>
      <c r="R14" s="2651" t="s">
        <v>1497</v>
      </c>
      <c r="S14" s="2652"/>
      <c r="T14" s="2652"/>
      <c r="U14" s="2652"/>
      <c r="V14" s="2652"/>
      <c r="X14" s="2888" t="s">
        <v>491</v>
      </c>
    </row>
    <row r="15" spans="2:43" s="963" customFormat="1" ht="13.5" customHeight="1">
      <c r="B15" s="4080"/>
      <c r="C15" s="2635"/>
      <c r="D15" s="327"/>
      <c r="E15" s="327"/>
      <c r="F15" s="327"/>
      <c r="G15" s="327"/>
      <c r="H15" s="327"/>
      <c r="I15" s="327"/>
      <c r="J15" s="327"/>
      <c r="K15" s="2636"/>
      <c r="L15" s="2653"/>
      <c r="M15" s="2599"/>
      <c r="N15" s="2654"/>
      <c r="O15" s="4091"/>
      <c r="P15" s="3884"/>
      <c r="Q15" s="4092"/>
      <c r="R15" s="1485" t="s">
        <v>1521</v>
      </c>
      <c r="W15" s="2652"/>
      <c r="X15" s="2887" t="s">
        <v>492</v>
      </c>
    </row>
    <row r="16" spans="2:43" s="963" customFormat="1" ht="13.5" customHeight="1">
      <c r="B16" s="4080"/>
      <c r="C16" s="2635"/>
      <c r="D16" s="327"/>
      <c r="E16" s="327"/>
      <c r="F16" s="327"/>
      <c r="G16" s="327"/>
      <c r="H16" s="327"/>
      <c r="I16" s="327"/>
      <c r="J16" s="327"/>
      <c r="K16" s="2636"/>
      <c r="L16" s="2663" t="s">
        <v>9</v>
      </c>
      <c r="M16" s="2664"/>
      <c r="N16" s="2665">
        <v>1</v>
      </c>
      <c r="O16" s="4091"/>
      <c r="P16" s="3884"/>
      <c r="Q16" s="4092"/>
      <c r="R16" s="4107" t="s">
        <v>1522</v>
      </c>
      <c r="S16" s="4108"/>
      <c r="T16" s="4108"/>
      <c r="U16" s="4108"/>
      <c r="V16" s="4108"/>
      <c r="W16" s="4108"/>
      <c r="X16" s="4111" t="s">
        <v>493</v>
      </c>
      <c r="AN16" s="327"/>
    </row>
    <row r="17" spans="2:24" s="963" customFormat="1" ht="13.5" customHeight="1">
      <c r="B17" s="4080"/>
      <c r="C17" s="2635"/>
      <c r="D17" s="327"/>
      <c r="E17" s="327"/>
      <c r="F17" s="327"/>
      <c r="G17" s="327"/>
      <c r="H17" s="327"/>
      <c r="I17" s="327"/>
      <c r="J17" s="327"/>
      <c r="K17" s="2636"/>
      <c r="L17" s="2666" t="s">
        <v>10</v>
      </c>
      <c r="M17" s="2667"/>
      <c r="N17" s="2668" t="s">
        <v>1498</v>
      </c>
      <c r="O17" s="4091"/>
      <c r="P17" s="3884"/>
      <c r="Q17" s="4092"/>
      <c r="R17" s="4109"/>
      <c r="S17" s="4110"/>
      <c r="T17" s="4110"/>
      <c r="U17" s="4110"/>
      <c r="V17" s="4110"/>
      <c r="W17" s="4110"/>
      <c r="X17" s="4112"/>
    </row>
    <row r="18" spans="2:24" s="963" customFormat="1" ht="13.5" customHeight="1">
      <c r="B18" s="4080"/>
      <c r="C18" s="2635"/>
      <c r="D18" s="327"/>
      <c r="E18" s="327"/>
      <c r="F18" s="327"/>
      <c r="G18" s="327"/>
      <c r="H18" s="327"/>
      <c r="I18" s="327"/>
      <c r="J18" s="327"/>
      <c r="K18" s="2636"/>
      <c r="L18" s="2655"/>
      <c r="M18" s="2656"/>
      <c r="N18" s="2657" t="s">
        <v>62</v>
      </c>
      <c r="O18" s="4091"/>
      <c r="P18" s="3884"/>
      <c r="Q18" s="4092"/>
      <c r="R18" s="4070" t="s">
        <v>1625</v>
      </c>
      <c r="S18" s="4071"/>
      <c r="T18" s="4071"/>
      <c r="U18" s="4071"/>
      <c r="V18" s="4071"/>
      <c r="W18" s="4071"/>
      <c r="X18" s="2886" t="s">
        <v>698</v>
      </c>
    </row>
    <row r="19" spans="2:24" s="963" customFormat="1" ht="13.5" customHeight="1">
      <c r="B19" s="4080"/>
      <c r="C19" s="2635"/>
      <c r="D19" s="327"/>
      <c r="E19" s="327"/>
      <c r="F19" s="327"/>
      <c r="G19" s="327"/>
      <c r="H19" s="327"/>
      <c r="I19" s="327"/>
      <c r="J19" s="327"/>
      <c r="K19" s="2636"/>
      <c r="L19" s="525"/>
      <c r="M19" s="525"/>
      <c r="N19" s="525"/>
      <c r="O19" s="4091"/>
      <c r="P19" s="3884"/>
      <c r="Q19" s="3884"/>
      <c r="R19" s="4072" t="s">
        <v>1898</v>
      </c>
      <c r="S19" s="4073"/>
      <c r="T19" s="4073"/>
      <c r="U19" s="4073"/>
      <c r="V19" s="4073"/>
      <c r="W19" s="4073"/>
      <c r="X19" s="3647">
        <v>10</v>
      </c>
    </row>
    <row r="20" spans="2:24" s="963" customFormat="1" ht="14.25" thickBot="1">
      <c r="B20" s="4081"/>
      <c r="C20" s="2669"/>
      <c r="D20" s="4074" t="s">
        <v>1499</v>
      </c>
      <c r="E20" s="4074"/>
      <c r="F20" s="4074"/>
      <c r="G20" s="4074"/>
      <c r="H20" s="4074"/>
      <c r="I20" s="4074"/>
      <c r="J20" s="4074"/>
      <c r="K20" s="4075"/>
      <c r="L20" s="2670"/>
      <c r="M20" s="2671"/>
      <c r="N20" s="2672"/>
      <c r="O20" s="4076" t="s">
        <v>1500</v>
      </c>
      <c r="P20" s="4077"/>
      <c r="Q20" s="4078"/>
      <c r="R20" s="4042" t="s">
        <v>1044</v>
      </c>
      <c r="S20" s="3935"/>
      <c r="T20" s="3935"/>
      <c r="U20" s="3935"/>
      <c r="V20" s="3935"/>
      <c r="W20" s="3935"/>
      <c r="X20" s="3646">
        <v>11</v>
      </c>
    </row>
    <row r="21" spans="2:24" s="963" customFormat="1" ht="16.5" customHeight="1">
      <c r="B21" s="1388">
        <v>1</v>
      </c>
      <c r="C21" s="2673" t="s">
        <v>1501</v>
      </c>
      <c r="D21" s="2674"/>
      <c r="E21" s="2674"/>
      <c r="F21" s="2674"/>
      <c r="G21" s="2674"/>
      <c r="H21" s="2674"/>
      <c r="I21" s="2674"/>
      <c r="J21" s="2674"/>
      <c r="K21" s="2675"/>
      <c r="L21" s="2676"/>
      <c r="M21" s="2677"/>
      <c r="N21" s="1389"/>
      <c r="O21" s="2677"/>
      <c r="P21" s="2677"/>
      <c r="Q21" s="1389"/>
      <c r="R21" s="2677"/>
      <c r="S21" s="2677"/>
      <c r="T21" s="2677"/>
      <c r="U21" s="2677"/>
      <c r="V21" s="2677"/>
      <c r="W21" s="2677"/>
      <c r="X21" s="2597"/>
    </row>
    <row r="22" spans="2:24" s="963" customFormat="1" ht="16.5" customHeight="1">
      <c r="B22" s="1390">
        <v>2</v>
      </c>
      <c r="C22" s="4129" t="s">
        <v>1502</v>
      </c>
      <c r="D22" s="4130"/>
      <c r="E22" s="4130"/>
      <c r="F22" s="4130"/>
      <c r="G22" s="4130"/>
      <c r="H22" s="4130"/>
      <c r="I22" s="4130"/>
      <c r="J22" s="4130"/>
      <c r="K22" s="4131"/>
      <c r="L22" s="486"/>
      <c r="M22" s="487"/>
      <c r="N22" s="488"/>
      <c r="O22" s="487"/>
      <c r="P22" s="487"/>
      <c r="Q22" s="488"/>
      <c r="R22" s="487"/>
      <c r="S22" s="487"/>
      <c r="T22" s="487"/>
      <c r="U22" s="487"/>
      <c r="V22" s="487"/>
      <c r="W22" s="487"/>
      <c r="X22" s="2596"/>
    </row>
    <row r="23" spans="2:24" s="963" customFormat="1" ht="16.5" customHeight="1">
      <c r="B23" s="1390">
        <v>3</v>
      </c>
      <c r="C23" s="4129" t="s">
        <v>1420</v>
      </c>
      <c r="D23" s="4130"/>
      <c r="E23" s="4130"/>
      <c r="F23" s="4130"/>
      <c r="G23" s="4130"/>
      <c r="H23" s="4130"/>
      <c r="I23" s="4130"/>
      <c r="J23" s="4130"/>
      <c r="K23" s="4131"/>
      <c r="L23" s="486"/>
      <c r="M23" s="487"/>
      <c r="N23" s="488"/>
      <c r="O23" s="487"/>
      <c r="P23" s="487"/>
      <c r="Q23" s="488"/>
      <c r="R23" s="487"/>
      <c r="S23" s="487"/>
      <c r="T23" s="487"/>
      <c r="U23" s="487"/>
      <c r="V23" s="487"/>
      <c r="W23" s="487"/>
      <c r="X23" s="2596"/>
    </row>
    <row r="24" spans="2:24" s="963" customFormat="1" ht="16.5" customHeight="1">
      <c r="B24" s="1390">
        <v>4</v>
      </c>
      <c r="C24" s="4129" t="s">
        <v>1503</v>
      </c>
      <c r="D24" s="4130"/>
      <c r="E24" s="4130"/>
      <c r="F24" s="4130"/>
      <c r="G24" s="4130"/>
      <c r="H24" s="4130"/>
      <c r="I24" s="4130"/>
      <c r="J24" s="4130"/>
      <c r="K24" s="4131"/>
      <c r="L24" s="486"/>
      <c r="M24" s="487"/>
      <c r="N24" s="488"/>
      <c r="O24" s="487"/>
      <c r="P24" s="487"/>
      <c r="Q24" s="488"/>
      <c r="R24" s="487"/>
      <c r="S24" s="487"/>
      <c r="T24" s="487"/>
      <c r="U24" s="487"/>
      <c r="V24" s="487"/>
      <c r="W24" s="487"/>
      <c r="X24" s="2596"/>
    </row>
    <row r="25" spans="2:24" s="963" customFormat="1" ht="16.5" customHeight="1">
      <c r="B25" s="1390">
        <v>5</v>
      </c>
      <c r="C25" s="4129" t="s">
        <v>1523</v>
      </c>
      <c r="D25" s="4130"/>
      <c r="E25" s="4130"/>
      <c r="F25" s="4130"/>
      <c r="G25" s="4130"/>
      <c r="H25" s="4130"/>
      <c r="I25" s="4130"/>
      <c r="J25" s="4130"/>
      <c r="K25" s="4131"/>
      <c r="L25" s="486"/>
      <c r="M25" s="487"/>
      <c r="N25" s="488"/>
      <c r="O25" s="487"/>
      <c r="P25" s="487"/>
      <c r="Q25" s="488"/>
      <c r="R25" s="487"/>
      <c r="S25" s="487"/>
      <c r="T25" s="487"/>
      <c r="U25" s="487"/>
      <c r="V25" s="487"/>
      <c r="W25" s="487"/>
      <c r="X25" s="2596"/>
    </row>
    <row r="26" spans="2:24" s="963" customFormat="1" ht="16.5" customHeight="1">
      <c r="B26" s="1390">
        <v>6</v>
      </c>
      <c r="C26" s="4129" t="s">
        <v>1614</v>
      </c>
      <c r="D26" s="4130"/>
      <c r="E26" s="4130"/>
      <c r="F26" s="4130"/>
      <c r="G26" s="4130"/>
      <c r="H26" s="4130"/>
      <c r="I26" s="4130"/>
      <c r="J26" s="4130"/>
      <c r="K26" s="4131"/>
      <c r="L26" s="486"/>
      <c r="M26" s="487"/>
      <c r="N26" s="488"/>
      <c r="O26" s="487"/>
      <c r="P26" s="487"/>
      <c r="Q26" s="488"/>
      <c r="R26" s="487"/>
      <c r="S26" s="487"/>
      <c r="T26" s="487"/>
      <c r="U26" s="487"/>
      <c r="V26" s="487"/>
      <c r="W26" s="487"/>
      <c r="X26" s="2596"/>
    </row>
    <row r="27" spans="2:24" s="963" customFormat="1" ht="16.5" customHeight="1">
      <c r="B27" s="1390">
        <v>7</v>
      </c>
      <c r="C27" s="4129" t="s">
        <v>1615</v>
      </c>
      <c r="D27" s="4130"/>
      <c r="E27" s="4130"/>
      <c r="F27" s="4130"/>
      <c r="G27" s="4130"/>
      <c r="H27" s="4130"/>
      <c r="I27" s="4130"/>
      <c r="J27" s="4130"/>
      <c r="K27" s="4131"/>
      <c r="L27" s="486"/>
      <c r="M27" s="487"/>
      <c r="N27" s="488"/>
      <c r="O27" s="487"/>
      <c r="P27" s="487"/>
      <c r="Q27" s="488"/>
      <c r="R27" s="487"/>
      <c r="S27" s="487"/>
      <c r="T27" s="487"/>
      <c r="U27" s="487"/>
      <c r="V27" s="487"/>
      <c r="W27" s="487"/>
      <c r="X27" s="2596"/>
    </row>
    <row r="28" spans="2:24" s="963" customFormat="1" ht="16.5" customHeight="1">
      <c r="B28" s="1390">
        <v>8</v>
      </c>
      <c r="C28" s="4146" t="s">
        <v>26</v>
      </c>
      <c r="D28" s="4147"/>
      <c r="E28" s="4147"/>
      <c r="F28" s="4147"/>
      <c r="G28" s="4147"/>
      <c r="H28" s="4147"/>
      <c r="I28" s="4147"/>
      <c r="J28" s="4147"/>
      <c r="K28" s="4148"/>
      <c r="L28" s="486"/>
      <c r="M28" s="487"/>
      <c r="N28" s="488"/>
      <c r="O28" s="487"/>
      <c r="P28" s="487"/>
      <c r="Q28" s="488"/>
      <c r="R28" s="487"/>
      <c r="S28" s="487"/>
      <c r="T28" s="487"/>
      <c r="U28" s="487"/>
      <c r="V28" s="487"/>
      <c r="W28" s="487"/>
      <c r="X28" s="2596"/>
    </row>
    <row r="29" spans="2:24" s="963" customFormat="1" ht="16.5" customHeight="1">
      <c r="B29" s="1390">
        <v>9</v>
      </c>
      <c r="C29" s="4129" t="s">
        <v>1504</v>
      </c>
      <c r="D29" s="4130"/>
      <c r="E29" s="4130"/>
      <c r="F29" s="4130"/>
      <c r="G29" s="4130"/>
      <c r="H29" s="4130"/>
      <c r="I29" s="4130"/>
      <c r="J29" s="4130"/>
      <c r="K29" s="4131"/>
      <c r="L29" s="486"/>
      <c r="M29" s="487"/>
      <c r="N29" s="488"/>
      <c r="O29" s="487"/>
      <c r="P29" s="487"/>
      <c r="Q29" s="488"/>
      <c r="R29" s="487"/>
      <c r="S29" s="487"/>
      <c r="T29" s="487"/>
      <c r="U29" s="487"/>
      <c r="V29" s="487"/>
      <c r="W29" s="487"/>
      <c r="X29" s="2596"/>
    </row>
    <row r="30" spans="2:24" s="963" customFormat="1" ht="16.5" customHeight="1">
      <c r="B30" s="1390">
        <v>10</v>
      </c>
      <c r="C30" s="4149" t="s">
        <v>1701</v>
      </c>
      <c r="D30" s="4150"/>
      <c r="E30" s="4150"/>
      <c r="F30" s="4150"/>
      <c r="G30" s="4150"/>
      <c r="H30" s="4150"/>
      <c r="I30" s="4150"/>
      <c r="J30" s="4150"/>
      <c r="K30" s="4151"/>
      <c r="L30" s="486"/>
      <c r="M30" s="487"/>
      <c r="N30" s="488"/>
      <c r="O30" s="487"/>
      <c r="P30" s="487"/>
      <c r="Q30" s="488"/>
      <c r="R30" s="487"/>
      <c r="S30" s="487"/>
      <c r="T30" s="487"/>
      <c r="U30" s="487"/>
      <c r="V30" s="487"/>
      <c r="W30" s="487"/>
      <c r="X30" s="2596"/>
    </row>
    <row r="31" spans="2:24" s="963" customFormat="1" ht="16.5" customHeight="1">
      <c r="B31" s="1390">
        <v>11</v>
      </c>
      <c r="C31" s="4129" t="s">
        <v>1505</v>
      </c>
      <c r="D31" s="4130"/>
      <c r="E31" s="4130"/>
      <c r="F31" s="4130"/>
      <c r="G31" s="4130"/>
      <c r="H31" s="4130"/>
      <c r="I31" s="4130"/>
      <c r="J31" s="4130"/>
      <c r="K31" s="4131"/>
      <c r="L31" s="486"/>
      <c r="M31" s="487"/>
      <c r="N31" s="488"/>
      <c r="O31" s="487"/>
      <c r="P31" s="487"/>
      <c r="Q31" s="488"/>
      <c r="R31" s="487"/>
      <c r="S31" s="487"/>
      <c r="T31" s="487"/>
      <c r="U31" s="487"/>
      <c r="V31" s="487"/>
      <c r="W31" s="487"/>
      <c r="X31" s="2596"/>
    </row>
    <row r="32" spans="2:24" s="963" customFormat="1" ht="16.5" customHeight="1">
      <c r="B32" s="1390">
        <v>12</v>
      </c>
      <c r="C32" s="4129" t="s">
        <v>1506</v>
      </c>
      <c r="D32" s="4130"/>
      <c r="E32" s="4130"/>
      <c r="F32" s="4130"/>
      <c r="G32" s="4130"/>
      <c r="H32" s="4130"/>
      <c r="I32" s="4130"/>
      <c r="J32" s="4130"/>
      <c r="K32" s="4131"/>
      <c r="L32" s="486"/>
      <c r="M32" s="487"/>
      <c r="N32" s="488"/>
      <c r="O32" s="487"/>
      <c r="P32" s="487"/>
      <c r="Q32" s="488"/>
      <c r="R32" s="487"/>
      <c r="S32" s="487"/>
      <c r="T32" s="487"/>
      <c r="U32" s="487"/>
      <c r="V32" s="487"/>
      <c r="W32" s="487"/>
      <c r="X32" s="2596"/>
    </row>
    <row r="33" spans="2:25" s="963" customFormat="1" ht="16.5" customHeight="1">
      <c r="B33" s="1390">
        <v>13</v>
      </c>
      <c r="C33" s="4129" t="s">
        <v>1562</v>
      </c>
      <c r="D33" s="4130"/>
      <c r="E33" s="4130"/>
      <c r="F33" s="4130"/>
      <c r="G33" s="4130"/>
      <c r="H33" s="4130"/>
      <c r="I33" s="4130"/>
      <c r="J33" s="4130"/>
      <c r="K33" s="4131"/>
      <c r="L33" s="486"/>
      <c r="M33" s="487"/>
      <c r="N33" s="488"/>
      <c r="O33" s="487"/>
      <c r="P33" s="487"/>
      <c r="Q33" s="488"/>
      <c r="R33" s="487"/>
      <c r="S33" s="487"/>
      <c r="T33" s="487"/>
      <c r="U33" s="487"/>
      <c r="V33" s="487"/>
      <c r="W33" s="487"/>
      <c r="X33" s="2596"/>
    </row>
    <row r="34" spans="2:25" s="963" customFormat="1" ht="16.5" customHeight="1">
      <c r="B34" s="1390">
        <v>14</v>
      </c>
      <c r="C34" s="4129" t="s">
        <v>1524</v>
      </c>
      <c r="D34" s="4130"/>
      <c r="E34" s="4130"/>
      <c r="F34" s="4130"/>
      <c r="G34" s="4130"/>
      <c r="H34" s="4130"/>
      <c r="I34" s="4130"/>
      <c r="J34" s="4130"/>
      <c r="K34" s="4131"/>
      <c r="L34" s="486"/>
      <c r="M34" s="487"/>
      <c r="N34" s="488"/>
      <c r="O34" s="487"/>
      <c r="P34" s="487"/>
      <c r="Q34" s="488"/>
      <c r="R34" s="487"/>
      <c r="S34" s="487"/>
      <c r="T34" s="487"/>
      <c r="U34" s="487"/>
      <c r="V34" s="487"/>
      <c r="W34" s="487"/>
      <c r="X34" s="2596"/>
    </row>
    <row r="35" spans="2:25" s="963" customFormat="1" ht="16.5" customHeight="1" thickBot="1">
      <c r="B35" s="3565">
        <v>15</v>
      </c>
      <c r="C35" s="4132" t="s">
        <v>1507</v>
      </c>
      <c r="D35" s="4133"/>
      <c r="E35" s="4133"/>
      <c r="F35" s="4133"/>
      <c r="G35" s="4133"/>
      <c r="H35" s="4133"/>
      <c r="I35" s="4133"/>
      <c r="J35" s="4133"/>
      <c r="K35" s="4134"/>
      <c r="L35" s="1576"/>
      <c r="M35" s="1623"/>
      <c r="N35" s="1577"/>
      <c r="O35" s="1623"/>
      <c r="P35" s="1623"/>
      <c r="Q35" s="1577"/>
      <c r="R35" s="1623"/>
      <c r="S35" s="1623"/>
      <c r="T35" s="1623"/>
      <c r="U35" s="1623"/>
      <c r="V35" s="1623"/>
      <c r="W35" s="1623"/>
      <c r="X35" s="3566"/>
    </row>
    <row r="36" spans="2:25" s="963" customFormat="1" ht="16.5" customHeight="1" thickBot="1">
      <c r="B36" s="1392">
        <v>16</v>
      </c>
      <c r="C36" s="4132" t="s">
        <v>1874</v>
      </c>
      <c r="D36" s="4133"/>
      <c r="E36" s="4133"/>
      <c r="F36" s="4133"/>
      <c r="G36" s="4133"/>
      <c r="H36" s="4133"/>
      <c r="I36" s="4133"/>
      <c r="J36" s="4133"/>
      <c r="K36" s="4134"/>
      <c r="L36" s="2464"/>
      <c r="M36" s="2465"/>
      <c r="N36" s="1393"/>
      <c r="O36" s="2465"/>
      <c r="P36" s="2465"/>
      <c r="Q36" s="1393"/>
      <c r="R36" s="2465"/>
      <c r="S36" s="2465"/>
      <c r="T36" s="2465"/>
      <c r="U36" s="2465"/>
      <c r="V36" s="2465"/>
      <c r="W36" s="2465"/>
      <c r="X36" s="2598"/>
    </row>
    <row r="37" spans="2:25" s="963" customFormat="1" ht="15.75" customHeight="1">
      <c r="B37" s="2633"/>
      <c r="C37" s="2633"/>
      <c r="X37" s="1091"/>
    </row>
    <row r="38" spans="2:25" s="2639" customFormat="1" ht="15" customHeight="1">
      <c r="B38" s="4135">
        <v>2.61</v>
      </c>
      <c r="C38" s="4136"/>
      <c r="D38" s="2678" t="s">
        <v>1865</v>
      </c>
      <c r="X38" s="1091"/>
    </row>
    <row r="39" spans="2:25" s="2639" customFormat="1" ht="13.5">
      <c r="B39" s="2633"/>
      <c r="C39" s="2633"/>
      <c r="J39" s="2679" t="s">
        <v>9</v>
      </c>
      <c r="K39" s="2679"/>
      <c r="L39" s="2679">
        <v>1</v>
      </c>
      <c r="M39" s="2679"/>
      <c r="N39" s="2679"/>
      <c r="O39" s="2679"/>
      <c r="P39" s="1488"/>
      <c r="V39" s="2640"/>
      <c r="W39" s="2641"/>
      <c r="X39" s="1091"/>
    </row>
    <row r="40" spans="2:25" s="2639" customFormat="1" ht="13.5">
      <c r="B40" s="2633"/>
      <c r="C40" s="2633"/>
      <c r="J40" s="2679" t="s">
        <v>10</v>
      </c>
      <c r="K40" s="2679"/>
      <c r="L40" s="2679">
        <v>2</v>
      </c>
      <c r="M40" s="2680"/>
      <c r="N40" s="2681" t="s">
        <v>1526</v>
      </c>
      <c r="O40" s="2680"/>
      <c r="P40" s="1488"/>
      <c r="V40" s="2642"/>
      <c r="W40" s="2643"/>
      <c r="X40" s="1091"/>
    </row>
    <row r="41" spans="2:25" s="2639" customFormat="1" ht="5.25" customHeight="1">
      <c r="B41" s="2633"/>
      <c r="C41" s="2633"/>
      <c r="X41" s="1091"/>
    </row>
    <row r="42" spans="2:25" s="2639" customFormat="1" ht="3" customHeight="1" thickBot="1">
      <c r="B42" s="2633"/>
      <c r="C42" s="2633"/>
      <c r="X42" s="1091"/>
    </row>
    <row r="43" spans="2:25" s="2639" customFormat="1" ht="13.5" customHeight="1">
      <c r="B43" s="2633"/>
      <c r="C43" s="2682"/>
      <c r="D43" s="2683"/>
      <c r="E43" s="2661"/>
      <c r="F43" s="2661"/>
      <c r="G43" s="2661"/>
      <c r="H43" s="2661"/>
      <c r="I43" s="2661"/>
      <c r="J43" s="2661"/>
      <c r="K43" s="2661"/>
      <c r="L43" s="2661"/>
      <c r="M43" s="2662"/>
      <c r="N43" s="4116">
        <v>2.62</v>
      </c>
      <c r="O43" s="4117"/>
      <c r="P43" s="4117"/>
      <c r="Q43" s="4117"/>
      <c r="R43" s="4117"/>
      <c r="S43" s="4118"/>
      <c r="T43" s="4116">
        <v>2.63</v>
      </c>
      <c r="U43" s="4117"/>
      <c r="V43" s="4117"/>
      <c r="W43" s="4117"/>
      <c r="X43" s="4117"/>
      <c r="Y43" s="4119"/>
    </row>
    <row r="44" spans="2:25" s="2639" customFormat="1" ht="26.25" customHeight="1">
      <c r="C44" s="4137"/>
      <c r="D44" s="4140"/>
      <c r="E44" s="4141"/>
      <c r="F44" s="4141"/>
      <c r="G44" s="4141"/>
      <c r="H44" s="4141"/>
      <c r="I44" s="4141"/>
      <c r="J44" s="4141"/>
      <c r="K44" s="4141"/>
      <c r="L44" s="4141"/>
      <c r="M44" s="4142"/>
      <c r="N44" s="3707" t="s">
        <v>1883</v>
      </c>
      <c r="O44" s="3701"/>
      <c r="P44" s="3701"/>
      <c r="Q44" s="3701"/>
      <c r="R44" s="3701"/>
      <c r="S44" s="3708"/>
      <c r="T44" s="4120" t="s">
        <v>1508</v>
      </c>
      <c r="U44" s="4121"/>
      <c r="V44" s="4121"/>
      <c r="W44" s="4121"/>
      <c r="X44" s="4121"/>
      <c r="Y44" s="4122"/>
    </row>
    <row r="45" spans="2:25" s="2639" customFormat="1" ht="19.5" customHeight="1">
      <c r="B45" s="2633"/>
      <c r="C45" s="4138"/>
      <c r="D45" s="4143"/>
      <c r="E45" s="4144"/>
      <c r="F45" s="4144"/>
      <c r="G45" s="4144"/>
      <c r="H45" s="4144"/>
      <c r="I45" s="4144"/>
      <c r="J45" s="4144"/>
      <c r="K45" s="4144"/>
      <c r="L45" s="4144"/>
      <c r="M45" s="4145"/>
      <c r="N45" s="3706"/>
      <c r="O45" s="3703"/>
      <c r="P45" s="3703"/>
      <c r="Q45" s="3703"/>
      <c r="R45" s="3703"/>
      <c r="S45" s="3704"/>
      <c r="T45" s="4123"/>
      <c r="U45" s="4066"/>
      <c r="V45" s="4066"/>
      <c r="W45" s="4066"/>
      <c r="X45" s="4066"/>
      <c r="Y45" s="4124"/>
    </row>
    <row r="46" spans="2:25" s="2639" customFormat="1" ht="21" customHeight="1">
      <c r="B46" s="2633"/>
      <c r="C46" s="4138"/>
      <c r="D46" s="4143"/>
      <c r="E46" s="4144"/>
      <c r="F46" s="4144"/>
      <c r="G46" s="4144"/>
      <c r="H46" s="4144"/>
      <c r="I46" s="4144"/>
      <c r="J46" s="4144"/>
      <c r="K46" s="4144"/>
      <c r="L46" s="4144"/>
      <c r="M46" s="4145"/>
      <c r="N46" s="3706"/>
      <c r="O46" s="3703"/>
      <c r="P46" s="3703"/>
      <c r="Q46" s="3703"/>
      <c r="R46" s="3703"/>
      <c r="S46" s="3704"/>
      <c r="T46" s="4123"/>
      <c r="U46" s="4066"/>
      <c r="V46" s="4066"/>
      <c r="W46" s="4066"/>
      <c r="X46" s="4066"/>
      <c r="Y46" s="4124"/>
    </row>
    <row r="47" spans="2:25" s="2639" customFormat="1" ht="13.5">
      <c r="B47" s="2633"/>
      <c r="C47" s="4138"/>
      <c r="D47" s="4143"/>
      <c r="E47" s="4144"/>
      <c r="F47" s="4144"/>
      <c r="G47" s="4144"/>
      <c r="H47" s="4144"/>
      <c r="I47" s="4144"/>
      <c r="J47" s="4144"/>
      <c r="K47" s="4144"/>
      <c r="L47" s="4144"/>
      <c r="M47" s="4145"/>
      <c r="N47" s="2684" t="s">
        <v>57</v>
      </c>
      <c r="O47" s="2684"/>
      <c r="P47" s="1508"/>
      <c r="Q47" s="1508"/>
      <c r="R47" s="2644"/>
      <c r="S47" s="347"/>
      <c r="T47" s="2637"/>
      <c r="U47" s="2638"/>
      <c r="V47" s="2638"/>
      <c r="W47" s="2638"/>
      <c r="X47" s="2645"/>
      <c r="Y47" s="2685"/>
    </row>
    <row r="48" spans="2:25" s="2639" customFormat="1" ht="13.5" customHeight="1" thickBot="1">
      <c r="B48" s="2633"/>
      <c r="C48" s="4139"/>
      <c r="D48" s="4125" t="s">
        <v>1509</v>
      </c>
      <c r="E48" s="4074"/>
      <c r="F48" s="4074"/>
      <c r="G48" s="4074"/>
      <c r="H48" s="4074"/>
      <c r="I48" s="4074"/>
      <c r="J48" s="4074"/>
      <c r="K48" s="4074"/>
      <c r="L48" s="4074"/>
      <c r="M48" s="4075"/>
      <c r="N48" s="2686" t="s">
        <v>1527</v>
      </c>
      <c r="O48" s="2686"/>
      <c r="P48" s="2687"/>
      <c r="Q48" s="2687"/>
      <c r="R48" s="2688"/>
      <c r="S48" s="2689"/>
      <c r="T48" s="4126" t="s">
        <v>1510</v>
      </c>
      <c r="U48" s="4127"/>
      <c r="V48" s="4127"/>
      <c r="W48" s="4127"/>
      <c r="X48" s="4127"/>
      <c r="Y48" s="4128"/>
    </row>
    <row r="49" spans="2:25" s="965" customFormat="1" ht="18" customHeight="1">
      <c r="B49" s="2646"/>
      <c r="C49" s="2690">
        <v>1</v>
      </c>
      <c r="D49" s="2691" t="s">
        <v>1511</v>
      </c>
      <c r="E49" s="2692"/>
      <c r="F49" s="2692"/>
      <c r="G49" s="2692"/>
      <c r="H49" s="2692"/>
      <c r="I49" s="2692"/>
      <c r="J49" s="2692"/>
      <c r="K49" s="2692"/>
      <c r="L49" s="2692"/>
      <c r="M49" s="2693"/>
      <c r="N49" s="2694"/>
      <c r="O49" s="2695"/>
      <c r="P49" s="2695"/>
      <c r="Q49" s="2695"/>
      <c r="R49" s="2695"/>
      <c r="S49" s="2695"/>
      <c r="T49" s="2694"/>
      <c r="U49" s="2695"/>
      <c r="V49" s="2695"/>
      <c r="W49" s="2695"/>
      <c r="X49" s="2696"/>
      <c r="Y49" s="2697"/>
    </row>
    <row r="50" spans="2:25" s="965" customFormat="1" ht="26.25" customHeight="1">
      <c r="B50" s="2646"/>
      <c r="C50" s="2698">
        <v>2</v>
      </c>
      <c r="D50" s="4157" t="s">
        <v>1512</v>
      </c>
      <c r="E50" s="4157"/>
      <c r="F50" s="4157"/>
      <c r="G50" s="4157"/>
      <c r="H50" s="4157"/>
      <c r="I50" s="4157"/>
      <c r="J50" s="4157"/>
      <c r="K50" s="4157"/>
      <c r="L50" s="4157"/>
      <c r="M50" s="4157"/>
      <c r="N50" s="2647"/>
      <c r="O50" s="2648"/>
      <c r="P50" s="2648"/>
      <c r="Q50" s="2648"/>
      <c r="R50" s="2648"/>
      <c r="S50" s="2648"/>
      <c r="T50" s="2647"/>
      <c r="U50" s="2648"/>
      <c r="V50" s="2648"/>
      <c r="W50" s="2648"/>
      <c r="X50" s="2649"/>
      <c r="Y50" s="2699"/>
    </row>
    <row r="51" spans="2:25" s="965" customFormat="1" ht="16.5" customHeight="1">
      <c r="B51" s="2646"/>
      <c r="C51" s="2698">
        <v>3</v>
      </c>
      <c r="D51" s="4152" t="s">
        <v>1513</v>
      </c>
      <c r="E51" s="4153"/>
      <c r="F51" s="4153"/>
      <c r="G51" s="4153"/>
      <c r="H51" s="4153"/>
      <c r="I51" s="4153"/>
      <c r="J51" s="4153"/>
      <c r="K51" s="4153"/>
      <c r="L51" s="4153"/>
      <c r="M51" s="4154"/>
      <c r="N51" s="2650"/>
      <c r="O51" s="968"/>
      <c r="P51" s="968"/>
      <c r="Q51" s="968"/>
      <c r="R51" s="968"/>
      <c r="S51" s="968"/>
      <c r="T51" s="2650"/>
      <c r="U51" s="2648"/>
      <c r="V51" s="2648"/>
      <c r="W51" s="2648"/>
      <c r="X51" s="2649"/>
      <c r="Y51" s="2699"/>
    </row>
    <row r="52" spans="2:25" s="965" customFormat="1" ht="16.5" customHeight="1">
      <c r="B52" s="2646"/>
      <c r="C52" s="2698">
        <v>4</v>
      </c>
      <c r="D52" s="4152" t="s">
        <v>1514</v>
      </c>
      <c r="E52" s="4153"/>
      <c r="F52" s="4153"/>
      <c r="G52" s="4153"/>
      <c r="H52" s="4153"/>
      <c r="I52" s="4153"/>
      <c r="J52" s="4153"/>
      <c r="K52" s="4153"/>
      <c r="L52" s="4153"/>
      <c r="M52" s="4154"/>
      <c r="N52" s="2647"/>
      <c r="O52" s="2648"/>
      <c r="P52" s="2648"/>
      <c r="Q52" s="2648"/>
      <c r="R52" s="2648"/>
      <c r="S52" s="2648"/>
      <c r="T52" s="2647"/>
      <c r="U52" s="2648"/>
      <c r="V52" s="2648"/>
      <c r="W52" s="2648"/>
      <c r="X52" s="2649"/>
      <c r="Y52" s="2699"/>
    </row>
    <row r="53" spans="2:25" s="965" customFormat="1" ht="16.5" customHeight="1" thickBot="1">
      <c r="B53" s="2646"/>
      <c r="C53" s="2700">
        <v>5</v>
      </c>
      <c r="D53" s="4155" t="s">
        <v>1515</v>
      </c>
      <c r="E53" s="4155"/>
      <c r="F53" s="4155"/>
      <c r="G53" s="4155"/>
      <c r="H53" s="4155"/>
      <c r="I53" s="4155"/>
      <c r="J53" s="4155"/>
      <c r="K53" s="4155"/>
      <c r="L53" s="4155"/>
      <c r="M53" s="4155"/>
      <c r="N53" s="2701"/>
      <c r="O53" s="2702"/>
      <c r="P53" s="2702"/>
      <c r="Q53" s="2702"/>
      <c r="R53" s="2702"/>
      <c r="S53" s="2702"/>
      <c r="T53" s="2701"/>
      <c r="U53" s="2703"/>
      <c r="V53" s="2703"/>
      <c r="W53" s="2703"/>
      <c r="X53" s="2704"/>
      <c r="Y53" s="2705"/>
    </row>
    <row r="54" spans="2:25" s="2639" customFormat="1">
      <c r="B54" s="2633"/>
      <c r="C54" s="2633"/>
      <c r="X54" s="1091"/>
    </row>
    <row r="55" spans="2:25" s="2639" customFormat="1">
      <c r="X55" s="1091"/>
    </row>
    <row r="56" spans="2:25">
      <c r="B56" s="2622"/>
      <c r="C56" s="2622"/>
    </row>
    <row r="57" spans="2:25">
      <c r="B57" s="2622"/>
      <c r="C57" s="2622"/>
    </row>
    <row r="58" spans="2:25">
      <c r="B58" s="2622"/>
      <c r="C58" s="2622"/>
    </row>
    <row r="59" spans="2:25">
      <c r="B59" s="2622"/>
      <c r="C59" s="2622"/>
    </row>
    <row r="60" spans="2:25">
      <c r="B60" s="2622"/>
      <c r="C60" s="2622"/>
    </row>
    <row r="61" spans="2:25">
      <c r="B61" s="2622"/>
      <c r="C61" s="2622"/>
    </row>
    <row r="62" spans="2:25">
      <c r="B62" s="2622"/>
      <c r="C62" s="2622"/>
    </row>
    <row r="63" spans="2:25">
      <c r="B63" s="2622"/>
      <c r="C63" s="2622"/>
    </row>
    <row r="64" spans="2:25">
      <c r="B64" s="2622"/>
      <c r="C64" s="2622"/>
    </row>
    <row r="65" spans="2:3">
      <c r="B65" s="2622"/>
      <c r="C65" s="2622"/>
    </row>
    <row r="66" spans="2:3">
      <c r="B66" s="2622"/>
      <c r="C66" s="2622"/>
    </row>
    <row r="67" spans="2:3">
      <c r="B67" s="2622"/>
      <c r="C67" s="2622"/>
    </row>
    <row r="68" spans="2:3">
      <c r="B68" s="2622"/>
      <c r="C68" s="2622"/>
    </row>
    <row r="69" spans="2:3">
      <c r="B69" s="2622"/>
      <c r="C69" s="2622"/>
    </row>
  </sheetData>
  <customSheetViews>
    <customSheetView guid="{BDF1A126-BD1D-4A5E-80B8-98941684E462}" scale="90" showPageBreaks="1" showGridLines="0" printArea="1">
      <selection activeCell="B5" sqref="B5:B23"/>
      <pageMargins left="0.2" right="0.2" top="0.2" bottom="0.2" header="0" footer="0"/>
      <pageSetup paperSize="9" orientation="portrait" r:id="rId1"/>
      <headerFooter alignWithMargins="0"/>
    </customSheetView>
    <customSheetView guid="{1FF58891-F32F-4F97-9812-E2D02F4497AA}" scale="90" showGridLines="0">
      <selection activeCell="B5" sqref="B5:B23"/>
      <pageMargins left="0.2" right="0.2" top="0.2" bottom="0.2" header="0" footer="0"/>
      <pageSetup paperSize="9" orientation="portrait" r:id="rId2"/>
      <headerFooter alignWithMargins="0"/>
    </customSheetView>
    <customSheetView guid="{2A6091F0-BAF4-46A2-BC20-0DE610E67601}" scale="90" showPageBreaks="1" showGridLines="0" printArea="1">
      <selection activeCell="B5" sqref="B5:B23"/>
      <pageMargins left="0.2" right="0.2" top="0.2" bottom="0.2" header="0" footer="0"/>
      <pageSetup paperSize="9" orientation="portrait" r:id="rId3"/>
      <headerFooter alignWithMargins="0"/>
    </customSheetView>
    <customSheetView guid="{5111FDC7-EEAC-46C3-8033-47A3563F0C00}" scale="90" showPageBreaks="1" showGridLines="0" printArea="1">
      <selection activeCell="C30" sqref="C30:K30"/>
      <pageMargins left="0.2" right="0.2" top="0.2" bottom="0.2" header="0" footer="0"/>
      <pageSetup paperSize="9" orientation="portrait" r:id="rId4"/>
      <headerFooter alignWithMargins="0"/>
    </customSheetView>
    <customSheetView guid="{2A5E79E4-584C-4F65-A220-87928CEA02AF}" scale="90" showPageBreaks="1" showGridLines="0" printArea="1" topLeftCell="A10">
      <selection activeCell="U22" sqref="U22"/>
      <pageMargins left="0.2" right="0.2" top="0.2" bottom="0.2" header="0" footer="0"/>
      <pageSetup paperSize="9" orientation="portrait" r:id="rId5"/>
      <headerFooter alignWithMargins="0"/>
    </customSheetView>
    <customSheetView guid="{66872EF1-41BD-4D4B-B603-B8B0D03DAD22}" scale="90" showPageBreaks="1" showGridLines="0" printArea="1" topLeftCell="A10">
      <selection activeCell="U22" sqref="U22"/>
      <pageMargins left="0.2" right="0.2" top="0.2" bottom="0.2" header="0" footer="0"/>
      <pageSetup paperSize="9" orientation="portrait" r:id="rId6"/>
      <headerFooter alignWithMargins="0"/>
    </customSheetView>
    <customSheetView guid="{ACE56013-11B3-4BF4-BD0B-BF59142DAC13}" scale="90" showPageBreaks="1" showGridLines="0" printArea="1">
      <selection activeCell="U11" sqref="U11"/>
      <pageMargins left="0.2" right="0.2" top="0.2" bottom="0.2" header="0" footer="0"/>
      <pageSetup paperSize="9" orientation="portrait" r:id="rId7"/>
      <headerFooter alignWithMargins="0"/>
    </customSheetView>
  </customSheetViews>
  <mergeCells count="45">
    <mergeCell ref="D51:M51"/>
    <mergeCell ref="D52:M52"/>
    <mergeCell ref="D53:M53"/>
    <mergeCell ref="L5:N5"/>
    <mergeCell ref="O5:Q5"/>
    <mergeCell ref="D50:M50"/>
    <mergeCell ref="C32:K32"/>
    <mergeCell ref="C33:K33"/>
    <mergeCell ref="C22:K22"/>
    <mergeCell ref="C23:K23"/>
    <mergeCell ref="C24:K24"/>
    <mergeCell ref="C25:K25"/>
    <mergeCell ref="C26:K26"/>
    <mergeCell ref="C27:K27"/>
    <mergeCell ref="C35:K35"/>
    <mergeCell ref="R5:X5"/>
    <mergeCell ref="N43:S43"/>
    <mergeCell ref="T43:Y43"/>
    <mergeCell ref="T44:Y46"/>
    <mergeCell ref="D48:M48"/>
    <mergeCell ref="T48:Y48"/>
    <mergeCell ref="C34:K34"/>
    <mergeCell ref="C36:K36"/>
    <mergeCell ref="B38:C38"/>
    <mergeCell ref="C44:C48"/>
    <mergeCell ref="D44:M47"/>
    <mergeCell ref="N44:S46"/>
    <mergeCell ref="C28:K28"/>
    <mergeCell ref="C29:K29"/>
    <mergeCell ref="C30:K30"/>
    <mergeCell ref="C31:K31"/>
    <mergeCell ref="R18:W18"/>
    <mergeCell ref="R19:W19"/>
    <mergeCell ref="D20:K20"/>
    <mergeCell ref="O20:Q20"/>
    <mergeCell ref="B6:B20"/>
    <mergeCell ref="L6:N14"/>
    <mergeCell ref="O6:Q19"/>
    <mergeCell ref="R6:X7"/>
    <mergeCell ref="R8:W9"/>
    <mergeCell ref="X8:X9"/>
    <mergeCell ref="R13:W13"/>
    <mergeCell ref="R16:W17"/>
    <mergeCell ref="X16:X17"/>
    <mergeCell ref="R20:W20"/>
  </mergeCells>
  <pageMargins left="0.2" right="0.2" top="0.2" bottom="0.2" header="0" footer="0"/>
  <pageSetup paperSize="9" orientation="portrait" r:id="rId8"/>
  <headerFooter alignWithMargins="0"/>
  <drawing r:id="rId9"/>
  <legacyDrawing r:id="rId1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J51"/>
  <sheetViews>
    <sheetView showGridLines="0" view="pageLayout" zoomScaleNormal="100" zoomScaleSheetLayoutView="100" workbookViewId="0">
      <selection activeCell="A4" sqref="A4:B24"/>
    </sheetView>
  </sheetViews>
  <sheetFormatPr defaultColWidth="9.140625" defaultRowHeight="12.75"/>
  <cols>
    <col min="1" max="1" width="2.7109375" style="31" customWidth="1"/>
    <col min="2" max="2" width="2.85546875" style="31" customWidth="1"/>
    <col min="3" max="3" width="4.7109375" style="31" customWidth="1"/>
    <col min="4" max="4" width="6.28515625" style="31" customWidth="1"/>
    <col min="5" max="5" width="3.28515625" style="31" customWidth="1"/>
    <col min="6" max="6" width="7.42578125" style="31" customWidth="1"/>
    <col min="7" max="7" width="4.5703125" style="31" customWidth="1"/>
    <col min="8" max="8" width="7.42578125" style="31" customWidth="1"/>
    <col min="9" max="9" width="11.140625" style="31" customWidth="1"/>
    <col min="10" max="10" width="2.7109375" style="52" customWidth="1"/>
    <col min="11" max="11" width="10" style="31" customWidth="1"/>
    <col min="12" max="12" width="16.28515625" style="31" customWidth="1"/>
    <col min="13" max="13" width="4.28515625" style="31" customWidth="1"/>
    <col min="14" max="14" width="9.28515625" style="31" customWidth="1"/>
    <col min="15" max="15" width="9.42578125" style="31" customWidth="1"/>
    <col min="16" max="16" width="4.28515625" style="2073" customWidth="1"/>
    <col min="17" max="17" width="21" style="31" customWidth="1"/>
    <col min="18" max="18" width="2.7109375" style="1213" customWidth="1"/>
    <col min="19" max="19" width="7.85546875" style="31" customWidth="1"/>
    <col min="20" max="20" width="3.85546875" style="31" customWidth="1"/>
    <col min="21" max="21" width="9.85546875" style="31" customWidth="1"/>
    <col min="22" max="22" width="3.28515625" style="52" customWidth="1"/>
    <col min="23" max="23" width="11.140625" style="31" customWidth="1"/>
    <col min="24" max="24" width="12.7109375" style="31" customWidth="1"/>
    <col min="25" max="25" width="2.140625" style="2073" customWidth="1"/>
    <col min="26" max="26" width="12.5703125" style="31" customWidth="1"/>
    <col min="27" max="27" width="4.42578125" style="31" customWidth="1"/>
    <col min="28" max="28" width="9.5703125" style="31" customWidth="1"/>
    <col min="29" max="29" width="9.28515625" style="326" customWidth="1"/>
    <col min="30" max="30" width="9" style="31" customWidth="1"/>
    <col min="31" max="32" width="4.7109375" style="326" customWidth="1"/>
    <col min="33" max="33" width="10.28515625" style="326" customWidth="1"/>
    <col min="34" max="35" width="5.7109375" style="326" customWidth="1"/>
    <col min="36" max="36" width="1.85546875" style="326" customWidth="1"/>
    <col min="37" max="37" width="2.7109375" style="523" customWidth="1"/>
    <col min="38" max="38" width="6.5703125" style="326" customWidth="1"/>
    <col min="39" max="40" width="3.7109375" style="326" customWidth="1"/>
    <col min="41" max="41" width="5.5703125" style="326" customWidth="1"/>
    <col min="42" max="42" width="9.140625" style="326"/>
    <col min="43" max="43" width="13.42578125" style="326" customWidth="1"/>
    <col min="44" max="44" width="3.28515625" style="988" customWidth="1"/>
    <col min="45" max="45" width="10.85546875" style="326" customWidth="1"/>
    <col min="46" max="46" width="10" style="326" customWidth="1"/>
    <col min="47" max="47" width="10.7109375" style="326" customWidth="1"/>
    <col min="48" max="48" width="10.28515625" style="326" customWidth="1"/>
    <col min="49" max="49" width="9.140625" style="326" customWidth="1"/>
    <col min="50" max="50" width="11.5703125" style="326" customWidth="1"/>
    <col min="51" max="51" width="8.5703125" style="326" customWidth="1"/>
    <col min="52" max="52" width="13.85546875" style="326" customWidth="1"/>
    <col min="53" max="53" width="16" style="326" customWidth="1"/>
    <col min="54" max="54" width="9.7109375" style="326" customWidth="1"/>
    <col min="55" max="61" width="9.140625" style="326"/>
    <col min="62" max="16384" width="9.140625" style="31"/>
  </cols>
  <sheetData>
    <row r="1" spans="1:62" s="33" customFormat="1" ht="20.100000000000001" customHeight="1">
      <c r="A1" s="32"/>
      <c r="B1" s="32"/>
      <c r="C1" s="1107" t="s">
        <v>1251</v>
      </c>
      <c r="D1" s="943"/>
      <c r="E1" s="1107"/>
      <c r="F1" s="1147"/>
      <c r="G1" s="29"/>
      <c r="H1" s="943"/>
      <c r="I1" s="29"/>
      <c r="J1" s="34"/>
      <c r="P1" s="2064"/>
      <c r="Q1" s="29"/>
      <c r="R1" s="1209"/>
      <c r="U1" s="29" t="s">
        <v>1252</v>
      </c>
      <c r="V1" s="34"/>
      <c r="Y1" s="2064"/>
      <c r="AE1" s="958"/>
      <c r="AF1" s="958"/>
      <c r="AG1" s="989"/>
      <c r="AH1" s="958"/>
      <c r="AI1" s="958"/>
      <c r="AJ1" s="958"/>
      <c r="AK1" s="962"/>
      <c r="AL1" s="958"/>
      <c r="AM1" s="960"/>
      <c r="AN1" s="960"/>
      <c r="AO1" s="960"/>
      <c r="AP1" s="29" t="s">
        <v>1252</v>
      </c>
      <c r="AQ1" s="960"/>
      <c r="AR1" s="962"/>
      <c r="AT1" s="959"/>
      <c r="AU1" s="959"/>
      <c r="AV1" s="959"/>
      <c r="AW1" s="959"/>
      <c r="AX1" s="959"/>
      <c r="AY1" s="959"/>
      <c r="AZ1" s="959"/>
      <c r="BA1" s="958"/>
      <c r="BB1" s="990"/>
    </row>
    <row r="2" spans="1:62" s="30" customFormat="1" ht="15.75" customHeight="1">
      <c r="I2" s="4158" t="s">
        <v>39</v>
      </c>
      <c r="J2" s="4159"/>
      <c r="K2" s="4159"/>
      <c r="L2" s="4159"/>
      <c r="M2" s="4159"/>
      <c r="N2" s="4159"/>
      <c r="O2" s="4159"/>
      <c r="P2" s="4159"/>
      <c r="Q2" s="88" t="s">
        <v>69</v>
      </c>
      <c r="R2" s="1199"/>
      <c r="S2" s="89"/>
      <c r="T2" s="89"/>
      <c r="U2" s="4162" t="s">
        <v>20</v>
      </c>
      <c r="V2" s="4163"/>
      <c r="W2" s="4163"/>
      <c r="X2" s="4163"/>
      <c r="Y2" s="4163"/>
      <c r="Z2" s="4163"/>
      <c r="AA2" s="4163"/>
      <c r="AB2" s="4163"/>
      <c r="AC2" s="4163"/>
      <c r="AD2" s="4163"/>
      <c r="AE2" s="4163"/>
      <c r="AF2" s="4163"/>
      <c r="AG2" s="4163"/>
      <c r="AH2" s="4163"/>
      <c r="AI2" s="4163"/>
      <c r="AJ2" s="4163"/>
      <c r="AK2" s="4163"/>
      <c r="AL2" s="4163"/>
      <c r="AM2" s="4163"/>
      <c r="AN2" s="4163"/>
      <c r="AO2" s="4163"/>
      <c r="AP2" s="991"/>
      <c r="AQ2" s="991"/>
      <c r="AR2" s="1801"/>
      <c r="AS2" s="992" t="s">
        <v>20</v>
      </c>
      <c r="AT2" s="991"/>
      <c r="AU2" s="991"/>
      <c r="AV2" s="991"/>
      <c r="AW2" s="991"/>
      <c r="AX2" s="991"/>
      <c r="AY2" s="991"/>
      <c r="AZ2" s="991"/>
      <c r="BA2" s="991"/>
      <c r="BB2" s="991"/>
    </row>
    <row r="3" spans="1:62" s="82" customFormat="1" ht="12.2" customHeight="1" thickBot="1">
      <c r="A3" s="666"/>
      <c r="B3" s="667"/>
      <c r="C3" s="4164">
        <v>3.01</v>
      </c>
      <c r="D3" s="4165"/>
      <c r="E3" s="4164">
        <v>3.02</v>
      </c>
      <c r="F3" s="4165"/>
      <c r="G3" s="4164">
        <v>3.03</v>
      </c>
      <c r="H3" s="4165"/>
      <c r="I3" s="942">
        <f>+G3+0.01</f>
        <v>3.0399999999999996</v>
      </c>
      <c r="J3" s="993"/>
      <c r="K3" s="668">
        <f>+I3+0.01</f>
        <v>3.0499999999999994</v>
      </c>
      <c r="L3" s="4164">
        <f>+K3+0.01</f>
        <v>3.0599999999999992</v>
      </c>
      <c r="M3" s="4166"/>
      <c r="N3" s="4166"/>
      <c r="O3" s="4166"/>
      <c r="P3" s="4165"/>
      <c r="Q3" s="4167">
        <f>+L3+0.01</f>
        <v>3.069999999999999</v>
      </c>
      <c r="R3" s="4168"/>
      <c r="S3" s="4164">
        <f>+Q3+0.01</f>
        <v>3.0799999999999987</v>
      </c>
      <c r="T3" s="4165"/>
      <c r="U3" s="4164">
        <f>+S3+0.01</f>
        <v>3.0899999999999985</v>
      </c>
      <c r="V3" s="4165"/>
      <c r="W3" s="1813">
        <f>+U3+0.01</f>
        <v>3.0999999999999983</v>
      </c>
      <c r="X3" s="4169">
        <f>+W3+0.01</f>
        <v>3.1099999999999981</v>
      </c>
      <c r="Y3" s="4165"/>
      <c r="Z3" s="4170">
        <f>+X3+0.01</f>
        <v>3.1199999999999979</v>
      </c>
      <c r="AA3" s="4171"/>
      <c r="AB3" s="4172">
        <f>+Z3+0.01</f>
        <v>3.1299999999999977</v>
      </c>
      <c r="AC3" s="4173"/>
      <c r="AD3" s="1815">
        <f>+AB3+0.01</f>
        <v>3.1399999999999975</v>
      </c>
      <c r="AE3" s="4174">
        <f>+AD3+0.01</f>
        <v>3.1499999999999972</v>
      </c>
      <c r="AF3" s="4175"/>
      <c r="AG3" s="1540">
        <f>+AE3+0.01</f>
        <v>3.159999999999997</v>
      </c>
      <c r="AH3" s="4170">
        <f>+AG3+0.01</f>
        <v>3.1699999999999968</v>
      </c>
      <c r="AI3" s="4171"/>
      <c r="AJ3" s="4171"/>
      <c r="AK3" s="4232"/>
      <c r="AL3" s="4233">
        <f>+AH3+0.01</f>
        <v>3.1799999999999966</v>
      </c>
      <c r="AM3" s="4234"/>
      <c r="AN3" s="4336">
        <f>+AL3+0.01</f>
        <v>3.1899999999999964</v>
      </c>
      <c r="AO3" s="4337"/>
      <c r="AP3" s="4174">
        <v>3.2</v>
      </c>
      <c r="AQ3" s="4174"/>
      <c r="AR3" s="4204"/>
      <c r="AS3" s="4203">
        <v>3.21</v>
      </c>
      <c r="AT3" s="4174"/>
      <c r="AU3" s="4174"/>
      <c r="AV3" s="4174"/>
      <c r="AW3" s="4174"/>
      <c r="AX3" s="4174"/>
      <c r="AY3" s="4174"/>
      <c r="AZ3" s="4174"/>
      <c r="BA3" s="4174"/>
      <c r="BB3" s="4204"/>
      <c r="BJ3" s="994"/>
    </row>
    <row r="4" spans="1:62" s="35" customFormat="1" ht="17.25" customHeight="1">
      <c r="A4" s="4205" t="s">
        <v>739</v>
      </c>
      <c r="B4" s="4206"/>
      <c r="C4" s="4211" t="s">
        <v>1379</v>
      </c>
      <c r="D4" s="4212"/>
      <c r="E4" s="4246" t="s">
        <v>817</v>
      </c>
      <c r="F4" s="4212"/>
      <c r="G4" s="4211" t="s">
        <v>1758</v>
      </c>
      <c r="H4" s="4212"/>
      <c r="I4" s="4211" t="s">
        <v>1310</v>
      </c>
      <c r="J4" s="4212"/>
      <c r="K4" s="4215" t="s">
        <v>1218</v>
      </c>
      <c r="L4" s="4268" t="s">
        <v>1909</v>
      </c>
      <c r="M4" s="4269"/>
      <c r="N4" s="4269"/>
      <c r="O4" s="4269"/>
      <c r="P4" s="4270"/>
      <c r="Q4" s="4217" t="s">
        <v>1246</v>
      </c>
      <c r="R4" s="4218"/>
      <c r="S4" s="4217" t="s">
        <v>1245</v>
      </c>
      <c r="T4" s="4221"/>
      <c r="U4" s="4226" t="s">
        <v>1759</v>
      </c>
      <c r="V4" s="4227"/>
      <c r="W4" s="4249" t="s">
        <v>1867</v>
      </c>
      <c r="X4" s="4251" t="s">
        <v>1717</v>
      </c>
      <c r="Y4" s="4252"/>
      <c r="Z4" s="4190" t="s">
        <v>718</v>
      </c>
      <c r="AA4" s="4191"/>
      <c r="AB4" s="4177" t="s">
        <v>1868</v>
      </c>
      <c r="AC4" s="4178"/>
      <c r="AD4" s="4176" t="s">
        <v>1107</v>
      </c>
      <c r="AE4" s="4177" t="s">
        <v>1801</v>
      </c>
      <c r="AF4" s="4178"/>
      <c r="AG4" s="4179" t="s">
        <v>1802</v>
      </c>
      <c r="AH4" s="4181" t="s">
        <v>1718</v>
      </c>
      <c r="AI4" s="4182"/>
      <c r="AJ4" s="4182"/>
      <c r="AK4" s="4183"/>
      <c r="AL4" s="4311" t="s">
        <v>1766</v>
      </c>
      <c r="AM4" s="4312"/>
      <c r="AN4" s="4177" t="s">
        <v>1219</v>
      </c>
      <c r="AO4" s="4178"/>
      <c r="AP4" s="4238" t="s">
        <v>1312</v>
      </c>
      <c r="AQ4" s="4239"/>
      <c r="AR4" s="4240"/>
      <c r="AS4" s="3840" t="s">
        <v>1767</v>
      </c>
      <c r="AT4" s="3840"/>
      <c r="AU4" s="3840"/>
      <c r="AV4" s="3840"/>
      <c r="AW4" s="3840"/>
      <c r="AX4" s="3840"/>
      <c r="AY4" s="3840"/>
      <c r="AZ4" s="3840"/>
      <c r="BA4" s="3840"/>
      <c r="BB4" s="1725"/>
    </row>
    <row r="5" spans="1:62" s="35" customFormat="1" ht="24" customHeight="1">
      <c r="A5" s="4207"/>
      <c r="B5" s="4208"/>
      <c r="C5" s="4213"/>
      <c r="D5" s="4214"/>
      <c r="E5" s="4213"/>
      <c r="F5" s="4214"/>
      <c r="G5" s="4213"/>
      <c r="H5" s="4214"/>
      <c r="I5" s="4213"/>
      <c r="J5" s="4214"/>
      <c r="K5" s="4216"/>
      <c r="L5" s="4271"/>
      <c r="M5" s="4272"/>
      <c r="N5" s="4272"/>
      <c r="O5" s="4272"/>
      <c r="P5" s="4273"/>
      <c r="Q5" s="4219"/>
      <c r="R5" s="4220"/>
      <c r="S5" s="4219"/>
      <c r="T5" s="4222"/>
      <c r="U5" s="4228"/>
      <c r="V5" s="4229"/>
      <c r="W5" s="4250"/>
      <c r="X5" s="4253"/>
      <c r="Y5" s="4254"/>
      <c r="Z5" s="4192"/>
      <c r="AA5" s="4193"/>
      <c r="AB5" s="4091"/>
      <c r="AC5" s="4092"/>
      <c r="AD5" s="4176"/>
      <c r="AE5" s="4091"/>
      <c r="AF5" s="4092"/>
      <c r="AG5" s="4180"/>
      <c r="AH5" s="4184"/>
      <c r="AI5" s="4185"/>
      <c r="AJ5" s="4185"/>
      <c r="AK5" s="4186"/>
      <c r="AL5" s="4047"/>
      <c r="AM5" s="4048"/>
      <c r="AN5" s="4091"/>
      <c r="AO5" s="4092"/>
      <c r="AP5" s="3709"/>
      <c r="AQ5" s="3710"/>
      <c r="AR5" s="3711"/>
      <c r="AS5" s="3843"/>
      <c r="AT5" s="3843"/>
      <c r="AU5" s="3843"/>
      <c r="AV5" s="3843"/>
      <c r="AW5" s="3843"/>
      <c r="AX5" s="3843"/>
      <c r="AY5" s="3843"/>
      <c r="AZ5" s="3843"/>
      <c r="BA5" s="3843"/>
      <c r="BB5" s="1726"/>
    </row>
    <row r="6" spans="1:62" s="35" customFormat="1" ht="8.25" customHeight="1">
      <c r="A6" s="4207"/>
      <c r="B6" s="4208"/>
      <c r="C6" s="4213"/>
      <c r="D6" s="4214"/>
      <c r="E6" s="4213"/>
      <c r="F6" s="4214"/>
      <c r="G6" s="4213"/>
      <c r="H6" s="4214"/>
      <c r="I6" s="4213"/>
      <c r="J6" s="4214"/>
      <c r="K6" s="4216"/>
      <c r="L6" s="1788"/>
      <c r="M6" s="1727"/>
      <c r="N6" s="1727"/>
      <c r="O6" s="1727"/>
      <c r="P6" s="2065"/>
      <c r="Q6" s="4219"/>
      <c r="R6" s="4220"/>
      <c r="S6" s="4219"/>
      <c r="T6" s="4222"/>
      <c r="U6" s="4228"/>
      <c r="V6" s="4229"/>
      <c r="W6" s="4250"/>
      <c r="X6" s="4253"/>
      <c r="Y6" s="4254"/>
      <c r="Z6" s="4192"/>
      <c r="AA6" s="4193"/>
      <c r="AB6" s="4091"/>
      <c r="AC6" s="4092"/>
      <c r="AD6" s="4176"/>
      <c r="AE6" s="4091"/>
      <c r="AF6" s="4092"/>
      <c r="AG6" s="4180"/>
      <c r="AH6" s="4184"/>
      <c r="AI6" s="4185"/>
      <c r="AJ6" s="4185"/>
      <c r="AK6" s="4186"/>
      <c r="AL6" s="4047"/>
      <c r="AM6" s="4048"/>
      <c r="AN6" s="4091"/>
      <c r="AO6" s="4092"/>
      <c r="AP6" s="3709"/>
      <c r="AQ6" s="3710"/>
      <c r="AR6" s="3711"/>
      <c r="AS6" s="3843"/>
      <c r="AT6" s="3843"/>
      <c r="AU6" s="3843"/>
      <c r="AV6" s="3843"/>
      <c r="AW6" s="3843"/>
      <c r="AX6" s="3843"/>
      <c r="AY6" s="3843"/>
      <c r="AZ6" s="3843"/>
      <c r="BA6" s="3843"/>
      <c r="BB6" s="1726"/>
    </row>
    <row r="7" spans="1:62" s="35" customFormat="1" ht="12.2" customHeight="1">
      <c r="A7" s="4207"/>
      <c r="B7" s="4208"/>
      <c r="C7" s="4213"/>
      <c r="D7" s="4214"/>
      <c r="E7" s="4213"/>
      <c r="F7" s="4214"/>
      <c r="G7" s="4213"/>
      <c r="H7" s="4214"/>
      <c r="I7" s="4213"/>
      <c r="J7" s="4214"/>
      <c r="K7" s="4216"/>
      <c r="L7" s="1786" t="s">
        <v>925</v>
      </c>
      <c r="M7" s="1943">
        <v>1</v>
      </c>
      <c r="N7" s="1786" t="s">
        <v>1311</v>
      </c>
      <c r="O7" s="1943"/>
      <c r="P7" s="2066">
        <v>11</v>
      </c>
      <c r="Q7" s="4219"/>
      <c r="R7" s="4220"/>
      <c r="S7" s="4223"/>
      <c r="T7" s="4222"/>
      <c r="U7" s="4228"/>
      <c r="V7" s="4229"/>
      <c r="W7" s="4250"/>
      <c r="X7" s="4253"/>
      <c r="Y7" s="4254"/>
      <c r="Z7" s="4192"/>
      <c r="AA7" s="4193"/>
      <c r="AB7" s="4091"/>
      <c r="AC7" s="4092"/>
      <c r="AD7" s="4176"/>
      <c r="AE7" s="4091"/>
      <c r="AF7" s="4092"/>
      <c r="AG7" s="4180"/>
      <c r="AH7" s="4184"/>
      <c r="AI7" s="4185"/>
      <c r="AJ7" s="4185"/>
      <c r="AK7" s="4186"/>
      <c r="AL7" s="4047"/>
      <c r="AM7" s="4048"/>
      <c r="AN7" s="4091"/>
      <c r="AO7" s="4092"/>
      <c r="AP7" s="3709"/>
      <c r="AQ7" s="3710"/>
      <c r="AR7" s="3711"/>
      <c r="AS7" s="3843"/>
      <c r="AT7" s="3843"/>
      <c r="AU7" s="3843"/>
      <c r="AV7" s="3843"/>
      <c r="AW7" s="3843"/>
      <c r="AX7" s="3843"/>
      <c r="AY7" s="3843"/>
      <c r="AZ7" s="3843"/>
      <c r="BA7" s="3843"/>
      <c r="BB7" s="1726"/>
    </row>
    <row r="8" spans="1:62" s="35" customFormat="1" ht="12.2" customHeight="1">
      <c r="A8" s="4207"/>
      <c r="B8" s="4208"/>
      <c r="C8" s="4213"/>
      <c r="D8" s="4214"/>
      <c r="E8" s="4213"/>
      <c r="F8" s="4214"/>
      <c r="G8" s="4213"/>
      <c r="H8" s="4214"/>
      <c r="I8" s="4213"/>
      <c r="J8" s="4214"/>
      <c r="K8" s="4216"/>
      <c r="L8" s="1786" t="s">
        <v>1090</v>
      </c>
      <c r="M8" s="1943">
        <v>2</v>
      </c>
      <c r="N8" s="4278" t="s">
        <v>1097</v>
      </c>
      <c r="O8" s="4279"/>
      <c r="P8" s="4282">
        <v>12</v>
      </c>
      <c r="Q8" s="1728"/>
      <c r="R8" s="1729"/>
      <c r="S8" s="4223"/>
      <c r="T8" s="4222"/>
      <c r="U8" s="4228"/>
      <c r="V8" s="4229"/>
      <c r="W8" s="4250"/>
      <c r="X8" s="4253"/>
      <c r="Y8" s="4254"/>
      <c r="Z8" s="4192"/>
      <c r="AA8" s="4193"/>
      <c r="AB8" s="4091"/>
      <c r="AC8" s="4092"/>
      <c r="AD8" s="4176"/>
      <c r="AE8" s="4091"/>
      <c r="AF8" s="4092"/>
      <c r="AG8" s="4180"/>
      <c r="AH8" s="4184"/>
      <c r="AI8" s="4185"/>
      <c r="AJ8" s="4185"/>
      <c r="AK8" s="4186"/>
      <c r="AL8" s="4047"/>
      <c r="AM8" s="4048"/>
      <c r="AN8" s="4091"/>
      <c r="AO8" s="4092"/>
      <c r="AP8" s="3709"/>
      <c r="AQ8" s="3710"/>
      <c r="AR8" s="3711"/>
      <c r="AS8" s="3843"/>
      <c r="AT8" s="3843"/>
      <c r="AU8" s="3843"/>
      <c r="AV8" s="3843"/>
      <c r="AW8" s="3843"/>
      <c r="AX8" s="3843"/>
      <c r="AY8" s="3843"/>
      <c r="AZ8" s="3843"/>
      <c r="BA8" s="3843"/>
      <c r="BB8" s="1503"/>
    </row>
    <row r="9" spans="1:62" s="35" customFormat="1" ht="12.2" customHeight="1">
      <c r="A9" s="4207"/>
      <c r="B9" s="4208"/>
      <c r="C9" s="4213"/>
      <c r="D9" s="4214"/>
      <c r="E9" s="4213"/>
      <c r="F9" s="4214"/>
      <c r="G9" s="4213"/>
      <c r="H9" s="4214"/>
      <c r="I9" s="4260" t="s">
        <v>1866</v>
      </c>
      <c r="J9" s="4261"/>
      <c r="K9" s="4216"/>
      <c r="L9" s="1786" t="s">
        <v>1091</v>
      </c>
      <c r="M9" s="1937">
        <v>3</v>
      </c>
      <c r="N9" s="4280"/>
      <c r="O9" s="4281"/>
      <c r="P9" s="4283"/>
      <c r="Q9" s="1509" t="s">
        <v>925</v>
      </c>
      <c r="R9" s="1510">
        <v>1</v>
      </c>
      <c r="S9" s="4223"/>
      <c r="T9" s="4222"/>
      <c r="U9" s="4228"/>
      <c r="V9" s="4229"/>
      <c r="W9" s="4250"/>
      <c r="X9" s="4253"/>
      <c r="Y9" s="4254"/>
      <c r="Z9" s="4192"/>
      <c r="AA9" s="4193"/>
      <c r="AB9" s="4091"/>
      <c r="AC9" s="4092"/>
      <c r="AD9" s="4176"/>
      <c r="AE9" s="4091"/>
      <c r="AF9" s="4092"/>
      <c r="AG9" s="4180"/>
      <c r="AH9" s="4184"/>
      <c r="AI9" s="4185"/>
      <c r="AJ9" s="4185"/>
      <c r="AK9" s="4186"/>
      <c r="AL9" s="4047"/>
      <c r="AM9" s="4048"/>
      <c r="AN9" s="4091"/>
      <c r="AO9" s="4092"/>
      <c r="AP9" s="4091" t="s">
        <v>68</v>
      </c>
      <c r="AQ9" s="3884"/>
      <c r="AR9" s="4092"/>
      <c r="AS9" s="3843"/>
      <c r="AT9" s="3843"/>
      <c r="AU9" s="3843"/>
      <c r="AV9" s="3843"/>
      <c r="AW9" s="3843"/>
      <c r="AX9" s="3843"/>
      <c r="AY9" s="3843"/>
      <c r="AZ9" s="3843"/>
      <c r="BA9" s="3843"/>
      <c r="BB9" s="1503"/>
    </row>
    <row r="10" spans="1:62" s="35" customFormat="1" ht="12.2" customHeight="1">
      <c r="A10" s="4207"/>
      <c r="B10" s="4208"/>
      <c r="C10" s="4213"/>
      <c r="D10" s="4214"/>
      <c r="E10" s="4213"/>
      <c r="F10" s="4214"/>
      <c r="G10" s="4213"/>
      <c r="H10" s="4214"/>
      <c r="I10" s="4260"/>
      <c r="J10" s="4261"/>
      <c r="K10" s="4216"/>
      <c r="L10" s="1936" t="s">
        <v>1092</v>
      </c>
      <c r="M10" s="1937">
        <v>4</v>
      </c>
      <c r="N10" s="4241" t="s">
        <v>1098</v>
      </c>
      <c r="O10" s="4242" t="s">
        <v>928</v>
      </c>
      <c r="P10" s="4243">
        <v>13</v>
      </c>
      <c r="Q10" s="1509" t="s">
        <v>1090</v>
      </c>
      <c r="R10" s="1510">
        <v>2</v>
      </c>
      <c r="S10" s="4224"/>
      <c r="T10" s="4225"/>
      <c r="U10" s="4230"/>
      <c r="V10" s="4231"/>
      <c r="W10" s="4250"/>
      <c r="X10" s="4253"/>
      <c r="Y10" s="4254"/>
      <c r="Z10" s="4192"/>
      <c r="AA10" s="4193"/>
      <c r="AB10" s="4091"/>
      <c r="AC10" s="4092"/>
      <c r="AD10" s="4176"/>
      <c r="AE10" s="4091"/>
      <c r="AF10" s="4092"/>
      <c r="AG10" s="4180"/>
      <c r="AH10" s="4184"/>
      <c r="AI10" s="4185"/>
      <c r="AJ10" s="4185"/>
      <c r="AK10" s="4186"/>
      <c r="AL10" s="4047"/>
      <c r="AM10" s="4048"/>
      <c r="AN10" s="4091"/>
      <c r="AO10" s="4092"/>
      <c r="AP10" s="4091"/>
      <c r="AQ10" s="3884"/>
      <c r="AR10" s="4092"/>
      <c r="AS10" s="1728"/>
      <c r="AT10" s="1728"/>
      <c r="AU10" s="1728"/>
      <c r="AV10" s="1728"/>
      <c r="AW10" s="1728"/>
      <c r="AX10" s="1728"/>
      <c r="AY10" s="1728"/>
      <c r="AZ10" s="1728"/>
      <c r="BA10" s="1728"/>
      <c r="BB10" s="1503"/>
    </row>
    <row r="11" spans="1:62" s="35" customFormat="1" ht="12.2" customHeight="1">
      <c r="A11" s="4207"/>
      <c r="B11" s="4208"/>
      <c r="C11" s="4213"/>
      <c r="D11" s="4214"/>
      <c r="E11" s="4213"/>
      <c r="F11" s="4214"/>
      <c r="G11" s="4213"/>
      <c r="H11" s="4214"/>
      <c r="I11" s="4260"/>
      <c r="J11" s="4261"/>
      <c r="K11" s="4216"/>
      <c r="L11" s="1786" t="s">
        <v>1093</v>
      </c>
      <c r="M11" s="1943">
        <v>5</v>
      </c>
      <c r="N11" s="4241" t="s">
        <v>928</v>
      </c>
      <c r="O11" s="4242" t="s">
        <v>928</v>
      </c>
      <c r="P11" s="4243"/>
      <c r="Q11" s="1509" t="s">
        <v>1091</v>
      </c>
      <c r="R11" s="1511">
        <v>3</v>
      </c>
      <c r="S11" s="4224"/>
      <c r="T11" s="4225"/>
      <c r="U11" s="4274" t="s">
        <v>1866</v>
      </c>
      <c r="V11" s="4275"/>
      <c r="W11" s="4250"/>
      <c r="X11" s="4253"/>
      <c r="Y11" s="4254"/>
      <c r="Z11" s="4194"/>
      <c r="AA11" s="4195"/>
      <c r="AB11" s="4091"/>
      <c r="AC11" s="4092"/>
      <c r="AD11" s="4176"/>
      <c r="AE11" s="4091"/>
      <c r="AF11" s="4092"/>
      <c r="AG11" s="4180"/>
      <c r="AH11" s="4184"/>
      <c r="AI11" s="4185"/>
      <c r="AJ11" s="4185"/>
      <c r="AK11" s="4186"/>
      <c r="AL11" s="4047"/>
      <c r="AM11" s="4048"/>
      <c r="AN11" s="4091"/>
      <c r="AO11" s="4092"/>
      <c r="AP11" s="4255"/>
      <c r="AQ11" s="4256"/>
      <c r="AR11" s="4257"/>
      <c r="AS11" s="1472"/>
      <c r="AT11" s="1472"/>
      <c r="AU11" s="1472"/>
      <c r="AV11" s="1472"/>
      <c r="AW11" s="1472"/>
      <c r="AX11" s="1472"/>
      <c r="AY11" s="1472"/>
      <c r="AZ11" s="1472"/>
      <c r="BA11" s="1472"/>
      <c r="BB11" s="1503"/>
    </row>
    <row r="12" spans="1:62" s="35" customFormat="1" ht="12.2" customHeight="1">
      <c r="A12" s="4207"/>
      <c r="B12" s="4208"/>
      <c r="C12" s="4213"/>
      <c r="D12" s="4214"/>
      <c r="E12" s="4213"/>
      <c r="F12" s="4214"/>
      <c r="G12" s="4213"/>
      <c r="H12" s="4214"/>
      <c r="I12" s="4236"/>
      <c r="J12" s="176"/>
      <c r="K12" s="4216"/>
      <c r="L12" s="1786" t="s">
        <v>1094</v>
      </c>
      <c r="M12" s="1943">
        <v>6</v>
      </c>
      <c r="N12" s="4241" t="s">
        <v>1099</v>
      </c>
      <c r="O12" s="4242" t="s">
        <v>929</v>
      </c>
      <c r="P12" s="4243">
        <v>14</v>
      </c>
      <c r="Q12" s="1539" t="s">
        <v>1092</v>
      </c>
      <c r="R12" s="1511">
        <v>4</v>
      </c>
      <c r="S12" s="1732"/>
      <c r="T12" s="1733"/>
      <c r="U12" s="4276"/>
      <c r="V12" s="4277"/>
      <c r="W12" s="4250"/>
      <c r="X12" s="1719" t="s">
        <v>932</v>
      </c>
      <c r="Y12" s="2074">
        <v>1</v>
      </c>
      <c r="Z12" s="1720" t="s">
        <v>937</v>
      </c>
      <c r="AA12" s="1721">
        <v>1</v>
      </c>
      <c r="AB12" s="4091"/>
      <c r="AC12" s="4092"/>
      <c r="AD12" s="4176"/>
      <c r="AE12" s="4091"/>
      <c r="AF12" s="4092"/>
      <c r="AG12" s="4180"/>
      <c r="AH12" s="4187"/>
      <c r="AI12" s="4188"/>
      <c r="AJ12" s="4188"/>
      <c r="AK12" s="4189"/>
      <c r="AL12" s="4047"/>
      <c r="AM12" s="4048"/>
      <c r="AN12" s="4091"/>
      <c r="AO12" s="4092"/>
      <c r="AP12" s="1730" t="s">
        <v>940</v>
      </c>
      <c r="AQ12" s="1731"/>
      <c r="AR12" s="1844">
        <v>1</v>
      </c>
      <c r="AS12" s="4235" t="s">
        <v>1112</v>
      </c>
      <c r="AT12" s="4235"/>
      <c r="AU12" s="4235"/>
      <c r="AV12" s="4235"/>
      <c r="AW12" s="4235"/>
      <c r="AX12" s="4235"/>
      <c r="AY12" s="4235"/>
      <c r="AZ12" s="4235"/>
      <c r="BA12" s="4235"/>
      <c r="BB12" s="1503"/>
    </row>
    <row r="13" spans="1:62" s="35" customFormat="1" ht="12.2" customHeight="1">
      <c r="A13" s="4207"/>
      <c r="B13" s="4208"/>
      <c r="C13" s="4213"/>
      <c r="D13" s="4214"/>
      <c r="E13" s="4213"/>
      <c r="F13" s="4214"/>
      <c r="G13" s="4213"/>
      <c r="H13" s="4214"/>
      <c r="I13" s="4236"/>
      <c r="J13" s="176"/>
      <c r="K13" s="174"/>
      <c r="L13" s="4287" t="s">
        <v>1095</v>
      </c>
      <c r="M13" s="4160">
        <v>7</v>
      </c>
      <c r="N13" s="4241" t="s">
        <v>929</v>
      </c>
      <c r="O13" s="4242" t="s">
        <v>929</v>
      </c>
      <c r="P13" s="4243"/>
      <c r="Q13" s="1509" t="s">
        <v>1093</v>
      </c>
      <c r="R13" s="1510">
        <v>5</v>
      </c>
      <c r="S13" s="1732"/>
      <c r="T13" s="1733"/>
      <c r="U13" s="4276"/>
      <c r="V13" s="4277"/>
      <c r="W13" s="4250"/>
      <c r="X13" s="1722" t="s">
        <v>933</v>
      </c>
      <c r="Y13" s="2075">
        <v>2</v>
      </c>
      <c r="Z13" s="1720" t="s">
        <v>32</v>
      </c>
      <c r="AA13" s="1721">
        <v>2</v>
      </c>
      <c r="AB13" s="2566"/>
      <c r="AC13" s="2568"/>
      <c r="AD13" s="4176"/>
      <c r="AE13" s="4091"/>
      <c r="AF13" s="4092"/>
      <c r="AG13" s="4180"/>
      <c r="AH13" s="4187"/>
      <c r="AI13" s="4188"/>
      <c r="AJ13" s="4188"/>
      <c r="AK13" s="4189"/>
      <c r="AL13" s="4047"/>
      <c r="AM13" s="4048"/>
      <c r="AN13" s="4091"/>
      <c r="AO13" s="4092"/>
      <c r="AP13" s="1792" t="s">
        <v>1104</v>
      </c>
      <c r="AQ13" s="1793"/>
      <c r="AR13" s="1917">
        <v>2</v>
      </c>
      <c r="AS13" s="4235"/>
      <c r="AT13" s="4235"/>
      <c r="AU13" s="4235"/>
      <c r="AV13" s="4235"/>
      <c r="AW13" s="4235"/>
      <c r="AX13" s="4235"/>
      <c r="AY13" s="4235"/>
      <c r="AZ13" s="4235"/>
      <c r="BA13" s="4235"/>
      <c r="BB13" s="1503"/>
    </row>
    <row r="14" spans="1:62" s="35" customFormat="1" ht="12.2" customHeight="1">
      <c r="A14" s="4207"/>
      <c r="B14" s="4208"/>
      <c r="C14" s="4213"/>
      <c r="D14" s="4214"/>
      <c r="E14" s="4213"/>
      <c r="F14" s="4214"/>
      <c r="G14" s="4213"/>
      <c r="H14" s="4214"/>
      <c r="I14" s="4236"/>
      <c r="J14" s="176"/>
      <c r="K14" s="174"/>
      <c r="L14" s="4288" t="s">
        <v>926</v>
      </c>
      <c r="M14" s="4161"/>
      <c r="N14" s="4241" t="s">
        <v>1100</v>
      </c>
      <c r="O14" s="4242" t="s">
        <v>930</v>
      </c>
      <c r="P14" s="4243">
        <v>15</v>
      </c>
      <c r="Q14" s="1509" t="s">
        <v>1094</v>
      </c>
      <c r="R14" s="1510">
        <v>6</v>
      </c>
      <c r="S14" s="1732"/>
      <c r="T14" s="1733"/>
      <c r="U14" s="4276"/>
      <c r="V14" s="4277"/>
      <c r="W14" s="4250"/>
      <c r="X14" s="1723" t="s">
        <v>934</v>
      </c>
      <c r="Y14" s="2076"/>
      <c r="Z14" s="1720" t="s">
        <v>938</v>
      </c>
      <c r="AA14" s="1721">
        <v>3</v>
      </c>
      <c r="AB14" s="4058" t="s">
        <v>1764</v>
      </c>
      <c r="AC14" s="4060"/>
      <c r="AD14" s="4176"/>
      <c r="AE14" s="4091"/>
      <c r="AF14" s="4092"/>
      <c r="AG14" s="4180"/>
      <c r="AH14" s="1490"/>
      <c r="AI14" s="1472"/>
      <c r="AJ14" s="1472"/>
      <c r="AK14" s="1491"/>
      <c r="AL14" s="4047"/>
      <c r="AM14" s="4048"/>
      <c r="AN14" s="4091"/>
      <c r="AO14" s="4092"/>
      <c r="AP14" s="1734" t="s">
        <v>1105</v>
      </c>
      <c r="AQ14" s="1735"/>
      <c r="AR14" s="1844">
        <v>3</v>
      </c>
      <c r="AS14" s="4235"/>
      <c r="AT14" s="4235"/>
      <c r="AU14" s="4235"/>
      <c r="AV14" s="4235"/>
      <c r="AW14" s="4235"/>
      <c r="AX14" s="4235"/>
      <c r="AY14" s="4235"/>
      <c r="AZ14" s="4235"/>
      <c r="BA14" s="4235"/>
      <c r="BB14" s="1503"/>
    </row>
    <row r="15" spans="1:62" s="35" customFormat="1" ht="12.2" customHeight="1">
      <c r="A15" s="4207"/>
      <c r="B15" s="4208"/>
      <c r="C15" s="60"/>
      <c r="D15" s="61"/>
      <c r="E15" s="60"/>
      <c r="F15" s="61"/>
      <c r="G15" s="37"/>
      <c r="H15" s="36"/>
      <c r="I15" s="4236"/>
      <c r="J15" s="176"/>
      <c r="K15" s="4237" t="s">
        <v>115</v>
      </c>
      <c r="L15" s="2875" t="s">
        <v>1628</v>
      </c>
      <c r="M15" s="1943">
        <v>8</v>
      </c>
      <c r="N15" s="4241" t="s">
        <v>930</v>
      </c>
      <c r="O15" s="4242" t="s">
        <v>930</v>
      </c>
      <c r="P15" s="4243"/>
      <c r="Q15" s="4285" t="s">
        <v>1102</v>
      </c>
      <c r="R15" s="4286">
        <v>7</v>
      </c>
      <c r="S15" s="1736" t="s">
        <v>862</v>
      </c>
      <c r="T15" s="1737">
        <v>1</v>
      </c>
      <c r="U15" s="4284"/>
      <c r="V15" s="1738"/>
      <c r="W15" s="4250"/>
      <c r="X15" s="1722" t="s">
        <v>933</v>
      </c>
      <c r="Y15" s="2077"/>
      <c r="Z15" s="1720" t="s">
        <v>1022</v>
      </c>
      <c r="AA15" s="1721">
        <v>4</v>
      </c>
      <c r="AB15" s="4058"/>
      <c r="AC15" s="4060"/>
      <c r="AD15" s="4176"/>
      <c r="AE15" s="4091"/>
      <c r="AF15" s="4092"/>
      <c r="AG15" s="4180"/>
      <c r="AH15" s="1739" t="s">
        <v>1119</v>
      </c>
      <c r="AI15" s="1740"/>
      <c r="AJ15" s="1740"/>
      <c r="AK15" s="1741">
        <v>1</v>
      </c>
      <c r="AL15" s="4047"/>
      <c r="AM15" s="4048"/>
      <c r="AN15" s="4091"/>
      <c r="AO15" s="4092"/>
      <c r="AP15" s="4244" t="s">
        <v>941</v>
      </c>
      <c r="AQ15" s="4245"/>
      <c r="AR15" s="2451">
        <v>4</v>
      </c>
      <c r="AS15" s="1472"/>
      <c r="AT15" s="1472"/>
      <c r="AU15" s="1472"/>
      <c r="AV15" s="1472"/>
      <c r="AW15" s="1472"/>
      <c r="AX15" s="1472"/>
      <c r="AY15" s="1472"/>
      <c r="AZ15" s="1472"/>
      <c r="BA15" s="1472"/>
      <c r="BB15" s="1503"/>
    </row>
    <row r="16" spans="1:62" s="35" customFormat="1" ht="12.2" customHeight="1">
      <c r="A16" s="4207"/>
      <c r="B16" s="4208"/>
      <c r="C16" s="996"/>
      <c r="D16" s="997"/>
      <c r="E16" s="996"/>
      <c r="F16" s="997"/>
      <c r="G16" s="497"/>
      <c r="H16" s="36"/>
      <c r="I16" s="497"/>
      <c r="J16" s="176"/>
      <c r="K16" s="4237"/>
      <c r="L16" s="1787" t="s">
        <v>927</v>
      </c>
      <c r="M16" s="1512">
        <v>9</v>
      </c>
      <c r="N16" s="4241" t="s">
        <v>930</v>
      </c>
      <c r="O16" s="4242" t="s">
        <v>930</v>
      </c>
      <c r="P16" s="4243"/>
      <c r="Q16" s="4285" t="s">
        <v>931</v>
      </c>
      <c r="R16" s="4286"/>
      <c r="S16" s="1742" t="s">
        <v>863</v>
      </c>
      <c r="T16" s="1737">
        <v>2</v>
      </c>
      <c r="U16" s="4284"/>
      <c r="V16" s="1738"/>
      <c r="W16" s="4250"/>
      <c r="X16" s="1724" t="s">
        <v>935</v>
      </c>
      <c r="Y16" s="2076">
        <v>3</v>
      </c>
      <c r="Z16" s="1720" t="s">
        <v>1910</v>
      </c>
      <c r="AA16" s="1721">
        <v>5</v>
      </c>
      <c r="AB16" s="4058"/>
      <c r="AC16" s="4060"/>
      <c r="AD16" s="4176"/>
      <c r="AE16" s="4091"/>
      <c r="AF16" s="4092"/>
      <c r="AG16" s="4180"/>
      <c r="AH16" s="1739" t="s">
        <v>1108</v>
      </c>
      <c r="AI16" s="1740"/>
      <c r="AJ16" s="1740"/>
      <c r="AK16" s="1741">
        <v>2</v>
      </c>
      <c r="AL16" s="4047"/>
      <c r="AM16" s="4048"/>
      <c r="AN16" s="4091"/>
      <c r="AO16" s="4092"/>
      <c r="AP16" s="1730" t="s">
        <v>1113</v>
      </c>
      <c r="AQ16" s="1743"/>
      <c r="AR16" s="2451">
        <v>5</v>
      </c>
      <c r="AS16" s="1472"/>
      <c r="AT16" s="1472"/>
      <c r="AU16" s="1472"/>
      <c r="AV16" s="1472"/>
      <c r="AW16" s="1472"/>
      <c r="AX16" s="1472"/>
      <c r="AY16" s="1472"/>
      <c r="AZ16" s="1472"/>
      <c r="BA16" s="1472"/>
      <c r="BB16" s="1503"/>
    </row>
    <row r="17" spans="1:62" s="35" customFormat="1" ht="15" customHeight="1">
      <c r="A17" s="4207"/>
      <c r="B17" s="4208"/>
      <c r="C17" s="1808" t="s">
        <v>862</v>
      </c>
      <c r="D17" s="1809">
        <v>1</v>
      </c>
      <c r="E17" s="1808" t="s">
        <v>862</v>
      </c>
      <c r="F17" s="1811">
        <v>1</v>
      </c>
      <c r="G17" s="4284"/>
      <c r="H17" s="4333"/>
      <c r="I17" s="497"/>
      <c r="J17" s="176"/>
      <c r="K17" s="4237"/>
      <c r="L17" s="4289" t="s">
        <v>1096</v>
      </c>
      <c r="M17" s="4160">
        <v>10</v>
      </c>
      <c r="N17" s="1786" t="s">
        <v>1101</v>
      </c>
      <c r="O17" s="1789"/>
      <c r="P17" s="1997">
        <v>16</v>
      </c>
      <c r="Q17" s="1744" t="s">
        <v>1103</v>
      </c>
      <c r="R17" s="1745">
        <v>8</v>
      </c>
      <c r="S17" s="1732"/>
      <c r="T17" s="1733"/>
      <c r="U17" s="4284"/>
      <c r="V17" s="1738"/>
      <c r="W17" s="4250"/>
      <c r="X17" s="2080" t="s">
        <v>936</v>
      </c>
      <c r="Y17" s="4199">
        <v>4</v>
      </c>
      <c r="Z17" s="3537" t="s">
        <v>49</v>
      </c>
      <c r="AA17" s="3318">
        <v>6</v>
      </c>
      <c r="AB17" s="4058"/>
      <c r="AC17" s="4060"/>
      <c r="AD17" s="4198"/>
      <c r="AE17" s="4091"/>
      <c r="AF17" s="4092"/>
      <c r="AG17" s="4180"/>
      <c r="AH17" s="1739" t="s">
        <v>939</v>
      </c>
      <c r="AI17" s="1740"/>
      <c r="AJ17" s="1740"/>
      <c r="AK17" s="1741">
        <v>3</v>
      </c>
      <c r="AL17" s="4047"/>
      <c r="AM17" s="4048"/>
      <c r="AN17" s="4091"/>
      <c r="AO17" s="4092"/>
      <c r="AP17" s="1730" t="s">
        <v>1114</v>
      </c>
      <c r="AQ17" s="1746"/>
      <c r="AR17" s="2452">
        <v>6</v>
      </c>
      <c r="AS17" s="1472"/>
      <c r="AT17" s="1472"/>
      <c r="AU17" s="1472"/>
      <c r="AV17" s="1472"/>
      <c r="AW17" s="1472"/>
      <c r="AX17" s="1472"/>
      <c r="AY17" s="1472"/>
      <c r="AZ17" s="1472"/>
      <c r="BA17" s="1472"/>
      <c r="BB17" s="1503"/>
    </row>
    <row r="18" spans="1:62" s="35" customFormat="1" ht="12.2" customHeight="1">
      <c r="A18" s="4207"/>
      <c r="B18" s="4208"/>
      <c r="C18" s="1810" t="s">
        <v>863</v>
      </c>
      <c r="D18" s="1809">
        <v>2</v>
      </c>
      <c r="E18" s="1810" t="s">
        <v>863</v>
      </c>
      <c r="F18" s="1812" t="s">
        <v>1116</v>
      </c>
      <c r="G18" s="4284"/>
      <c r="H18" s="4333"/>
      <c r="I18" s="497"/>
      <c r="J18" s="176"/>
      <c r="K18" s="4237"/>
      <c r="L18" s="4288"/>
      <c r="M18" s="4161"/>
      <c r="N18" s="1786" t="s">
        <v>1237</v>
      </c>
      <c r="O18" s="1789"/>
      <c r="P18" s="1997">
        <v>17</v>
      </c>
      <c r="Q18" s="1509" t="s">
        <v>1101</v>
      </c>
      <c r="R18" s="1511">
        <v>9</v>
      </c>
      <c r="S18" s="4201" t="s">
        <v>1117</v>
      </c>
      <c r="T18" s="4202"/>
      <c r="U18" s="4284"/>
      <c r="V18" s="1738"/>
      <c r="W18" s="4250"/>
      <c r="X18" s="1814" t="s">
        <v>1118</v>
      </c>
      <c r="Y18" s="4200"/>
      <c r="Z18" s="4264" t="s">
        <v>1647</v>
      </c>
      <c r="AA18" s="4266">
        <v>7</v>
      </c>
      <c r="AB18" s="4059"/>
      <c r="AC18" s="4060"/>
      <c r="AD18" s="4198"/>
      <c r="AE18" s="4091"/>
      <c r="AF18" s="4092"/>
      <c r="AG18" s="4180"/>
      <c r="AH18" s="1747" t="s">
        <v>1109</v>
      </c>
      <c r="AI18" s="1748"/>
      <c r="AJ18" s="1748"/>
      <c r="AK18" s="1749">
        <v>4</v>
      </c>
      <c r="AL18" s="4047"/>
      <c r="AM18" s="4048"/>
      <c r="AN18" s="4091"/>
      <c r="AO18" s="4092"/>
      <c r="AP18" s="1750" t="s">
        <v>1110</v>
      </c>
      <c r="AQ18" s="1042"/>
      <c r="AR18" s="1844">
        <v>7</v>
      </c>
      <c r="AS18" s="1472"/>
      <c r="AT18" s="1472"/>
      <c r="AU18" s="1472"/>
      <c r="AV18" s="1472"/>
      <c r="AW18" s="1472"/>
      <c r="AX18" s="1472"/>
      <c r="AY18" s="1472"/>
      <c r="AZ18" s="1472"/>
      <c r="BA18" s="1472"/>
      <c r="BB18" s="1503"/>
    </row>
    <row r="19" spans="1:62" s="35" customFormat="1" ht="12.2" customHeight="1">
      <c r="A19" s="4207"/>
      <c r="B19" s="4208"/>
      <c r="C19" s="1802"/>
      <c r="D19" s="1803"/>
      <c r="E19" s="1802"/>
      <c r="F19" s="1803"/>
      <c r="G19" s="1808" t="s">
        <v>862</v>
      </c>
      <c r="H19" s="1809" t="s">
        <v>1115</v>
      </c>
      <c r="I19" s="665"/>
      <c r="J19" s="496"/>
      <c r="K19" s="174"/>
      <c r="L19" s="1751"/>
      <c r="M19" s="1752"/>
      <c r="N19" s="2060"/>
      <c r="O19" s="2061"/>
      <c r="P19" s="2062"/>
      <c r="Q19" s="1509" t="s">
        <v>1237</v>
      </c>
      <c r="R19" s="1754">
        <v>10</v>
      </c>
      <c r="S19" s="4201"/>
      <c r="T19" s="4202"/>
      <c r="U19" s="1755"/>
      <c r="V19" s="1756"/>
      <c r="W19" s="4250"/>
      <c r="X19" s="1771"/>
      <c r="Y19" s="2078"/>
      <c r="Z19" s="4265"/>
      <c r="AA19" s="4267"/>
      <c r="AB19" s="4059"/>
      <c r="AC19" s="4060"/>
      <c r="AD19" s="4198"/>
      <c r="AE19" s="1757"/>
      <c r="AF19" s="1757"/>
      <c r="AG19" s="4180"/>
      <c r="AH19" s="1758" t="s">
        <v>1106</v>
      </c>
      <c r="AI19" s="1759"/>
      <c r="AJ19" s="1759"/>
      <c r="AK19" s="1760">
        <v>5</v>
      </c>
      <c r="AL19" s="4047"/>
      <c r="AM19" s="4048"/>
      <c r="AN19" s="4091"/>
      <c r="AO19" s="4092"/>
      <c r="AP19" s="1730" t="s">
        <v>1111</v>
      </c>
      <c r="AQ19" s="1042"/>
      <c r="AR19" s="1844">
        <v>8</v>
      </c>
      <c r="AS19" s="1761">
        <v>1</v>
      </c>
      <c r="AT19" s="1762">
        <v>2</v>
      </c>
      <c r="AU19" s="1762">
        <v>3</v>
      </c>
      <c r="AV19" s="1762">
        <v>4</v>
      </c>
      <c r="AW19" s="1762">
        <v>5</v>
      </c>
      <c r="AX19" s="1762">
        <v>6</v>
      </c>
      <c r="AY19" s="1762">
        <v>7</v>
      </c>
      <c r="AZ19" s="1762">
        <v>8</v>
      </c>
      <c r="BA19" s="2567">
        <v>9</v>
      </c>
      <c r="BB19" s="2610">
        <v>10</v>
      </c>
    </row>
    <row r="20" spans="1:62" s="35" customFormat="1" ht="12.2" customHeight="1">
      <c r="A20" s="4207"/>
      <c r="B20" s="4208"/>
      <c r="C20" s="1804"/>
      <c r="D20" s="1805"/>
      <c r="E20" s="1804"/>
      <c r="F20" s="1805"/>
      <c r="G20" s="1810" t="s">
        <v>863</v>
      </c>
      <c r="H20" s="1811">
        <v>2</v>
      </c>
      <c r="I20" s="497"/>
      <c r="J20" s="176"/>
      <c r="K20" s="174"/>
      <c r="L20" s="1763"/>
      <c r="M20" s="1764"/>
      <c r="N20" s="4258"/>
      <c r="O20" s="4259"/>
      <c r="P20" s="2063"/>
      <c r="Q20" s="1753"/>
      <c r="R20" s="1765"/>
      <c r="S20" s="4201"/>
      <c r="T20" s="4202"/>
      <c r="U20" s="4284"/>
      <c r="V20" s="1738"/>
      <c r="W20" s="4250"/>
      <c r="X20" s="1771"/>
      <c r="Y20" s="2078"/>
      <c r="Z20" s="3322" t="s">
        <v>1760</v>
      </c>
      <c r="AA20" s="3323"/>
      <c r="AB20" s="4307" t="s">
        <v>1765</v>
      </c>
      <c r="AC20" s="4308"/>
      <c r="AD20" s="4198"/>
      <c r="AE20" s="1736" t="s">
        <v>862</v>
      </c>
      <c r="AF20" s="1767">
        <v>1</v>
      </c>
      <c r="AG20" s="4180"/>
      <c r="AH20" s="1758" t="s">
        <v>1247</v>
      </c>
      <c r="AI20" s="1768"/>
      <c r="AJ20" s="1768"/>
      <c r="AK20" s="1760">
        <v>6</v>
      </c>
      <c r="AL20" s="4047"/>
      <c r="AM20" s="4048"/>
      <c r="AN20" s="4091"/>
      <c r="AO20" s="4092"/>
      <c r="AP20" s="1730" t="s">
        <v>1091</v>
      </c>
      <c r="AQ20" s="1042"/>
      <c r="AR20" s="1844">
        <v>9</v>
      </c>
      <c r="AS20" s="4302" t="s">
        <v>61</v>
      </c>
      <c r="AT20" s="4304" t="s">
        <v>419</v>
      </c>
      <c r="AU20" s="4304" t="s">
        <v>1217</v>
      </c>
      <c r="AV20" s="4304" t="s">
        <v>328</v>
      </c>
      <c r="AW20" s="4304" t="s">
        <v>740</v>
      </c>
      <c r="AX20" s="4304" t="s">
        <v>346</v>
      </c>
      <c r="AY20" s="4304" t="s">
        <v>347</v>
      </c>
      <c r="AZ20" s="4304" t="s">
        <v>666</v>
      </c>
      <c r="BA20" s="4295" t="s">
        <v>1201</v>
      </c>
      <c r="BB20" s="4298" t="s">
        <v>18</v>
      </c>
    </row>
    <row r="21" spans="1:62" s="35" customFormat="1" ht="12.2" customHeight="1">
      <c r="A21" s="4207"/>
      <c r="B21" s="4208"/>
      <c r="C21" s="1732"/>
      <c r="D21" s="1733"/>
      <c r="E21" s="1732"/>
      <c r="F21" s="1733"/>
      <c r="G21" s="1806"/>
      <c r="H21" s="1807"/>
      <c r="I21" s="665"/>
      <c r="J21" s="496"/>
      <c r="K21" s="174"/>
      <c r="L21" s="4262" t="s">
        <v>1117</v>
      </c>
      <c r="M21" s="4263"/>
      <c r="N21" s="4263"/>
      <c r="O21" s="4263"/>
      <c r="P21" s="2063"/>
      <c r="Q21" s="1732"/>
      <c r="R21" s="1770"/>
      <c r="S21" s="1732"/>
      <c r="T21" s="1733"/>
      <c r="U21" s="4284"/>
      <c r="V21" s="1738"/>
      <c r="W21" s="4250"/>
      <c r="X21" s="1771"/>
      <c r="Y21" s="2078"/>
      <c r="Z21" s="3320"/>
      <c r="AA21" s="3321">
        <v>8</v>
      </c>
      <c r="AB21" s="4307"/>
      <c r="AC21" s="4308"/>
      <c r="AD21" s="4198"/>
      <c r="AE21" s="1816" t="s">
        <v>863</v>
      </c>
      <c r="AF21" s="1772">
        <v>2</v>
      </c>
      <c r="AG21" s="4301"/>
      <c r="AH21" s="1773"/>
      <c r="AI21" s="1483"/>
      <c r="AJ21" s="1483"/>
      <c r="AK21" s="1533"/>
      <c r="AL21" s="4047"/>
      <c r="AM21" s="4048"/>
      <c r="AN21" s="4091"/>
      <c r="AO21" s="4092"/>
      <c r="AP21" s="1730" t="s">
        <v>1101</v>
      </c>
      <c r="AQ21" s="1042"/>
      <c r="AR21" s="1844">
        <v>10</v>
      </c>
      <c r="AS21" s="4303"/>
      <c r="AT21" s="4305"/>
      <c r="AU21" s="4305"/>
      <c r="AV21" s="4305"/>
      <c r="AW21" s="4305"/>
      <c r="AX21" s="4305"/>
      <c r="AY21" s="4305" t="s">
        <v>59</v>
      </c>
      <c r="AZ21" s="4305"/>
      <c r="BA21" s="4296"/>
      <c r="BB21" s="4299"/>
    </row>
    <row r="22" spans="1:62" s="35" customFormat="1" ht="12.2" customHeight="1">
      <c r="A22" s="4207"/>
      <c r="B22" s="4208"/>
      <c r="C22" s="37"/>
      <c r="D22" s="36"/>
      <c r="E22" s="37"/>
      <c r="F22" s="36"/>
      <c r="G22" s="37"/>
      <c r="H22" s="36"/>
      <c r="I22" s="665"/>
      <c r="J22" s="496"/>
      <c r="K22" s="39"/>
      <c r="L22" s="4262"/>
      <c r="M22" s="4263"/>
      <c r="N22" s="4263"/>
      <c r="O22" s="4263"/>
      <c r="P22" s="2063"/>
      <c r="Q22" s="1732"/>
      <c r="R22" s="1770"/>
      <c r="S22" s="1732"/>
      <c r="T22" s="1733"/>
      <c r="U22" s="1755"/>
      <c r="V22" s="1756"/>
      <c r="W22" s="1774"/>
      <c r="X22" s="1771"/>
      <c r="Y22" s="2078"/>
      <c r="Z22" s="3538" t="s">
        <v>1761</v>
      </c>
      <c r="AA22" s="3319">
        <v>9</v>
      </c>
      <c r="AB22" s="4307"/>
      <c r="AC22" s="4308"/>
      <c r="AD22" s="1776"/>
      <c r="AE22" s="1817" t="s">
        <v>12</v>
      </c>
      <c r="AF22" s="2874" t="s">
        <v>1572</v>
      </c>
      <c r="AG22" s="4301"/>
      <c r="AH22" s="1777"/>
      <c r="AI22" s="1778"/>
      <c r="AJ22" s="1778"/>
      <c r="AK22" s="1779"/>
      <c r="AL22" s="4047"/>
      <c r="AM22" s="4048"/>
      <c r="AN22" s="4091"/>
      <c r="AO22" s="4092"/>
      <c r="AP22" s="1795" t="s">
        <v>1838</v>
      </c>
      <c r="AQ22" s="1796"/>
      <c r="AR22" s="1917">
        <v>11</v>
      </c>
      <c r="AS22" s="4303"/>
      <c r="AT22" s="4305"/>
      <c r="AU22" s="4305"/>
      <c r="AV22" s="4305"/>
      <c r="AW22" s="4305"/>
      <c r="AX22" s="4305"/>
      <c r="AY22" s="4305"/>
      <c r="AZ22" s="4305"/>
      <c r="BA22" s="4296"/>
      <c r="BB22" s="4299"/>
    </row>
    <row r="23" spans="1:62" s="35" customFormat="1" ht="12.2" customHeight="1">
      <c r="A23" s="4207"/>
      <c r="B23" s="4208"/>
      <c r="C23" s="497"/>
      <c r="D23" s="86"/>
      <c r="E23" s="497"/>
      <c r="F23" s="86"/>
      <c r="G23" s="497"/>
      <c r="H23" s="86"/>
      <c r="I23" s="177"/>
      <c r="J23" s="87"/>
      <c r="K23" s="4331" t="s">
        <v>21</v>
      </c>
      <c r="L23" s="1780"/>
      <c r="M23" s="1781"/>
      <c r="N23" s="1782"/>
      <c r="O23" s="1782"/>
      <c r="P23" s="2067"/>
      <c r="Q23" s="1732"/>
      <c r="R23" s="1769"/>
      <c r="S23" s="1732"/>
      <c r="T23" s="1733"/>
      <c r="U23" s="177"/>
      <c r="V23" s="1783"/>
      <c r="W23" s="1774"/>
      <c r="X23" s="1732"/>
      <c r="Y23" s="2079"/>
      <c r="Z23" s="4196" t="s">
        <v>1762</v>
      </c>
      <c r="AA23" s="4197"/>
      <c r="AB23" s="4309"/>
      <c r="AC23" s="4310"/>
      <c r="AD23" s="1776"/>
      <c r="AE23" s="1490"/>
      <c r="AF23" s="1492"/>
      <c r="AG23" s="4301"/>
      <c r="AH23" s="1777"/>
      <c r="AI23" s="1778"/>
      <c r="AJ23" s="1778"/>
      <c r="AK23" s="1779"/>
      <c r="AL23" s="4313"/>
      <c r="AM23" s="4314"/>
      <c r="AN23" s="4091"/>
      <c r="AO23" s="4092"/>
      <c r="AP23" s="1797" t="s">
        <v>1247</v>
      </c>
      <c r="AQ23" s="1798"/>
      <c r="AR23" s="2453">
        <v>12</v>
      </c>
      <c r="AS23" s="4303"/>
      <c r="AT23" s="4306"/>
      <c r="AU23" s="4305"/>
      <c r="AV23" s="1791"/>
      <c r="AW23" s="1791"/>
      <c r="AX23" s="1790"/>
      <c r="AY23" s="1790"/>
      <c r="AZ23" s="4305"/>
      <c r="BA23" s="4297"/>
      <c r="BB23" s="4300"/>
      <c r="BJ23" s="998"/>
    </row>
    <row r="24" spans="1:62" s="40" customFormat="1" ht="12.2" customHeight="1" thickBot="1">
      <c r="A24" s="4209"/>
      <c r="B24" s="4210"/>
      <c r="C24" s="4247"/>
      <c r="D24" s="4248"/>
      <c r="E24" s="4247"/>
      <c r="F24" s="4248"/>
      <c r="G24" s="4247"/>
      <c r="H24" s="4248"/>
      <c r="I24" s="4290" t="s">
        <v>27</v>
      </c>
      <c r="J24" s="4291"/>
      <c r="K24" s="4332"/>
      <c r="L24" s="4290" t="s">
        <v>52</v>
      </c>
      <c r="M24" s="4291"/>
      <c r="N24" s="4292" t="s">
        <v>58</v>
      </c>
      <c r="O24" s="4293"/>
      <c r="P24" s="4294"/>
      <c r="Q24" s="678"/>
      <c r="R24" s="1210"/>
      <c r="S24" s="679"/>
      <c r="T24" s="680"/>
      <c r="U24" s="4290" t="s">
        <v>27</v>
      </c>
      <c r="V24" s="4291"/>
      <c r="W24" s="681" t="s">
        <v>63</v>
      </c>
      <c r="X24" s="679"/>
      <c r="Y24" s="1996"/>
      <c r="Z24" s="4334" t="s">
        <v>1763</v>
      </c>
      <c r="AA24" s="4335"/>
      <c r="AB24" s="1202" t="s">
        <v>712</v>
      </c>
      <c r="AC24" s="1214" t="s">
        <v>42</v>
      </c>
      <c r="AD24" s="2450" t="s">
        <v>67</v>
      </c>
      <c r="AE24" s="999"/>
      <c r="AF24" s="357"/>
      <c r="AG24" s="951" t="s">
        <v>219</v>
      </c>
      <c r="AH24" s="4323"/>
      <c r="AI24" s="4324"/>
      <c r="AJ24" s="4324"/>
      <c r="AK24" s="4325"/>
      <c r="AL24" s="3813" t="s">
        <v>36</v>
      </c>
      <c r="AM24" s="3815"/>
      <c r="AN24" s="3814" t="s">
        <v>36</v>
      </c>
      <c r="AO24" s="3815"/>
      <c r="AP24" s="1799"/>
      <c r="AQ24" s="1800"/>
      <c r="AR24" s="1546"/>
      <c r="AS24" s="2571" t="s">
        <v>219</v>
      </c>
      <c r="AT24" s="2572" t="s">
        <v>219</v>
      </c>
      <c r="AU24" s="2572" t="s">
        <v>219</v>
      </c>
      <c r="AV24" s="2572" t="s">
        <v>219</v>
      </c>
      <c r="AW24" s="2572" t="s">
        <v>219</v>
      </c>
      <c r="AX24" s="2572" t="s">
        <v>219</v>
      </c>
      <c r="AY24" s="2572" t="s">
        <v>219</v>
      </c>
      <c r="AZ24" s="2572" t="s">
        <v>219</v>
      </c>
      <c r="BA24" s="2572" t="s">
        <v>219</v>
      </c>
      <c r="BB24" s="2611" t="s">
        <v>219</v>
      </c>
      <c r="BC24" s="2573"/>
      <c r="BJ24" s="1000"/>
    </row>
    <row r="25" spans="1:62" s="30" customFormat="1" ht="17.25" customHeight="1">
      <c r="A25" s="4326">
        <v>1</v>
      </c>
      <c r="B25" s="4327"/>
      <c r="C25" s="41"/>
      <c r="D25" s="42"/>
      <c r="E25" s="41"/>
      <c r="F25" s="42"/>
      <c r="G25" s="41"/>
      <c r="H25" s="42"/>
      <c r="I25" s="41"/>
      <c r="J25" s="51"/>
      <c r="K25" s="669"/>
      <c r="L25" s="670"/>
      <c r="M25" s="671"/>
      <c r="N25" s="670"/>
      <c r="O25" s="671"/>
      <c r="P25" s="2068"/>
      <c r="Q25" s="670"/>
      <c r="R25" s="1211"/>
      <c r="S25" s="670"/>
      <c r="T25" s="672"/>
      <c r="U25" s="41"/>
      <c r="V25" s="50"/>
      <c r="W25" s="673"/>
      <c r="X25" s="670"/>
      <c r="Y25" s="2068"/>
      <c r="Z25" s="670"/>
      <c r="AA25" s="672"/>
      <c r="AB25" s="1218"/>
      <c r="AC25" s="1219"/>
      <c r="AD25" s="674"/>
      <c r="AE25" s="1001"/>
      <c r="AF25" s="1002"/>
      <c r="AG25" s="1001"/>
      <c r="AH25" s="4328"/>
      <c r="AI25" s="4329"/>
      <c r="AJ25" s="4329"/>
      <c r="AK25" s="4330"/>
      <c r="AL25" s="948"/>
      <c r="AM25" s="949"/>
      <c r="AN25" s="950"/>
      <c r="AO25" s="949"/>
      <c r="AP25" s="1003"/>
      <c r="AQ25" s="1004"/>
      <c r="AR25" s="1005"/>
      <c r="AS25" s="1002"/>
      <c r="AT25" s="1006"/>
      <c r="AU25" s="1006"/>
      <c r="AV25" s="1006"/>
      <c r="AW25" s="1006"/>
      <c r="AX25" s="1006"/>
      <c r="AY25" s="1006"/>
      <c r="AZ25" s="1006"/>
      <c r="BA25" s="1001"/>
      <c r="BB25" s="2612"/>
      <c r="BJ25" s="1007"/>
    </row>
    <row r="26" spans="1:62" s="30" customFormat="1" ht="17.25" customHeight="1">
      <c r="A26" s="4315">
        <v>2</v>
      </c>
      <c r="B26" s="4316"/>
      <c r="C26" s="47"/>
      <c r="D26" s="48"/>
      <c r="E26" s="47"/>
      <c r="F26" s="48"/>
      <c r="G26" s="47"/>
      <c r="H26" s="48"/>
      <c r="I26" s="47"/>
      <c r="J26" s="50"/>
      <c r="K26" s="43"/>
      <c r="L26" s="44"/>
      <c r="M26" s="56"/>
      <c r="N26" s="44"/>
      <c r="O26" s="56"/>
      <c r="P26" s="2069"/>
      <c r="Q26" s="44" t="str">
        <f>PROPER(Q7)</f>
        <v/>
      </c>
      <c r="R26" s="1212"/>
      <c r="S26" s="44"/>
      <c r="T26" s="45"/>
      <c r="U26" s="47"/>
      <c r="V26" s="49"/>
      <c r="W26" s="43"/>
      <c r="X26" s="44"/>
      <c r="Y26" s="2069"/>
      <c r="Z26" s="670"/>
      <c r="AA26" s="672"/>
      <c r="AB26" s="1203"/>
      <c r="AC26" s="1217"/>
      <c r="AD26" s="46"/>
      <c r="AE26" s="486"/>
      <c r="AF26" s="488"/>
      <c r="AG26" s="486"/>
      <c r="AH26" s="4036"/>
      <c r="AI26" s="4037"/>
      <c r="AJ26" s="4037"/>
      <c r="AK26" s="4038"/>
      <c r="AL26" s="4039"/>
      <c r="AM26" s="4041"/>
      <c r="AN26" s="4039"/>
      <c r="AO26" s="4041"/>
      <c r="AP26" s="4039"/>
      <c r="AQ26" s="4040"/>
      <c r="AR26" s="1547"/>
      <c r="AS26" s="488"/>
      <c r="AT26" s="1008"/>
      <c r="AU26" s="1008"/>
      <c r="AV26" s="1008"/>
      <c r="AW26" s="1008"/>
      <c r="AX26" s="1008"/>
      <c r="AY26" s="1008"/>
      <c r="AZ26" s="1008"/>
      <c r="BA26" s="486"/>
      <c r="BB26" s="2613"/>
      <c r="BJ26" s="1007"/>
    </row>
    <row r="27" spans="1:62" s="30" customFormat="1" ht="17.25" customHeight="1" thickBot="1">
      <c r="A27" s="4315">
        <v>3</v>
      </c>
      <c r="B27" s="4316"/>
      <c r="C27" s="1563"/>
      <c r="D27" s="1564"/>
      <c r="E27" s="1563"/>
      <c r="F27" s="1564"/>
      <c r="G27" s="1563"/>
      <c r="H27" s="1564"/>
      <c r="I27" s="1563"/>
      <c r="J27" s="1565"/>
      <c r="K27" s="1566"/>
      <c r="L27" s="1567"/>
      <c r="M27" s="1568"/>
      <c r="N27" s="1567"/>
      <c r="O27" s="1568"/>
      <c r="P27" s="2070"/>
      <c r="Q27" s="1567" t="str">
        <f t="shared" ref="Q27" si="0">PROPER(Q8)</f>
        <v/>
      </c>
      <c r="R27" s="1570"/>
      <c r="S27" s="1567"/>
      <c r="T27" s="1569"/>
      <c r="U27" s="1563"/>
      <c r="V27" s="50"/>
      <c r="W27" s="1566"/>
      <c r="X27" s="1567" t="str">
        <f>PROPER(X8)</f>
        <v/>
      </c>
      <c r="Y27" s="2070"/>
      <c r="Z27" s="1571"/>
      <c r="AA27" s="1572"/>
      <c r="AB27" s="1573"/>
      <c r="AC27" s="1574"/>
      <c r="AD27" s="1575"/>
      <c r="AE27" s="1576"/>
      <c r="AF27" s="1577"/>
      <c r="AG27" s="1576"/>
      <c r="AH27" s="4140"/>
      <c r="AI27" s="4317"/>
      <c r="AJ27" s="4317"/>
      <c r="AK27" s="4142"/>
      <c r="AL27" s="1578"/>
      <c r="AM27" s="1579"/>
      <c r="AN27" s="1580"/>
      <c r="AO27" s="1579"/>
      <c r="AP27" s="1578"/>
      <c r="AQ27" s="1580"/>
      <c r="AR27" s="1581"/>
      <c r="AS27" s="1577"/>
      <c r="AT27" s="1582"/>
      <c r="AU27" s="1582"/>
      <c r="AV27" s="1582"/>
      <c r="AW27" s="1582"/>
      <c r="AX27" s="1582"/>
      <c r="AY27" s="1582"/>
      <c r="AZ27" s="1582"/>
      <c r="BA27" s="1576"/>
      <c r="BB27" s="2614"/>
      <c r="BJ27" s="998"/>
    </row>
    <row r="28" spans="1:62" s="30" customFormat="1" ht="17.25" customHeight="1" thickTop="1">
      <c r="A28" s="4318">
        <v>4</v>
      </c>
      <c r="B28" s="4319"/>
      <c r="C28" s="1585"/>
      <c r="D28" s="1586"/>
      <c r="E28" s="1585"/>
      <c r="F28" s="1586"/>
      <c r="G28" s="1585"/>
      <c r="H28" s="1586"/>
      <c r="I28" s="1585"/>
      <c r="J28" s="1587"/>
      <c r="K28" s="1588"/>
      <c r="L28" s="1589"/>
      <c r="M28" s="1590"/>
      <c r="N28" s="1589"/>
      <c r="O28" s="1590"/>
      <c r="P28" s="2071"/>
      <c r="Q28" s="1589"/>
      <c r="R28" s="1592"/>
      <c r="S28" s="1589"/>
      <c r="T28" s="1591"/>
      <c r="U28" s="1585"/>
      <c r="V28" s="1593"/>
      <c r="W28" s="1588"/>
      <c r="X28" s="1589" t="str">
        <f>PROPER(X9)</f>
        <v/>
      </c>
      <c r="Y28" s="2071"/>
      <c r="Z28" s="1589"/>
      <c r="AA28" s="1591"/>
      <c r="AB28" s="1594"/>
      <c r="AC28" s="1595"/>
      <c r="AD28" s="1596"/>
      <c r="AE28" s="1597"/>
      <c r="AF28" s="1598"/>
      <c r="AG28" s="1597"/>
      <c r="AH28" s="4320"/>
      <c r="AI28" s="4321"/>
      <c r="AJ28" s="4321"/>
      <c r="AK28" s="4322"/>
      <c r="AL28" s="1597"/>
      <c r="AM28" s="1598"/>
      <c r="AN28" s="1599"/>
      <c r="AO28" s="1598"/>
      <c r="AP28" s="1600"/>
      <c r="AQ28" s="1599"/>
      <c r="AR28" s="1601"/>
      <c r="AS28" s="1598"/>
      <c r="AT28" s="1602"/>
      <c r="AU28" s="1602"/>
      <c r="AV28" s="1602"/>
      <c r="AW28" s="1602"/>
      <c r="AX28" s="1602"/>
      <c r="AY28" s="1602"/>
      <c r="AZ28" s="1602"/>
      <c r="BA28" s="1597"/>
      <c r="BB28" s="2615"/>
      <c r="BJ28" s="998"/>
    </row>
    <row r="29" spans="1:62" s="30" customFormat="1" ht="17.25" customHeight="1">
      <c r="A29" s="4318">
        <v>5</v>
      </c>
      <c r="B29" s="4319"/>
      <c r="C29" s="47"/>
      <c r="D29" s="48"/>
      <c r="E29" s="47"/>
      <c r="F29" s="48"/>
      <c r="G29" s="47"/>
      <c r="H29" s="48"/>
      <c r="I29" s="47"/>
      <c r="J29" s="49"/>
      <c r="K29" s="43"/>
      <c r="L29" s="44"/>
      <c r="M29" s="56"/>
      <c r="N29" s="44"/>
      <c r="O29" s="56"/>
      <c r="P29" s="2069"/>
      <c r="Q29" s="44"/>
      <c r="R29" s="1212"/>
      <c r="S29" s="44"/>
      <c r="T29" s="45"/>
      <c r="U29" s="47"/>
      <c r="V29" s="50"/>
      <c r="W29" s="43"/>
      <c r="X29" s="44" t="str">
        <f>PROPER(X10)</f>
        <v/>
      </c>
      <c r="Y29" s="2069"/>
      <c r="Z29" s="670" t="str">
        <f t="shared" ref="Z29" si="1">PROPER(Z10)</f>
        <v/>
      </c>
      <c r="AA29" s="672"/>
      <c r="AB29" s="1521"/>
      <c r="AC29" s="1079"/>
      <c r="AD29" s="46"/>
      <c r="AE29" s="486"/>
      <c r="AF29" s="488"/>
      <c r="AG29" s="486"/>
      <c r="AH29" s="4036"/>
      <c r="AI29" s="4037"/>
      <c r="AJ29" s="4037"/>
      <c r="AK29" s="4038"/>
      <c r="AL29" s="486"/>
      <c r="AM29" s="488"/>
      <c r="AN29" s="487"/>
      <c r="AO29" s="488"/>
      <c r="AP29" s="489"/>
      <c r="AQ29" s="487"/>
      <c r="AR29" s="1009"/>
      <c r="AS29" s="488"/>
      <c r="AT29" s="1008"/>
      <c r="AU29" s="1008"/>
      <c r="AV29" s="1008"/>
      <c r="AW29" s="1008"/>
      <c r="AX29" s="1008"/>
      <c r="AY29" s="1008"/>
      <c r="AZ29" s="1008"/>
      <c r="BA29" s="486"/>
      <c r="BB29" s="2613"/>
      <c r="BJ29" s="998"/>
    </row>
    <row r="30" spans="1:62" s="30" customFormat="1" ht="17.25" customHeight="1" thickBot="1">
      <c r="A30" s="4318">
        <v>6</v>
      </c>
      <c r="B30" s="4319"/>
      <c r="C30" s="1603"/>
      <c r="D30" s="1604"/>
      <c r="E30" s="1603"/>
      <c r="F30" s="1604"/>
      <c r="G30" s="1603"/>
      <c r="H30" s="1604"/>
      <c r="I30" s="1603"/>
      <c r="J30" s="1605"/>
      <c r="K30" s="1606"/>
      <c r="L30" s="1607"/>
      <c r="M30" s="1608"/>
      <c r="N30" s="1607"/>
      <c r="O30" s="1608"/>
      <c r="P30" s="2072"/>
      <c r="Q30" s="1607"/>
      <c r="R30" s="1610"/>
      <c r="S30" s="1607"/>
      <c r="T30" s="1609"/>
      <c r="U30" s="1603"/>
      <c r="V30" s="1611"/>
      <c r="W30" s="1606"/>
      <c r="X30" s="1607" t="str">
        <f>PROPER(X11)</f>
        <v/>
      </c>
      <c r="Y30" s="2072"/>
      <c r="Z30" s="1612" t="str">
        <f t="shared" ref="Z30" si="2">PROPER(Z11)</f>
        <v/>
      </c>
      <c r="AA30" s="1613"/>
      <c r="AB30" s="1614"/>
      <c r="AC30" s="1615"/>
      <c r="AD30" s="1616"/>
      <c r="AE30" s="1617"/>
      <c r="AF30" s="1618"/>
      <c r="AG30" s="1617"/>
      <c r="AH30" s="4341"/>
      <c r="AI30" s="4342"/>
      <c r="AJ30" s="4342"/>
      <c r="AK30" s="4343"/>
      <c r="AL30" s="1617"/>
      <c r="AM30" s="1618"/>
      <c r="AN30" s="1619"/>
      <c r="AO30" s="1618"/>
      <c r="AP30" s="1620"/>
      <c r="AQ30" s="1619"/>
      <c r="AR30" s="1621"/>
      <c r="AS30" s="1618"/>
      <c r="AT30" s="1622"/>
      <c r="AU30" s="1622"/>
      <c r="AV30" s="1622"/>
      <c r="AW30" s="1622"/>
      <c r="AX30" s="1622"/>
      <c r="AY30" s="1622"/>
      <c r="AZ30" s="1622"/>
      <c r="BA30" s="1617"/>
      <c r="BB30" s="2616"/>
      <c r="BJ30" s="998"/>
    </row>
    <row r="31" spans="1:62" s="30" customFormat="1" ht="17.25" customHeight="1" thickTop="1">
      <c r="A31" s="4315">
        <v>7</v>
      </c>
      <c r="B31" s="4316"/>
      <c r="C31" s="41"/>
      <c r="D31" s="42"/>
      <c r="E31" s="41"/>
      <c r="F31" s="42"/>
      <c r="G31" s="41"/>
      <c r="H31" s="42"/>
      <c r="I31" s="41"/>
      <c r="J31" s="51"/>
      <c r="K31" s="673"/>
      <c r="L31" s="670"/>
      <c r="M31" s="671"/>
      <c r="N31" s="670"/>
      <c r="O31" s="671"/>
      <c r="P31" s="2068"/>
      <c r="Q31" s="670"/>
      <c r="R31" s="1211"/>
      <c r="S31" s="670"/>
      <c r="T31" s="672"/>
      <c r="U31" s="41"/>
      <c r="V31" s="50"/>
      <c r="W31" s="673"/>
      <c r="X31" s="670"/>
      <c r="Y31" s="2068"/>
      <c r="Z31" s="670"/>
      <c r="AA31" s="672"/>
      <c r="AB31" s="1527"/>
      <c r="AC31" s="1217"/>
      <c r="AD31" s="674"/>
      <c r="AE31" s="1001"/>
      <c r="AF31" s="1002"/>
      <c r="AG31" s="1001"/>
      <c r="AH31" s="4328"/>
      <c r="AI31" s="4329"/>
      <c r="AJ31" s="4329"/>
      <c r="AK31" s="4330"/>
      <c r="AL31" s="1001"/>
      <c r="AM31" s="1002"/>
      <c r="AN31" s="1075"/>
      <c r="AO31" s="1002"/>
      <c r="AP31" s="1583"/>
      <c r="AQ31" s="1075"/>
      <c r="AR31" s="1584"/>
      <c r="AS31" s="1002"/>
      <c r="AT31" s="1006"/>
      <c r="AU31" s="1006"/>
      <c r="AV31" s="1006"/>
      <c r="AW31" s="1006"/>
      <c r="AX31" s="1006"/>
      <c r="AY31" s="1006"/>
      <c r="AZ31" s="1006"/>
      <c r="BA31" s="1001"/>
      <c r="BB31" s="2617"/>
    </row>
    <row r="32" spans="1:62" s="30" customFormat="1" ht="17.25" customHeight="1">
      <c r="A32" s="4315">
        <v>8</v>
      </c>
      <c r="B32" s="4316"/>
      <c r="C32" s="47"/>
      <c r="D32" s="48"/>
      <c r="E32" s="47"/>
      <c r="F32" s="48"/>
      <c r="G32" s="47"/>
      <c r="H32" s="48"/>
      <c r="I32" s="47"/>
      <c r="J32" s="50"/>
      <c r="K32" s="43"/>
      <c r="L32" s="44"/>
      <c r="M32" s="56"/>
      <c r="N32" s="44"/>
      <c r="O32" s="56"/>
      <c r="P32" s="2069"/>
      <c r="Q32" s="44"/>
      <c r="R32" s="1212"/>
      <c r="S32" s="44"/>
      <c r="T32" s="45"/>
      <c r="U32" s="47"/>
      <c r="V32" s="49"/>
      <c r="W32" s="43"/>
      <c r="X32" s="44"/>
      <c r="Y32" s="2069"/>
      <c r="Z32" s="670"/>
      <c r="AA32" s="672"/>
      <c r="AB32" s="1201"/>
      <c r="AC32" s="1079"/>
      <c r="AD32" s="46"/>
      <c r="AE32" s="486"/>
      <c r="AF32" s="488"/>
      <c r="AG32" s="486"/>
      <c r="AH32" s="4036"/>
      <c r="AI32" s="4037"/>
      <c r="AJ32" s="4037"/>
      <c r="AK32" s="4038"/>
      <c r="AL32" s="486"/>
      <c r="AM32" s="488"/>
      <c r="AN32" s="487"/>
      <c r="AO32" s="488"/>
      <c r="AP32" s="489"/>
      <c r="AQ32" s="487"/>
      <c r="AR32" s="1009"/>
      <c r="AS32" s="488"/>
      <c r="AT32" s="1008"/>
      <c r="AU32" s="1008"/>
      <c r="AV32" s="1008"/>
      <c r="AW32" s="1008"/>
      <c r="AX32" s="1008"/>
      <c r="AY32" s="1008"/>
      <c r="AZ32" s="1008"/>
      <c r="BA32" s="486"/>
      <c r="BB32" s="2613"/>
    </row>
    <row r="33" spans="1:54" s="30" customFormat="1" ht="17.25" customHeight="1" thickBot="1">
      <c r="A33" s="4315">
        <v>9</v>
      </c>
      <c r="B33" s="4316"/>
      <c r="C33" s="1563"/>
      <c r="D33" s="1564"/>
      <c r="E33" s="1563"/>
      <c r="F33" s="1564"/>
      <c r="G33" s="1563"/>
      <c r="H33" s="1564"/>
      <c r="I33" s="1563"/>
      <c r="J33" s="1565"/>
      <c r="K33" s="1566"/>
      <c r="L33" s="1567"/>
      <c r="M33" s="1568"/>
      <c r="N33" s="1567"/>
      <c r="O33" s="1568"/>
      <c r="P33" s="2070"/>
      <c r="Q33" s="1567"/>
      <c r="R33" s="1570"/>
      <c r="S33" s="1567"/>
      <c r="T33" s="1569"/>
      <c r="U33" s="1563"/>
      <c r="V33" s="50"/>
      <c r="W33" s="1566"/>
      <c r="X33" s="1567"/>
      <c r="Y33" s="2070"/>
      <c r="Z33" s="1571"/>
      <c r="AA33" s="1572"/>
      <c r="AB33" s="1573"/>
      <c r="AC33" s="1574"/>
      <c r="AD33" s="1575"/>
      <c r="AE33" s="1576"/>
      <c r="AF33" s="1577"/>
      <c r="AG33" s="1576"/>
      <c r="AH33" s="4140"/>
      <c r="AI33" s="4317"/>
      <c r="AJ33" s="4317"/>
      <c r="AK33" s="4142"/>
      <c r="AL33" s="1576"/>
      <c r="AM33" s="1577"/>
      <c r="AN33" s="1623"/>
      <c r="AO33" s="1577"/>
      <c r="AP33" s="1578"/>
      <c r="AQ33" s="1623"/>
      <c r="AR33" s="1624"/>
      <c r="AS33" s="1577"/>
      <c r="AT33" s="1582"/>
      <c r="AU33" s="1582"/>
      <c r="AV33" s="1582"/>
      <c r="AW33" s="1582"/>
      <c r="AX33" s="1582"/>
      <c r="AY33" s="1582"/>
      <c r="AZ33" s="1582"/>
      <c r="BA33" s="1576"/>
      <c r="BB33" s="2614"/>
    </row>
    <row r="34" spans="1:54" s="30" customFormat="1" ht="17.25" customHeight="1" thickTop="1">
      <c r="A34" s="4318">
        <v>10</v>
      </c>
      <c r="B34" s="4319"/>
      <c r="C34" s="1585"/>
      <c r="D34" s="1586"/>
      <c r="E34" s="1585"/>
      <c r="F34" s="1586"/>
      <c r="G34" s="1585"/>
      <c r="H34" s="1586"/>
      <c r="I34" s="1585"/>
      <c r="J34" s="1587"/>
      <c r="K34" s="1588"/>
      <c r="L34" s="1589"/>
      <c r="M34" s="1590"/>
      <c r="N34" s="1589"/>
      <c r="O34" s="1590"/>
      <c r="P34" s="2071"/>
      <c r="Q34" s="1589"/>
      <c r="R34" s="1592"/>
      <c r="S34" s="1589"/>
      <c r="T34" s="1591"/>
      <c r="U34" s="1585"/>
      <c r="V34" s="1593"/>
      <c r="W34" s="1588"/>
      <c r="X34" s="1589"/>
      <c r="Y34" s="2071"/>
      <c r="Z34" s="1589"/>
      <c r="AA34" s="1591"/>
      <c r="AB34" s="1594"/>
      <c r="AC34" s="1595"/>
      <c r="AD34" s="1596"/>
      <c r="AE34" s="1597"/>
      <c r="AF34" s="1598"/>
      <c r="AG34" s="1597"/>
      <c r="AH34" s="4320"/>
      <c r="AI34" s="4321"/>
      <c r="AJ34" s="4321"/>
      <c r="AK34" s="4322"/>
      <c r="AL34" s="1597"/>
      <c r="AM34" s="1598"/>
      <c r="AN34" s="1599"/>
      <c r="AO34" s="1598"/>
      <c r="AP34" s="1600"/>
      <c r="AQ34" s="1599"/>
      <c r="AR34" s="1601"/>
      <c r="AS34" s="1598"/>
      <c r="AT34" s="1602"/>
      <c r="AU34" s="1602"/>
      <c r="AV34" s="1602"/>
      <c r="AW34" s="1602"/>
      <c r="AX34" s="1602"/>
      <c r="AY34" s="1602"/>
      <c r="AZ34" s="1602"/>
      <c r="BA34" s="1597"/>
      <c r="BB34" s="2615"/>
    </row>
    <row r="35" spans="1:54" s="30" customFormat="1" ht="17.25" customHeight="1">
      <c r="A35" s="4318">
        <v>11</v>
      </c>
      <c r="B35" s="4319"/>
      <c r="C35" s="47"/>
      <c r="D35" s="48"/>
      <c r="E35" s="47"/>
      <c r="F35" s="48"/>
      <c r="G35" s="47"/>
      <c r="H35" s="48"/>
      <c r="I35" s="47"/>
      <c r="J35" s="49"/>
      <c r="K35" s="43"/>
      <c r="L35" s="44"/>
      <c r="M35" s="56"/>
      <c r="N35" s="44"/>
      <c r="O35" s="56"/>
      <c r="P35" s="2069"/>
      <c r="Q35" s="44"/>
      <c r="R35" s="1212"/>
      <c r="S35" s="44"/>
      <c r="T35" s="45"/>
      <c r="U35" s="47"/>
      <c r="V35" s="50"/>
      <c r="W35" s="43"/>
      <c r="X35" s="44"/>
      <c r="Y35" s="2069"/>
      <c r="Z35" s="670"/>
      <c r="AA35" s="672"/>
      <c r="AB35" s="1521"/>
      <c r="AC35" s="1079"/>
      <c r="AD35" s="46"/>
      <c r="AE35" s="486"/>
      <c r="AF35" s="488"/>
      <c r="AG35" s="486"/>
      <c r="AH35" s="4036"/>
      <c r="AI35" s="4037"/>
      <c r="AJ35" s="4037"/>
      <c r="AK35" s="4038"/>
      <c r="AL35" s="486"/>
      <c r="AM35" s="488"/>
      <c r="AN35" s="487"/>
      <c r="AO35" s="488"/>
      <c r="AP35" s="489"/>
      <c r="AQ35" s="487"/>
      <c r="AR35" s="1009"/>
      <c r="AS35" s="488"/>
      <c r="AT35" s="1008"/>
      <c r="AU35" s="1008"/>
      <c r="AV35" s="1008"/>
      <c r="AW35" s="1008"/>
      <c r="AX35" s="1008"/>
      <c r="AY35" s="1008"/>
      <c r="AZ35" s="1008"/>
      <c r="BA35" s="486"/>
      <c r="BB35" s="2613"/>
    </row>
    <row r="36" spans="1:54" s="30" customFormat="1" ht="17.25" customHeight="1" thickBot="1">
      <c r="A36" s="4318">
        <v>12</v>
      </c>
      <c r="B36" s="4319"/>
      <c r="C36" s="1603"/>
      <c r="D36" s="1604"/>
      <c r="E36" s="1603"/>
      <c r="F36" s="1604"/>
      <c r="G36" s="1603"/>
      <c r="H36" s="1604"/>
      <c r="I36" s="1603"/>
      <c r="J36" s="1605"/>
      <c r="K36" s="1606"/>
      <c r="L36" s="1607"/>
      <c r="M36" s="1608"/>
      <c r="N36" s="1607"/>
      <c r="O36" s="1608"/>
      <c r="P36" s="2072"/>
      <c r="Q36" s="1607"/>
      <c r="R36" s="1610"/>
      <c r="S36" s="1607"/>
      <c r="T36" s="1609"/>
      <c r="U36" s="1603"/>
      <c r="V36" s="1611"/>
      <c r="W36" s="1606"/>
      <c r="X36" s="1607"/>
      <c r="Y36" s="2072"/>
      <c r="Z36" s="1612"/>
      <c r="AA36" s="1613"/>
      <c r="AB36" s="1614"/>
      <c r="AC36" s="1615"/>
      <c r="AD36" s="1616"/>
      <c r="AE36" s="1617"/>
      <c r="AF36" s="1618"/>
      <c r="AG36" s="1617"/>
      <c r="AH36" s="4341"/>
      <c r="AI36" s="4342"/>
      <c r="AJ36" s="4342"/>
      <c r="AK36" s="4343"/>
      <c r="AL36" s="1617"/>
      <c r="AM36" s="1618"/>
      <c r="AN36" s="1619"/>
      <c r="AO36" s="1618"/>
      <c r="AP36" s="1620"/>
      <c r="AQ36" s="1619"/>
      <c r="AR36" s="1621"/>
      <c r="AS36" s="1618"/>
      <c r="AT36" s="1622"/>
      <c r="AU36" s="1622"/>
      <c r="AV36" s="1622"/>
      <c r="AW36" s="1622"/>
      <c r="AX36" s="1622"/>
      <c r="AY36" s="1622"/>
      <c r="AZ36" s="1622"/>
      <c r="BA36" s="1617"/>
      <c r="BB36" s="2616"/>
    </row>
    <row r="37" spans="1:54" s="30" customFormat="1" ht="17.25" customHeight="1" thickTop="1">
      <c r="A37" s="4315">
        <v>13</v>
      </c>
      <c r="B37" s="4316"/>
      <c r="C37" s="41"/>
      <c r="D37" s="42"/>
      <c r="E37" s="41"/>
      <c r="F37" s="42"/>
      <c r="G37" s="41"/>
      <c r="H37" s="42"/>
      <c r="I37" s="41"/>
      <c r="J37" s="51"/>
      <c r="K37" s="673"/>
      <c r="L37" s="670"/>
      <c r="M37" s="671"/>
      <c r="N37" s="670"/>
      <c r="O37" s="671"/>
      <c r="P37" s="2068"/>
      <c r="Q37" s="670"/>
      <c r="R37" s="1211"/>
      <c r="S37" s="670"/>
      <c r="T37" s="672"/>
      <c r="U37" s="41"/>
      <c r="V37" s="50"/>
      <c r="W37" s="673"/>
      <c r="X37" s="670"/>
      <c r="Y37" s="2068"/>
      <c r="Z37" s="670"/>
      <c r="AA37" s="672"/>
      <c r="AB37" s="1527"/>
      <c r="AC37" s="1217"/>
      <c r="AD37" s="674"/>
      <c r="AE37" s="1001"/>
      <c r="AF37" s="1002"/>
      <c r="AG37" s="1001"/>
      <c r="AH37" s="4328"/>
      <c r="AI37" s="4329"/>
      <c r="AJ37" s="4329"/>
      <c r="AK37" s="4330"/>
      <c r="AL37" s="1001"/>
      <c r="AM37" s="1002"/>
      <c r="AN37" s="1075"/>
      <c r="AO37" s="1002"/>
      <c r="AP37" s="1583" t="str">
        <f t="shared" ref="AP37" si="3">PROPER(AP25)</f>
        <v/>
      </c>
      <c r="AQ37" s="1075"/>
      <c r="AR37" s="1584"/>
      <c r="AS37" s="1002"/>
      <c r="AT37" s="1006"/>
      <c r="AU37" s="1006"/>
      <c r="AV37" s="1006"/>
      <c r="AW37" s="1006"/>
      <c r="AX37" s="1006"/>
      <c r="AY37" s="1006"/>
      <c r="AZ37" s="1006"/>
      <c r="BA37" s="1001"/>
      <c r="BB37" s="2617"/>
    </row>
    <row r="38" spans="1:54" s="30" customFormat="1" ht="17.25" customHeight="1">
      <c r="A38" s="4315">
        <v>14</v>
      </c>
      <c r="B38" s="4316"/>
      <c r="C38" s="47"/>
      <c r="D38" s="48"/>
      <c r="E38" s="47"/>
      <c r="F38" s="48"/>
      <c r="G38" s="47"/>
      <c r="H38" s="48"/>
      <c r="I38" s="47"/>
      <c r="J38" s="49"/>
      <c r="K38" s="43"/>
      <c r="L38" s="44"/>
      <c r="M38" s="56"/>
      <c r="N38" s="44"/>
      <c r="O38" s="56"/>
      <c r="P38" s="2069"/>
      <c r="Q38" s="44"/>
      <c r="R38" s="1212"/>
      <c r="S38" s="44"/>
      <c r="T38" s="45"/>
      <c r="U38" s="47"/>
      <c r="V38" s="49"/>
      <c r="W38" s="43"/>
      <c r="X38" s="44"/>
      <c r="Y38" s="2069"/>
      <c r="Z38" s="670"/>
      <c r="AA38" s="672"/>
      <c r="AB38" s="1201"/>
      <c r="AC38" s="1079"/>
      <c r="AD38" s="46"/>
      <c r="AE38" s="486"/>
      <c r="AF38" s="488"/>
      <c r="AG38" s="486"/>
      <c r="AH38" s="4036"/>
      <c r="AI38" s="4037"/>
      <c r="AJ38" s="4037"/>
      <c r="AK38" s="4038"/>
      <c r="AL38" s="486"/>
      <c r="AM38" s="488"/>
      <c r="AN38" s="487"/>
      <c r="AO38" s="488"/>
      <c r="AP38" s="1576"/>
      <c r="AQ38" s="2468"/>
      <c r="AR38" s="2469"/>
      <c r="AS38" s="2470"/>
      <c r="AT38" s="1582"/>
      <c r="AU38" s="1582"/>
      <c r="AV38" s="1582"/>
      <c r="AW38" s="1582"/>
      <c r="AX38" s="1582"/>
      <c r="AY38" s="1582"/>
      <c r="AZ38" s="1582"/>
      <c r="BA38" s="1576"/>
      <c r="BB38" s="2614"/>
    </row>
    <row r="39" spans="1:54" s="30" customFormat="1" ht="17.25" customHeight="1" thickBot="1">
      <c r="A39" s="4338">
        <v>15</v>
      </c>
      <c r="B39" s="4339"/>
      <c r="C39" s="2454"/>
      <c r="D39" s="2455"/>
      <c r="E39" s="2454"/>
      <c r="F39" s="2455"/>
      <c r="G39" s="2454"/>
      <c r="H39" s="2455"/>
      <c r="I39" s="2454"/>
      <c r="J39" s="2456"/>
      <c r="K39" s="2457"/>
      <c r="L39" s="2458"/>
      <c r="M39" s="2459"/>
      <c r="N39" s="2458"/>
      <c r="O39" s="2459"/>
      <c r="P39" s="2460"/>
      <c r="Q39" s="2458"/>
      <c r="R39" s="2461"/>
      <c r="S39" s="2458"/>
      <c r="T39" s="2462"/>
      <c r="U39" s="2454"/>
      <c r="V39" s="2456"/>
      <c r="W39" s="2457"/>
      <c r="X39" s="2458"/>
      <c r="Y39" s="2460"/>
      <c r="Z39" s="2458"/>
      <c r="AA39" s="2462"/>
      <c r="AB39" s="2313"/>
      <c r="AC39" s="1087"/>
      <c r="AD39" s="2463"/>
      <c r="AE39" s="2464"/>
      <c r="AF39" s="1393"/>
      <c r="AG39" s="2464"/>
      <c r="AH39" s="4126"/>
      <c r="AI39" s="4127"/>
      <c r="AJ39" s="4127"/>
      <c r="AK39" s="4340"/>
      <c r="AL39" s="2464"/>
      <c r="AM39" s="1393"/>
      <c r="AN39" s="2465"/>
      <c r="AO39" s="1393"/>
      <c r="AP39" s="2464"/>
      <c r="AQ39" s="2465"/>
      <c r="AR39" s="2471"/>
      <c r="AS39" s="1393"/>
      <c r="AT39" s="2472"/>
      <c r="AU39" s="2472"/>
      <c r="AV39" s="2472"/>
      <c r="AW39" s="2472"/>
      <c r="AX39" s="2472"/>
      <c r="AY39" s="2472"/>
      <c r="AZ39" s="2472"/>
      <c r="BA39" s="2464"/>
      <c r="BB39" s="2618"/>
    </row>
    <row r="40" spans="1:54" ht="13.5">
      <c r="AB40" s="2466"/>
      <c r="AC40" s="2467"/>
      <c r="AE40" s="963"/>
      <c r="AF40" s="963"/>
      <c r="AG40" s="963"/>
      <c r="AH40" s="963"/>
      <c r="AI40" s="963"/>
      <c r="AJ40" s="963"/>
      <c r="AK40" s="1091"/>
      <c r="AL40" s="963"/>
      <c r="AM40" s="963"/>
      <c r="AN40" s="963"/>
      <c r="AO40" s="963"/>
      <c r="AP40" s="963"/>
      <c r="AQ40" s="963"/>
      <c r="AR40" s="1010"/>
      <c r="AS40" s="963"/>
      <c r="AT40" s="963"/>
      <c r="AU40" s="963"/>
      <c r="AV40" s="963"/>
      <c r="AW40" s="963"/>
      <c r="AX40" s="963"/>
      <c r="AY40" s="963"/>
      <c r="AZ40" s="963"/>
      <c r="BA40" s="963"/>
      <c r="BB40" s="963"/>
    </row>
    <row r="45" spans="1:54">
      <c r="AZ45" s="998"/>
    </row>
    <row r="46" spans="1:54">
      <c r="AZ46" s="998"/>
    </row>
    <row r="47" spans="1:54">
      <c r="AZ47" s="998"/>
    </row>
    <row r="48" spans="1:54">
      <c r="AZ48" s="998"/>
    </row>
    <row r="49" spans="52:52">
      <c r="AZ49" s="998"/>
    </row>
    <row r="50" spans="52:52">
      <c r="AZ50" s="998"/>
    </row>
    <row r="51" spans="52:52">
      <c r="AZ51" s="998"/>
    </row>
  </sheetData>
  <customSheetViews>
    <customSheetView guid="{BDF1A126-BD1D-4A5E-80B8-98941684E462}" showPageBreaks="1" showGridLines="0" printArea="1" view="pageLayout">
      <selection activeCell="N23" sqref="N23"/>
      <colBreaks count="1" manualBreakCount="1">
        <brk id="20" max="37" man="1"/>
      </colBreaks>
      <pageMargins left="0.196850393700787" right="0.196850393700787" top="0.196850393700787" bottom="0.196850393700787" header="0" footer="0"/>
      <pageSetup paperSize="9" fitToWidth="3" orientation="landscape" r:id="rId1"/>
      <headerFooter alignWithMargins="0"/>
    </customSheetView>
    <customSheetView guid="{04F0793E-5444-463D-A1D5-E52E08A4C249}" showPageBreaks="1" showGridLines="0" printArea="1" topLeftCell="AG1">
      <selection activeCell="AP4" sqref="AP4:AR8"/>
      <colBreaks count="2" manualBreakCount="2">
        <brk id="20" max="37" man="1"/>
        <brk id="41" max="38" man="1"/>
      </colBreaks>
      <pageMargins left="0.196850393700787" right="0.196850393700787" top="0.196850393700787" bottom="0.196850393700787" header="0" footer="0"/>
      <pageSetup paperSize="9" fitToWidth="3" orientation="landscape" r:id="rId2"/>
      <headerFooter alignWithMargins="0"/>
    </customSheetView>
    <customSheetView guid="{925F74B5-C2F5-4E55-AFE4-045C56169B44}" showPageBreaks="1" showGridLines="0" printArea="1" topLeftCell="T18">
      <selection activeCell="AP23" sqref="AP23"/>
      <colBreaks count="2" manualBreakCount="2">
        <brk id="20" max="37" man="1"/>
        <brk id="41" max="38" man="1"/>
      </colBreaks>
      <pageMargins left="0.196850393700787" right="0.196850393700787" top="0.196850393700787" bottom="0.196850393700787" header="0" footer="0"/>
      <pageSetup paperSize="9" fitToWidth="3" orientation="landscape" r:id="rId3"/>
      <headerFooter alignWithMargins="0"/>
    </customSheetView>
    <customSheetView guid="{1FF58891-F32F-4F97-9812-E2D02F4497AA}" showPageBreaks="1" showGridLines="0" printArea="1" view="pageLayout" topLeftCell="U7">
      <selection activeCell="A4" sqref="A4:B24"/>
      <colBreaks count="1" manualBreakCount="1">
        <brk id="20" max="37" man="1"/>
      </colBreaks>
      <pageMargins left="0.196850393700787" right="0.196850393700787" top="0.196850393700787" bottom="0.196850393700787" header="0" footer="0"/>
      <pageSetup paperSize="9" fitToWidth="3" orientation="landscape" r:id="rId4"/>
      <headerFooter alignWithMargins="0"/>
    </customSheetView>
    <customSheetView guid="{2A6091F0-BAF4-46A2-BC20-0DE610E67601}" showPageBreaks="1" showGridLines="0" printArea="1" view="pageLayout">
      <selection activeCell="N23" sqref="N23"/>
      <colBreaks count="1" manualBreakCount="1">
        <brk id="20" max="37" man="1"/>
      </colBreaks>
      <pageMargins left="0.196850393700787" right="0.196850393700787" top="0.196850393700787" bottom="0.196850393700787" header="0" footer="0"/>
      <pageSetup paperSize="9" fitToWidth="3" orientation="landscape" r:id="rId5"/>
      <headerFooter alignWithMargins="0"/>
    </customSheetView>
    <customSheetView guid="{5111FDC7-EEAC-46C3-8033-47A3563F0C00}" showPageBreaks="1" showGridLines="0" printArea="1" view="pageLayout" topLeftCell="AQ1">
      <selection activeCell="AS4" sqref="AS4:BA9"/>
      <colBreaks count="1" manualBreakCount="1">
        <brk id="20" max="37" man="1"/>
      </colBreaks>
      <pageMargins left="0.196850393700787" right="0.196850393700787" top="0.196850393700787" bottom="0.196850393700787" header="0" footer="0"/>
      <pageSetup paperSize="9" fitToWidth="3" orientation="landscape" r:id="rId6"/>
      <headerFooter alignWithMargins="0"/>
    </customSheetView>
    <customSheetView guid="{2A5E79E4-584C-4F65-A220-87928CEA02AF}" showPageBreaks="1" showGridLines="0" printArea="1" view="pageLayout" topLeftCell="S1">
      <selection activeCell="AB26" sqref="AB26"/>
      <colBreaks count="1" manualBreakCount="1">
        <brk id="20" max="37" man="1"/>
      </colBreaks>
      <pageMargins left="0.196850393700787" right="0.196850393700787" top="0.196850393700787" bottom="0.196850393700787" header="0" footer="0"/>
      <pageSetup paperSize="9" fitToWidth="3" orientation="landscape" r:id="rId7"/>
      <headerFooter alignWithMargins="0"/>
    </customSheetView>
    <customSheetView guid="{66872EF1-41BD-4D4B-B603-B8B0D03DAD22}" showPageBreaks="1" showGridLines="0" printArea="1" view="pageLayout" topLeftCell="S1">
      <selection activeCell="AB26" sqref="AB26"/>
      <colBreaks count="1" manualBreakCount="1">
        <brk id="20" max="37" man="1"/>
      </colBreaks>
      <pageMargins left="0.196850393700787" right="0.196850393700787" top="0.196850393700787" bottom="0.196850393700787" header="0" footer="0"/>
      <pageSetup paperSize="9" fitToWidth="3" orientation="landscape" r:id="rId8"/>
      <headerFooter alignWithMargins="0"/>
    </customSheetView>
    <customSheetView guid="{ACE56013-11B3-4BF4-BD0B-BF59142DAC13}" showPageBreaks="1" showGridLines="0" printArea="1" view="pageLayout" topLeftCell="AE1">
      <selection activeCell="AS4" sqref="AS4:BA9"/>
      <colBreaks count="1" manualBreakCount="1">
        <brk id="20" max="37" man="1"/>
      </colBreaks>
      <pageMargins left="0.196850393700787" right="0.196850393700787" top="0.196850393700787" bottom="0.196850393700787" header="0" footer="0"/>
      <pageSetup paperSize="9" fitToWidth="3" orientation="landscape" r:id="rId9"/>
      <headerFooter alignWithMargins="0"/>
    </customSheetView>
  </customSheetViews>
  <mergeCells count="133">
    <mergeCell ref="H17:H18"/>
    <mergeCell ref="U17:U18"/>
    <mergeCell ref="Z24:AA24"/>
    <mergeCell ref="L24:M24"/>
    <mergeCell ref="AN3:AO3"/>
    <mergeCell ref="A39:B39"/>
    <mergeCell ref="AH39:AK39"/>
    <mergeCell ref="A36:B36"/>
    <mergeCell ref="AH36:AK36"/>
    <mergeCell ref="A37:B37"/>
    <mergeCell ref="AH37:AK37"/>
    <mergeCell ref="A38:B38"/>
    <mergeCell ref="AH38:AK38"/>
    <mergeCell ref="A33:B33"/>
    <mergeCell ref="AH33:AK33"/>
    <mergeCell ref="A34:B34"/>
    <mergeCell ref="AH34:AK34"/>
    <mergeCell ref="A35:B35"/>
    <mergeCell ref="AH35:AK35"/>
    <mergeCell ref="A30:B30"/>
    <mergeCell ref="AH30:AK30"/>
    <mergeCell ref="A31:B31"/>
    <mergeCell ref="AH31:AK31"/>
    <mergeCell ref="A32:B32"/>
    <mergeCell ref="AH32:AK32"/>
    <mergeCell ref="G17:G18"/>
    <mergeCell ref="AB20:AC23"/>
    <mergeCell ref="AL4:AM23"/>
    <mergeCell ref="AP26:AQ26"/>
    <mergeCell ref="A27:B27"/>
    <mergeCell ref="AH27:AK27"/>
    <mergeCell ref="A28:B28"/>
    <mergeCell ref="AH28:AK28"/>
    <mergeCell ref="A29:B29"/>
    <mergeCell ref="AH29:AK29"/>
    <mergeCell ref="AH24:AK24"/>
    <mergeCell ref="AL24:AM24"/>
    <mergeCell ref="AN24:AO24"/>
    <mergeCell ref="A25:B25"/>
    <mergeCell ref="AH25:AK25"/>
    <mergeCell ref="A26:B26"/>
    <mergeCell ref="AH26:AK26"/>
    <mergeCell ref="AL26:AM26"/>
    <mergeCell ref="AN26:AO26"/>
    <mergeCell ref="K23:K24"/>
    <mergeCell ref="C24:D24"/>
    <mergeCell ref="G24:H24"/>
    <mergeCell ref="I24:J24"/>
    <mergeCell ref="U24:V24"/>
    <mergeCell ref="N24:P24"/>
    <mergeCell ref="BA20:BA23"/>
    <mergeCell ref="BB20:BB23"/>
    <mergeCell ref="AG21:AG23"/>
    <mergeCell ref="AS20:AS23"/>
    <mergeCell ref="AU20:AU23"/>
    <mergeCell ref="AV20:AV22"/>
    <mergeCell ref="AW20:AW22"/>
    <mergeCell ref="AX20:AX22"/>
    <mergeCell ref="AY20:AY22"/>
    <mergeCell ref="AZ20:AZ23"/>
    <mergeCell ref="AT20:AT23"/>
    <mergeCell ref="AP9:AR11"/>
    <mergeCell ref="N20:O20"/>
    <mergeCell ref="P12:P13"/>
    <mergeCell ref="I9:J11"/>
    <mergeCell ref="L21:O22"/>
    <mergeCell ref="Z18:Z19"/>
    <mergeCell ref="AA18:AA19"/>
    <mergeCell ref="L4:P5"/>
    <mergeCell ref="U11:V14"/>
    <mergeCell ref="I12:I13"/>
    <mergeCell ref="N12:O13"/>
    <mergeCell ref="N8:O9"/>
    <mergeCell ref="P8:P9"/>
    <mergeCell ref="AB4:AC12"/>
    <mergeCell ref="AB14:AC19"/>
    <mergeCell ref="U20:U21"/>
    <mergeCell ref="Q15:Q16"/>
    <mergeCell ref="R15:R16"/>
    <mergeCell ref="U15:U16"/>
    <mergeCell ref="N14:O16"/>
    <mergeCell ref="P14:P16"/>
    <mergeCell ref="L13:L14"/>
    <mergeCell ref="M17:M18"/>
    <mergeCell ref="L17:L18"/>
    <mergeCell ref="AS3:BB3"/>
    <mergeCell ref="A4:B24"/>
    <mergeCell ref="C4:D14"/>
    <mergeCell ref="G4:H14"/>
    <mergeCell ref="I4:J8"/>
    <mergeCell ref="K4:K12"/>
    <mergeCell ref="Q4:R7"/>
    <mergeCell ref="S4:T11"/>
    <mergeCell ref="U4:V10"/>
    <mergeCell ref="AH3:AK3"/>
    <mergeCell ref="AL3:AM3"/>
    <mergeCell ref="AP3:AR3"/>
    <mergeCell ref="AS12:BA14"/>
    <mergeCell ref="I14:I15"/>
    <mergeCell ref="K15:K18"/>
    <mergeCell ref="AP4:AR8"/>
    <mergeCell ref="AS4:BA9"/>
    <mergeCell ref="N10:O11"/>
    <mergeCell ref="P10:P11"/>
    <mergeCell ref="AP15:AQ15"/>
    <mergeCell ref="E4:F14"/>
    <mergeCell ref="E24:F24"/>
    <mergeCell ref="W4:W21"/>
    <mergeCell ref="X4:Y11"/>
    <mergeCell ref="I2:P2"/>
    <mergeCell ref="M13:M14"/>
    <mergeCell ref="U2:AO2"/>
    <mergeCell ref="C3:D3"/>
    <mergeCell ref="G3:H3"/>
    <mergeCell ref="L3:P3"/>
    <mergeCell ref="Q3:R3"/>
    <mergeCell ref="S3:T3"/>
    <mergeCell ref="U3:V3"/>
    <mergeCell ref="X3:Y3"/>
    <mergeCell ref="Z3:AA3"/>
    <mergeCell ref="AB3:AC3"/>
    <mergeCell ref="AE3:AF3"/>
    <mergeCell ref="E3:F3"/>
    <mergeCell ref="AD4:AD16"/>
    <mergeCell ref="AE4:AF18"/>
    <mergeCell ref="AG4:AG20"/>
    <mergeCell ref="AN4:AO23"/>
    <mergeCell ref="AH4:AK13"/>
    <mergeCell ref="Z4:AA11"/>
    <mergeCell ref="Z23:AA23"/>
    <mergeCell ref="AD17:AD21"/>
    <mergeCell ref="Y17:Y18"/>
    <mergeCell ref="S18:T20"/>
  </mergeCells>
  <pageMargins left="0.196850393700787" right="0.196850393700787" top="0.196850393700787" bottom="0.196850393700787" header="0" footer="0"/>
  <pageSetup paperSize="9" fitToWidth="3" orientation="landscape" r:id="rId10"/>
  <headerFooter alignWithMargins="0"/>
  <colBreaks count="1" manualBreakCount="1">
    <brk id="20" max="37" man="1"/>
  </colBreaks>
  <drawing r:id="rId11"/>
  <legacyDrawing r:id="rId1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H69"/>
  <sheetViews>
    <sheetView showGridLines="0" topLeftCell="Z1" zoomScaleNormal="100" zoomScaleSheetLayoutView="100" workbookViewId="0">
      <selection activeCell="AC16" sqref="AC16"/>
    </sheetView>
  </sheetViews>
  <sheetFormatPr defaultColWidth="9.140625" defaultRowHeight="15"/>
  <cols>
    <col min="1" max="1" width="3" style="3255" customWidth="1"/>
    <col min="2" max="2" width="8.85546875" style="326" customWidth="1"/>
    <col min="3" max="3" width="5" style="326" customWidth="1"/>
    <col min="4" max="4" width="6" style="523" customWidth="1"/>
    <col min="5" max="5" width="12.42578125" style="326" customWidth="1"/>
    <col min="6" max="6" width="1.7109375" style="523" hidden="1" customWidth="1"/>
    <col min="7" max="7" width="6.7109375" style="1093" customWidth="1"/>
    <col min="8" max="8" width="5" style="1094" customWidth="1"/>
    <col min="9" max="9" width="5" style="1093" customWidth="1"/>
    <col min="10" max="10" width="5.7109375" style="1094" customWidth="1"/>
    <col min="11" max="11" width="5" style="1093" customWidth="1"/>
    <col min="12" max="12" width="5.42578125" style="1094" customWidth="1"/>
    <col min="13" max="13" width="5" style="326" customWidth="1"/>
    <col min="14" max="14" width="7.140625" style="523" customWidth="1"/>
    <col min="15" max="15" width="14.42578125" style="326" customWidth="1"/>
    <col min="16" max="16" width="4.140625" style="326" customWidth="1"/>
    <col min="17" max="17" width="9.140625" style="326" customWidth="1"/>
    <col min="18" max="18" width="8" style="326" customWidth="1"/>
    <col min="19" max="19" width="5.5703125" style="326" customWidth="1"/>
    <col min="20" max="20" width="5.7109375" style="326" customWidth="1"/>
    <col min="21" max="21" width="2.42578125" style="523" customWidth="1"/>
    <col min="22" max="22" width="8.28515625" style="326" customWidth="1"/>
    <col min="23" max="24" width="3.7109375" style="326" customWidth="1"/>
    <col min="25" max="25" width="2.140625" style="326" customWidth="1"/>
    <col min="26" max="26" width="11.42578125" style="326" customWidth="1"/>
    <col min="27" max="27" width="5.140625" style="326" customWidth="1"/>
    <col min="28" max="28" width="3.140625" style="326" customWidth="1"/>
    <col min="29" max="29" width="14.7109375" style="326" customWidth="1"/>
    <col min="30" max="30" width="3.140625" style="523" customWidth="1"/>
    <col min="31" max="31" width="9.7109375" style="326" customWidth="1"/>
    <col min="32" max="32" width="3.5703125" style="326" customWidth="1"/>
    <col min="33" max="33" width="1.7109375" style="326" customWidth="1"/>
    <col min="34" max="34" width="3" style="326" customWidth="1"/>
    <col min="35" max="35" width="3.42578125" style="326" customWidth="1"/>
    <col min="36" max="36" width="5.7109375" style="326" customWidth="1"/>
    <col min="37" max="37" width="1.42578125" style="326" customWidth="1"/>
    <col min="38" max="38" width="14" style="326" customWidth="1"/>
    <col min="39" max="39" width="2.7109375" style="523" customWidth="1"/>
    <col min="40" max="40" width="5" style="988" customWidth="1"/>
    <col min="41" max="41" width="13.42578125" style="963" customWidth="1"/>
    <col min="42" max="42" width="3.5703125" style="1091" customWidth="1"/>
    <col min="43" max="43" width="5.7109375" style="963" hidden="1" customWidth="1"/>
    <col min="44" max="44" width="2.7109375" style="963" hidden="1" customWidth="1"/>
    <col min="45" max="45" width="12.85546875" style="326" customWidth="1"/>
    <col min="46" max="46" width="2.5703125" style="326" customWidth="1"/>
    <col min="47" max="47" width="7.5703125" style="326" customWidth="1"/>
    <col min="48" max="48" width="8.140625" style="326" customWidth="1"/>
    <col min="49" max="49" width="15.85546875" style="326" customWidth="1"/>
    <col min="50" max="50" width="3.140625" style="1091" customWidth="1"/>
    <col min="51" max="51" width="9.7109375" style="326" customWidth="1"/>
    <col min="52" max="52" width="10.140625" style="326" customWidth="1"/>
    <col min="53" max="53" width="6.42578125" style="326" customWidth="1"/>
    <col min="54" max="54" width="6.85546875" style="326" customWidth="1"/>
    <col min="55" max="55" width="6.42578125" style="326" customWidth="1"/>
    <col min="56" max="56" width="8.140625" style="326" customWidth="1"/>
    <col min="57" max="57" width="4.7109375" style="326" customWidth="1"/>
    <col min="58" max="58" width="10.140625" style="326" customWidth="1"/>
    <col min="59" max="59" width="7" style="326" customWidth="1"/>
    <col min="60" max="60" width="2.7109375" style="326" customWidth="1"/>
    <col min="61" max="61" width="10.7109375" style="326" hidden="1" customWidth="1"/>
    <col min="62" max="62" width="2.7109375" style="326" hidden="1" customWidth="1"/>
    <col min="63" max="63" width="5" style="326" customWidth="1"/>
    <col min="64" max="64" width="9.140625" style="326" customWidth="1"/>
    <col min="65" max="65" width="5.140625" style="326" customWidth="1"/>
    <col min="66" max="16384" width="9.140625" style="326"/>
  </cols>
  <sheetData>
    <row r="1" spans="1:86" s="1014" customFormat="1" ht="18" customHeight="1" thickBot="1">
      <c r="A1" s="3248"/>
      <c r="B1" s="2772" t="s">
        <v>1253</v>
      </c>
      <c r="C1" s="1012"/>
      <c r="D1" s="1013"/>
      <c r="F1" s="1015"/>
      <c r="G1" s="1016"/>
      <c r="H1" s="1017"/>
      <c r="I1" s="1016"/>
      <c r="J1" s="1017"/>
      <c r="K1" s="1016"/>
      <c r="L1" s="1017"/>
      <c r="M1" s="1011"/>
      <c r="N1" s="1015"/>
      <c r="O1" s="1012"/>
      <c r="P1" s="1012"/>
      <c r="Q1" s="1018"/>
      <c r="R1" s="1011"/>
      <c r="S1" s="1011"/>
      <c r="T1" s="1011"/>
      <c r="U1" s="1021"/>
      <c r="V1" s="1018"/>
      <c r="W1" s="1011" t="s">
        <v>1254</v>
      </c>
      <c r="AB1" s="1019"/>
      <c r="AD1" s="1020"/>
      <c r="AE1" s="1018"/>
      <c r="AF1" s="1011"/>
      <c r="AG1" s="1011"/>
      <c r="AH1" s="1011"/>
      <c r="AI1" s="1015"/>
      <c r="AJ1" s="1011"/>
      <c r="AK1" s="1011"/>
      <c r="AL1" s="1019"/>
      <c r="AM1" s="1021"/>
      <c r="AN1" s="1022"/>
      <c r="AO1" s="1023"/>
      <c r="AP1" s="1025"/>
      <c r="AQ1" s="1024"/>
      <c r="AR1" s="1025"/>
      <c r="AU1" s="1011" t="s">
        <v>1254</v>
      </c>
      <c r="AX1" s="1026"/>
      <c r="AY1" s="1011"/>
      <c r="AZ1" s="1011"/>
      <c r="BA1" s="1011"/>
      <c r="BB1" s="1011"/>
      <c r="BC1" s="1011"/>
      <c r="BD1" s="1011"/>
      <c r="BE1" s="1011"/>
      <c r="BF1" s="1011"/>
      <c r="BG1" s="1011"/>
      <c r="BH1" s="1011"/>
      <c r="BI1" s="1011" t="s">
        <v>16</v>
      </c>
    </row>
    <row r="2" spans="1:86" s="963" customFormat="1" ht="12" customHeight="1" thickBot="1">
      <c r="A2" s="3249"/>
      <c r="B2" s="1027"/>
      <c r="C2" s="4379" t="s">
        <v>41</v>
      </c>
      <c r="D2" s="4380"/>
      <c r="E2" s="4380"/>
      <c r="F2" s="4380"/>
      <c r="G2" s="4380"/>
      <c r="H2" s="4380"/>
      <c r="I2" s="4380"/>
      <c r="J2" s="4380"/>
      <c r="K2" s="4380"/>
      <c r="L2" s="4380"/>
      <c r="M2" s="1944"/>
      <c r="N2" s="1945"/>
      <c r="O2" s="1944"/>
      <c r="P2" s="1944"/>
      <c r="Q2" s="1944"/>
      <c r="R2" s="1944"/>
      <c r="S2" s="1944"/>
      <c r="T2" s="1944"/>
      <c r="U2" s="1945"/>
      <c r="V2" s="1946"/>
      <c r="W2" s="4381" t="s">
        <v>1255</v>
      </c>
      <c r="X2" s="4382"/>
      <c r="Y2" s="4382"/>
      <c r="Z2" s="4382"/>
      <c r="AA2" s="4382"/>
      <c r="AB2" s="4382"/>
      <c r="AC2" s="4382"/>
      <c r="AD2" s="4382"/>
      <c r="AE2" s="4382"/>
      <c r="AF2" s="4382"/>
      <c r="AG2" s="4382"/>
      <c r="AH2" s="4382"/>
      <c r="AI2" s="4382"/>
      <c r="AJ2" s="4382"/>
      <c r="AK2" s="4382"/>
      <c r="AL2" s="4382"/>
      <c r="AM2" s="4382"/>
      <c r="AN2" s="4383"/>
      <c r="AO2" s="1029"/>
      <c r="AP2" s="1921"/>
      <c r="AQ2" s="1030"/>
      <c r="AR2" s="1030"/>
      <c r="AS2" s="1028"/>
      <c r="AT2" s="2480"/>
      <c r="AU2" s="1028"/>
      <c r="AV2" s="1028"/>
      <c r="AW2" s="1030"/>
      <c r="AX2" s="1031"/>
      <c r="AY2" s="4384" t="s">
        <v>1250</v>
      </c>
      <c r="AZ2" s="4385"/>
      <c r="BA2" s="4385"/>
      <c r="BB2" s="4385"/>
      <c r="BC2" s="4385"/>
      <c r="BD2" s="4385"/>
      <c r="BE2" s="4385"/>
      <c r="BF2" s="4385"/>
      <c r="BG2" s="4385"/>
      <c r="BH2" s="4386"/>
      <c r="BI2" s="4369"/>
      <c r="BJ2" s="4370"/>
      <c r="BK2" s="1032"/>
    </row>
    <row r="3" spans="1:86" s="1035" customFormat="1" ht="12.95" customHeight="1" thickBot="1">
      <c r="A3" s="3250"/>
      <c r="B3" s="1033"/>
      <c r="C3" s="4371">
        <v>4.01</v>
      </c>
      <c r="D3" s="4234"/>
      <c r="E3" s="4372">
        <v>4.0199999999999996</v>
      </c>
      <c r="F3" s="4372"/>
      <c r="G3" s="4371">
        <v>4.03</v>
      </c>
      <c r="H3" s="4234"/>
      <c r="I3" s="4371">
        <v>4.04</v>
      </c>
      <c r="J3" s="4234"/>
      <c r="K3" s="4371">
        <v>4.05</v>
      </c>
      <c r="L3" s="4373"/>
      <c r="M3" s="4374">
        <v>4.0599999999999996</v>
      </c>
      <c r="N3" s="4375"/>
      <c r="O3" s="1825">
        <v>4.07</v>
      </c>
      <c r="P3" s="1826"/>
      <c r="Q3" s="1819">
        <v>4.08</v>
      </c>
      <c r="R3" s="4376">
        <v>4.09</v>
      </c>
      <c r="S3" s="4377"/>
      <c r="T3" s="4377"/>
      <c r="U3" s="4377"/>
      <c r="V3" s="1820">
        <v>4.0999999999999996</v>
      </c>
      <c r="W3" s="4376">
        <v>4.1100000000000003</v>
      </c>
      <c r="X3" s="4377"/>
      <c r="Y3" s="4378"/>
      <c r="Z3" s="4376">
        <v>4.12</v>
      </c>
      <c r="AA3" s="4377"/>
      <c r="AB3" s="4377"/>
      <c r="AC3" s="4377"/>
      <c r="AD3" s="4378"/>
      <c r="AE3" s="1819">
        <v>4.13</v>
      </c>
      <c r="AF3" s="4376">
        <v>4.1399999999999997</v>
      </c>
      <c r="AG3" s="4377"/>
      <c r="AH3" s="4377"/>
      <c r="AI3" s="4378"/>
      <c r="AJ3" s="4376">
        <v>4.1500000000000004</v>
      </c>
      <c r="AK3" s="4377"/>
      <c r="AL3" s="4377"/>
      <c r="AM3" s="4377"/>
      <c r="AN3" s="4378"/>
      <c r="AO3" s="4376">
        <v>4.16</v>
      </c>
      <c r="AP3" s="4378"/>
      <c r="AQ3" s="3654"/>
      <c r="AR3" s="3658"/>
      <c r="AS3" s="4376">
        <v>4.17</v>
      </c>
      <c r="AT3" s="4378"/>
      <c r="AU3" s="4387">
        <v>4.18</v>
      </c>
      <c r="AV3" s="4388"/>
      <c r="AW3" s="4376">
        <v>4.1900000000000004</v>
      </c>
      <c r="AX3" s="4377"/>
      <c r="AY3" s="4390">
        <v>4.2</v>
      </c>
      <c r="AZ3" s="4391"/>
      <c r="BA3" s="4392">
        <v>4.21</v>
      </c>
      <c r="BB3" s="4393"/>
      <c r="BC3" s="4394"/>
      <c r="BD3" s="4376">
        <v>4.22</v>
      </c>
      <c r="BE3" s="4378"/>
      <c r="BF3" s="4376">
        <v>4.2300000000000004</v>
      </c>
      <c r="BG3" s="4377"/>
      <c r="BH3" s="4389"/>
      <c r="BJ3" s="1034"/>
      <c r="BK3" s="976"/>
      <c r="BL3" s="976"/>
      <c r="BM3" s="976"/>
      <c r="BN3" s="976"/>
      <c r="BO3" s="976"/>
      <c r="BP3" s="976"/>
      <c r="BQ3" s="976"/>
      <c r="BR3" s="976"/>
      <c r="BS3" s="976"/>
      <c r="BT3" s="976"/>
      <c r="BU3" s="976"/>
      <c r="BV3" s="976"/>
      <c r="BW3" s="976"/>
      <c r="BX3" s="976"/>
      <c r="BY3" s="976"/>
      <c r="BZ3" s="976"/>
      <c r="CA3" s="976"/>
      <c r="CB3" s="976"/>
      <c r="CC3" s="976"/>
      <c r="CD3" s="976"/>
      <c r="CE3" s="976"/>
      <c r="CF3" s="976"/>
      <c r="CG3" s="976"/>
      <c r="CH3" s="976"/>
    </row>
    <row r="4" spans="1:86" s="411" customFormat="1" ht="12" customHeight="1">
      <c r="A4" s="4518" t="s">
        <v>122</v>
      </c>
      <c r="B4" s="4520" t="s">
        <v>1313</v>
      </c>
      <c r="C4" s="4177" t="s">
        <v>1869</v>
      </c>
      <c r="D4" s="4178"/>
      <c r="E4" s="4527" t="s">
        <v>1899</v>
      </c>
      <c r="F4" s="4528"/>
      <c r="G4" s="4531" t="s">
        <v>1650</v>
      </c>
      <c r="H4" s="4531"/>
      <c r="I4" s="4533" t="s">
        <v>1900</v>
      </c>
      <c r="J4" s="4533"/>
      <c r="K4" s="4535" t="s">
        <v>1649</v>
      </c>
      <c r="L4" s="4536"/>
      <c r="M4" s="4177" t="s">
        <v>1842</v>
      </c>
      <c r="N4" s="4178"/>
      <c r="O4" s="4474" t="s">
        <v>1135</v>
      </c>
      <c r="P4" s="4422"/>
      <c r="Q4" s="4461" t="s">
        <v>1646</v>
      </c>
      <c r="R4" s="4539" t="s">
        <v>1840</v>
      </c>
      <c r="S4" s="4540"/>
      <c r="T4" s="4540"/>
      <c r="U4" s="4541"/>
      <c r="V4" s="4492" t="s">
        <v>1841</v>
      </c>
      <c r="W4" s="4177" t="s">
        <v>1155</v>
      </c>
      <c r="X4" s="3883"/>
      <c r="Y4" s="4178"/>
      <c r="Z4" s="4498" t="s">
        <v>1839</v>
      </c>
      <c r="AA4" s="4499"/>
      <c r="AB4" s="4499"/>
      <c r="AC4" s="4499"/>
      <c r="AD4" s="4500"/>
      <c r="AE4" s="4507" t="s">
        <v>1227</v>
      </c>
      <c r="AF4" s="4177" t="s">
        <v>1229</v>
      </c>
      <c r="AG4" s="3883"/>
      <c r="AH4" s="3883"/>
      <c r="AI4" s="4178"/>
      <c r="AJ4" s="4177" t="s">
        <v>1228</v>
      </c>
      <c r="AK4" s="3883"/>
      <c r="AL4" s="3883"/>
      <c r="AM4" s="3883"/>
      <c r="AN4" s="4178"/>
      <c r="AO4" s="4177" t="s">
        <v>13</v>
      </c>
      <c r="AP4" s="4178"/>
      <c r="AQ4" s="3934" t="s">
        <v>43</v>
      </c>
      <c r="AR4" s="4422"/>
      <c r="AS4" s="4450" t="s">
        <v>1220</v>
      </c>
      <c r="AT4" s="4451"/>
      <c r="AU4" s="4177" t="s">
        <v>1486</v>
      </c>
      <c r="AV4" s="4178"/>
      <c r="AW4" s="4177" t="s">
        <v>1221</v>
      </c>
      <c r="AX4" s="4445"/>
      <c r="AY4" s="4401" t="s">
        <v>1222</v>
      </c>
      <c r="AZ4" s="4178"/>
      <c r="BA4" s="4403" t="s">
        <v>1223</v>
      </c>
      <c r="BB4" s="4404"/>
      <c r="BC4" s="4405"/>
      <c r="BD4" s="4177" t="s">
        <v>1156</v>
      </c>
      <c r="BE4" s="4178"/>
      <c r="BF4" s="4435" t="s">
        <v>1648</v>
      </c>
      <c r="BG4" s="4436"/>
      <c r="BH4" s="4437"/>
      <c r="BK4" s="418"/>
    </row>
    <row r="5" spans="1:86" s="411" customFormat="1" ht="12" customHeight="1">
      <c r="A5" s="4519"/>
      <c r="B5" s="4521"/>
      <c r="C5" s="4091"/>
      <c r="D5" s="4092"/>
      <c r="E5" s="4529"/>
      <c r="F5" s="4530"/>
      <c r="G5" s="4532"/>
      <c r="H5" s="4532"/>
      <c r="I5" s="4534"/>
      <c r="J5" s="4534"/>
      <c r="K5" s="4537"/>
      <c r="L5" s="4538"/>
      <c r="M5" s="4091"/>
      <c r="N5" s="4092"/>
      <c r="O5" s="4042"/>
      <c r="P5" s="4043"/>
      <c r="Q5" s="4462"/>
      <c r="R5" s="4542"/>
      <c r="S5" s="4543"/>
      <c r="T5" s="4543"/>
      <c r="U5" s="4544"/>
      <c r="V5" s="4493"/>
      <c r="W5" s="4091"/>
      <c r="X5" s="3884"/>
      <c r="Y5" s="4092"/>
      <c r="Z5" s="4501"/>
      <c r="AA5" s="4502"/>
      <c r="AB5" s="4502"/>
      <c r="AC5" s="4502"/>
      <c r="AD5" s="4503"/>
      <c r="AE5" s="4508"/>
      <c r="AF5" s="4091"/>
      <c r="AG5" s="3884"/>
      <c r="AH5" s="3884"/>
      <c r="AI5" s="4092"/>
      <c r="AJ5" s="4091"/>
      <c r="AK5" s="3884"/>
      <c r="AL5" s="3884"/>
      <c r="AM5" s="3884"/>
      <c r="AN5" s="4092"/>
      <c r="AO5" s="4091"/>
      <c r="AP5" s="4092"/>
      <c r="AQ5" s="3935"/>
      <c r="AR5" s="4043"/>
      <c r="AS5" s="4452"/>
      <c r="AT5" s="4453"/>
      <c r="AU5" s="4091"/>
      <c r="AV5" s="4092"/>
      <c r="AW5" s="4091"/>
      <c r="AX5" s="3981"/>
      <c r="AY5" s="4402"/>
      <c r="AZ5" s="4092"/>
      <c r="BA5" s="4406"/>
      <c r="BB5" s="4407"/>
      <c r="BC5" s="4408"/>
      <c r="BD5" s="4091"/>
      <c r="BE5" s="4092"/>
      <c r="BF5" s="4438"/>
      <c r="BG5" s="4439"/>
      <c r="BH5" s="4440"/>
      <c r="BK5" s="418"/>
    </row>
    <row r="6" spans="1:86" s="411" customFormat="1" ht="12" customHeight="1">
      <c r="A6" s="4519"/>
      <c r="B6" s="4521"/>
      <c r="C6" s="4091"/>
      <c r="D6" s="4092"/>
      <c r="E6" s="4529"/>
      <c r="F6" s="4530"/>
      <c r="G6" s="4532"/>
      <c r="H6" s="4532"/>
      <c r="I6" s="4534"/>
      <c r="J6" s="4534"/>
      <c r="K6" s="4537"/>
      <c r="L6" s="4538"/>
      <c r="M6" s="4091"/>
      <c r="N6" s="4092"/>
      <c r="O6" s="4042"/>
      <c r="P6" s="4043"/>
      <c r="Q6" s="4462"/>
      <c r="R6" s="4542"/>
      <c r="S6" s="4543"/>
      <c r="T6" s="4543"/>
      <c r="U6" s="4544"/>
      <c r="V6" s="4493"/>
      <c r="W6" s="4091"/>
      <c r="X6" s="3884"/>
      <c r="Y6" s="4092"/>
      <c r="Z6" s="4501"/>
      <c r="AA6" s="4502"/>
      <c r="AB6" s="4502"/>
      <c r="AC6" s="4502"/>
      <c r="AD6" s="4503"/>
      <c r="AE6" s="4508"/>
      <c r="AF6" s="4091"/>
      <c r="AG6" s="3884"/>
      <c r="AH6" s="3884"/>
      <c r="AI6" s="4092"/>
      <c r="AJ6" s="4091"/>
      <c r="AK6" s="3884"/>
      <c r="AL6" s="3884"/>
      <c r="AM6" s="3884"/>
      <c r="AN6" s="4092"/>
      <c r="AO6" s="4091"/>
      <c r="AP6" s="4092"/>
      <c r="AQ6" s="3935"/>
      <c r="AR6" s="4043"/>
      <c r="AS6" s="4452"/>
      <c r="AT6" s="4453"/>
      <c r="AU6" s="4091"/>
      <c r="AV6" s="4092"/>
      <c r="AW6" s="4091"/>
      <c r="AX6" s="3981"/>
      <c r="AY6" s="4402"/>
      <c r="AZ6" s="4092"/>
      <c r="BA6" s="4406"/>
      <c r="BB6" s="4407"/>
      <c r="BC6" s="4408"/>
      <c r="BD6" s="4091"/>
      <c r="BE6" s="4092"/>
      <c r="BF6" s="4438"/>
      <c r="BG6" s="4439"/>
      <c r="BH6" s="4440"/>
      <c r="BK6" s="418"/>
    </row>
    <row r="7" spans="1:86" s="411" customFormat="1" ht="12" customHeight="1">
      <c r="A7" s="4519"/>
      <c r="B7" s="4521"/>
      <c r="C7" s="4091"/>
      <c r="D7" s="4092"/>
      <c r="E7" s="4529"/>
      <c r="F7" s="4530"/>
      <c r="G7" s="4532"/>
      <c r="H7" s="4532"/>
      <c r="I7" s="4534"/>
      <c r="J7" s="4534"/>
      <c r="K7" s="4537"/>
      <c r="L7" s="4538"/>
      <c r="M7" s="4091"/>
      <c r="N7" s="4092"/>
      <c r="O7" s="4042"/>
      <c r="P7" s="4043"/>
      <c r="Q7" s="4462"/>
      <c r="R7" s="4542"/>
      <c r="S7" s="4543"/>
      <c r="T7" s="4543"/>
      <c r="U7" s="4544"/>
      <c r="V7" s="4493"/>
      <c r="W7" s="4091"/>
      <c r="X7" s="3884"/>
      <c r="Y7" s="4092"/>
      <c r="Z7" s="4501"/>
      <c r="AA7" s="4502"/>
      <c r="AB7" s="4502"/>
      <c r="AC7" s="4502"/>
      <c r="AD7" s="4503"/>
      <c r="AE7" s="4508"/>
      <c r="AF7" s="4091"/>
      <c r="AG7" s="3884"/>
      <c r="AH7" s="3884"/>
      <c r="AI7" s="4092"/>
      <c r="AJ7" s="4487"/>
      <c r="AK7" s="4488"/>
      <c r="AL7" s="4488"/>
      <c r="AM7" s="4488"/>
      <c r="AN7" s="4489"/>
      <c r="AO7" s="4091"/>
      <c r="AP7" s="4092"/>
      <c r="AQ7" s="3935"/>
      <c r="AR7" s="4043"/>
      <c r="AS7" s="4452"/>
      <c r="AT7" s="4453"/>
      <c r="AU7" s="4091"/>
      <c r="AV7" s="4092"/>
      <c r="AW7" s="4091"/>
      <c r="AX7" s="3981"/>
      <c r="AY7" s="4402"/>
      <c r="AZ7" s="4092"/>
      <c r="BA7" s="4406"/>
      <c r="BB7" s="4407"/>
      <c r="BC7" s="4408"/>
      <c r="BD7" s="4091"/>
      <c r="BE7" s="4092"/>
      <c r="BF7" s="4438"/>
      <c r="BG7" s="4439"/>
      <c r="BH7" s="4440"/>
      <c r="BK7" s="418"/>
    </row>
    <row r="8" spans="1:86" s="411" customFormat="1" ht="12" customHeight="1">
      <c r="A8" s="4519"/>
      <c r="B8" s="4521"/>
      <c r="C8" s="4091"/>
      <c r="D8" s="4092"/>
      <c r="E8" s="4529"/>
      <c r="F8" s="4530"/>
      <c r="G8" s="4532"/>
      <c r="H8" s="4532"/>
      <c r="I8" s="4534"/>
      <c r="J8" s="4534"/>
      <c r="K8" s="4537"/>
      <c r="L8" s="4538"/>
      <c r="M8" s="4091"/>
      <c r="N8" s="4092"/>
      <c r="O8" s="4042"/>
      <c r="P8" s="4043"/>
      <c r="Q8" s="4462"/>
      <c r="R8" s="4542"/>
      <c r="S8" s="4543"/>
      <c r="T8" s="4543"/>
      <c r="U8" s="4544"/>
      <c r="V8" s="4494"/>
      <c r="W8" s="4091"/>
      <c r="X8" s="3884"/>
      <c r="Y8" s="4092"/>
      <c r="Z8" s="4504"/>
      <c r="AA8" s="4505"/>
      <c r="AB8" s="4505"/>
      <c r="AC8" s="4505"/>
      <c r="AD8" s="4506"/>
      <c r="AE8" s="4508"/>
      <c r="AF8" s="4091"/>
      <c r="AG8" s="3884"/>
      <c r="AH8" s="3884"/>
      <c r="AI8" s="4092"/>
      <c r="AJ8" s="4485" t="s">
        <v>959</v>
      </c>
      <c r="AK8" s="4486"/>
      <c r="AL8" s="4486"/>
      <c r="AM8" s="4486"/>
      <c r="AN8" s="1892">
        <v>1</v>
      </c>
      <c r="AO8" s="1040"/>
      <c r="AP8" s="1531"/>
      <c r="AQ8" s="3935"/>
      <c r="AR8" s="4043"/>
      <c r="AS8" s="4452"/>
      <c r="AT8" s="4453"/>
      <c r="AU8" s="4091"/>
      <c r="AV8" s="4092"/>
      <c r="AW8" s="1040"/>
      <c r="AX8" s="1530"/>
      <c r="AY8" s="4402"/>
      <c r="AZ8" s="4092"/>
      <c r="BA8" s="4406"/>
      <c r="BB8" s="4407"/>
      <c r="BC8" s="4408"/>
      <c r="BD8" s="4091"/>
      <c r="BE8" s="4092"/>
      <c r="BF8" s="4438"/>
      <c r="BG8" s="4439"/>
      <c r="BH8" s="4440"/>
      <c r="BK8" s="418"/>
    </row>
    <row r="9" spans="1:86" s="411" customFormat="1" ht="12" customHeight="1">
      <c r="A9" s="4519"/>
      <c r="B9" s="4521"/>
      <c r="C9" s="4091"/>
      <c r="D9" s="4092"/>
      <c r="E9" s="4529"/>
      <c r="F9" s="4530"/>
      <c r="G9" s="4532"/>
      <c r="H9" s="4532"/>
      <c r="I9" s="4534"/>
      <c r="J9" s="4534"/>
      <c r="K9" s="4537"/>
      <c r="L9" s="4538"/>
      <c r="M9" s="4091"/>
      <c r="N9" s="4092"/>
      <c r="O9" s="4042"/>
      <c r="P9" s="4043"/>
      <c r="Q9" s="4462"/>
      <c r="R9" s="1922" t="s">
        <v>14</v>
      </c>
      <c r="S9" s="337"/>
      <c r="T9" s="418"/>
      <c r="U9" s="964"/>
      <c r="V9" s="4494"/>
      <c r="W9" s="4091"/>
      <c r="X9" s="3884"/>
      <c r="Y9" s="4092"/>
      <c r="Z9" s="1829" t="s">
        <v>17</v>
      </c>
      <c r="AA9" s="1830"/>
      <c r="AB9" s="1831"/>
      <c r="AC9" s="4546" t="s">
        <v>1142</v>
      </c>
      <c r="AD9" s="4468">
        <v>9</v>
      </c>
      <c r="AE9" s="4508"/>
      <c r="AF9" s="4091"/>
      <c r="AG9" s="3884"/>
      <c r="AH9" s="3884"/>
      <c r="AI9" s="4092"/>
      <c r="AJ9" s="4485" t="s">
        <v>1205</v>
      </c>
      <c r="AK9" s="4486"/>
      <c r="AL9" s="4486"/>
      <c r="AM9" s="4486"/>
      <c r="AN9" s="1892">
        <v>2</v>
      </c>
      <c r="AO9" s="1040"/>
      <c r="AP9" s="1531"/>
      <c r="AQ9" s="3935"/>
      <c r="AR9" s="4043"/>
      <c r="AS9" s="4454"/>
      <c r="AT9" s="4455"/>
      <c r="AU9" s="4091"/>
      <c r="AV9" s="4092"/>
      <c r="AW9" s="1832" t="s">
        <v>1154</v>
      </c>
      <c r="AX9" s="1833">
        <v>1</v>
      </c>
      <c r="AY9" s="4402"/>
      <c r="AZ9" s="4092"/>
      <c r="BA9" s="4406"/>
      <c r="BB9" s="4407"/>
      <c r="BC9" s="4408"/>
      <c r="BD9" s="4091"/>
      <c r="BE9" s="4092"/>
      <c r="BF9" s="4438"/>
      <c r="BG9" s="4439"/>
      <c r="BH9" s="4440"/>
    </row>
    <row r="10" spans="1:86" s="411" customFormat="1" ht="12" customHeight="1">
      <c r="A10" s="4519"/>
      <c r="B10" s="4521"/>
      <c r="C10" s="4091"/>
      <c r="D10" s="4092"/>
      <c r="E10" s="4529"/>
      <c r="F10" s="4530"/>
      <c r="G10" s="4532"/>
      <c r="H10" s="4532"/>
      <c r="I10" s="4534"/>
      <c r="J10" s="4534"/>
      <c r="K10" s="4537"/>
      <c r="L10" s="4538"/>
      <c r="M10" s="4091"/>
      <c r="N10" s="4092"/>
      <c r="O10" s="4447"/>
      <c r="P10" s="4475"/>
      <c r="Q10" s="4462"/>
      <c r="R10" s="4477" t="s">
        <v>944</v>
      </c>
      <c r="S10" s="4478"/>
      <c r="T10" s="4478"/>
      <c r="U10" s="1923">
        <v>1</v>
      </c>
      <c r="V10" s="4494"/>
      <c r="W10" s="4091"/>
      <c r="X10" s="3884"/>
      <c r="Y10" s="3884"/>
      <c r="Z10" s="1834" t="s">
        <v>951</v>
      </c>
      <c r="AA10" s="1835"/>
      <c r="AB10" s="2473">
        <v>1</v>
      </c>
      <c r="AC10" s="4546"/>
      <c r="AD10" s="4469"/>
      <c r="AE10" s="4508"/>
      <c r="AF10" s="4091"/>
      <c r="AG10" s="3884"/>
      <c r="AH10" s="3884"/>
      <c r="AI10" s="4092"/>
      <c r="AJ10" s="1836" t="s">
        <v>960</v>
      </c>
      <c r="AK10" s="1837"/>
      <c r="AL10" s="1837"/>
      <c r="AM10" s="1838"/>
      <c r="AN10" s="2478">
        <v>3</v>
      </c>
      <c r="AO10" s="4446" t="s">
        <v>1224</v>
      </c>
      <c r="AP10" s="4472">
        <v>1</v>
      </c>
      <c r="AQ10" s="3935"/>
      <c r="AR10" s="4043"/>
      <c r="AS10" s="1794" t="s">
        <v>965</v>
      </c>
      <c r="AT10" s="2481" t="s">
        <v>486</v>
      </c>
      <c r="AU10" s="4091"/>
      <c r="AV10" s="4092"/>
      <c r="AW10" s="4446" t="s">
        <v>1153</v>
      </c>
      <c r="AX10" s="1914">
        <v>2</v>
      </c>
      <c r="AY10" s="4402"/>
      <c r="AZ10" s="4092"/>
      <c r="BA10" s="4406"/>
      <c r="BB10" s="4407"/>
      <c r="BC10" s="4408"/>
      <c r="BD10" s="4091"/>
      <c r="BE10" s="4092"/>
      <c r="BF10" s="4438"/>
      <c r="BG10" s="4439"/>
      <c r="BH10" s="4440"/>
    </row>
    <row r="11" spans="1:86" s="411" customFormat="1" ht="13.5" customHeight="1">
      <c r="A11" s="4519"/>
      <c r="B11" s="4521"/>
      <c r="C11" s="4091"/>
      <c r="D11" s="4092"/>
      <c r="E11" s="4529"/>
      <c r="F11" s="4530"/>
      <c r="G11" s="4532"/>
      <c r="H11" s="4532"/>
      <c r="I11" s="4534"/>
      <c r="J11" s="4534"/>
      <c r="K11" s="4537"/>
      <c r="L11" s="4538"/>
      <c r="M11" s="4091"/>
      <c r="N11" s="4092"/>
      <c r="O11" s="1821" t="s">
        <v>1129</v>
      </c>
      <c r="P11" s="2799" t="s">
        <v>486</v>
      </c>
      <c r="Q11" s="4462"/>
      <c r="R11" s="1938" t="s">
        <v>1127</v>
      </c>
      <c r="S11" s="1939"/>
      <c r="T11" s="1939"/>
      <c r="U11" s="1924">
        <v>2</v>
      </c>
      <c r="V11" s="4495"/>
      <c r="W11" s="4091"/>
      <c r="X11" s="3884"/>
      <c r="Y11" s="3884"/>
      <c r="Z11" s="4464" t="s">
        <v>1202</v>
      </c>
      <c r="AA11" s="4465"/>
      <c r="AB11" s="4481">
        <v>2</v>
      </c>
      <c r="AC11" s="4483" t="s">
        <v>1139</v>
      </c>
      <c r="AD11" s="4468">
        <v>10</v>
      </c>
      <c r="AE11" s="4508"/>
      <c r="AF11" s="4091"/>
      <c r="AG11" s="3884"/>
      <c r="AH11" s="3884"/>
      <c r="AI11" s="4092"/>
      <c r="AJ11" s="1839" t="s">
        <v>1482</v>
      </c>
      <c r="AK11" s="1840"/>
      <c r="AL11" s="1840"/>
      <c r="AM11" s="1042"/>
      <c r="AN11" s="2478">
        <v>4</v>
      </c>
      <c r="AO11" s="4042"/>
      <c r="AP11" s="4473"/>
      <c r="AQ11" s="3935"/>
      <c r="AR11" s="4043"/>
      <c r="AS11" s="1553" t="s">
        <v>49</v>
      </c>
      <c r="AT11" s="2475">
        <v>2</v>
      </c>
      <c r="AU11" s="4058" t="s">
        <v>1487</v>
      </c>
      <c r="AV11" s="4060"/>
      <c r="AW11" s="4447"/>
      <c r="AX11" s="1915"/>
      <c r="AY11" s="4402"/>
      <c r="AZ11" s="4092"/>
      <c r="BA11" s="4406"/>
      <c r="BB11" s="4407"/>
      <c r="BC11" s="4408"/>
      <c r="BD11" s="1841"/>
      <c r="BE11" s="1508"/>
      <c r="BF11" s="4438"/>
      <c r="BG11" s="4439"/>
      <c r="BH11" s="4440"/>
      <c r="BI11" s="966"/>
      <c r="BJ11" s="26"/>
    </row>
    <row r="12" spans="1:86" s="411" customFormat="1" ht="12" customHeight="1">
      <c r="A12" s="4519"/>
      <c r="B12" s="4521"/>
      <c r="C12" s="4091"/>
      <c r="D12" s="4092"/>
      <c r="E12" s="4529"/>
      <c r="F12" s="4530"/>
      <c r="G12" s="4532"/>
      <c r="H12" s="4532"/>
      <c r="I12" s="4534"/>
      <c r="J12" s="4534"/>
      <c r="K12" s="4537"/>
      <c r="L12" s="4538"/>
      <c r="M12" s="4091"/>
      <c r="N12" s="4092"/>
      <c r="O12" s="1822" t="s">
        <v>12</v>
      </c>
      <c r="P12" s="2800">
        <v>4.09</v>
      </c>
      <c r="Q12" s="4462"/>
      <c r="R12" s="1938" t="s">
        <v>1125</v>
      </c>
      <c r="S12" s="1939"/>
      <c r="T12" s="1939"/>
      <c r="U12" s="1924">
        <v>3</v>
      </c>
      <c r="V12" s="4495"/>
      <c r="W12" s="4091"/>
      <c r="X12" s="3884"/>
      <c r="Y12" s="3884"/>
      <c r="Z12" s="4464"/>
      <c r="AA12" s="4465"/>
      <c r="AB12" s="4482"/>
      <c r="AC12" s="4484"/>
      <c r="AD12" s="4469"/>
      <c r="AE12" s="4508"/>
      <c r="AF12" s="4091"/>
      <c r="AG12" s="3884"/>
      <c r="AH12" s="3884"/>
      <c r="AI12" s="4092"/>
      <c r="AJ12" s="1839" t="s">
        <v>961</v>
      </c>
      <c r="AK12" s="1840"/>
      <c r="AL12" s="1840"/>
      <c r="AM12" s="1042"/>
      <c r="AN12" s="1892">
        <v>5</v>
      </c>
      <c r="AO12" s="1552" t="s">
        <v>1146</v>
      </c>
      <c r="AP12" s="1917">
        <v>2</v>
      </c>
      <c r="AQ12" s="3935"/>
      <c r="AR12" s="4043"/>
      <c r="AS12" s="2795" t="s">
        <v>1647</v>
      </c>
      <c r="AT12" s="2482">
        <v>3</v>
      </c>
      <c r="AU12" s="4058"/>
      <c r="AV12" s="4060"/>
      <c r="AW12" s="1739" t="s">
        <v>1151</v>
      </c>
      <c r="AX12" s="1847">
        <v>3</v>
      </c>
      <c r="AY12" s="4402"/>
      <c r="AZ12" s="4092"/>
      <c r="BA12" s="4352" t="s">
        <v>1870</v>
      </c>
      <c r="BB12" s="4353"/>
      <c r="BC12" s="4354"/>
      <c r="BD12" s="1842"/>
      <c r="BE12" s="1718"/>
      <c r="BF12" s="4438"/>
      <c r="BG12" s="4439"/>
      <c r="BH12" s="4440"/>
      <c r="BI12" s="418"/>
      <c r="BJ12" s="964"/>
    </row>
    <row r="13" spans="1:86" s="411" customFormat="1" ht="30" customHeight="1">
      <c r="A13" s="4519"/>
      <c r="B13" s="4521"/>
      <c r="C13" s="4091"/>
      <c r="D13" s="4092"/>
      <c r="E13" s="4529"/>
      <c r="F13" s="4530"/>
      <c r="G13" s="4532"/>
      <c r="H13" s="4532"/>
      <c r="I13" s="4534"/>
      <c r="J13" s="4534"/>
      <c r="K13" s="4537"/>
      <c r="L13" s="4538"/>
      <c r="M13" s="4091"/>
      <c r="N13" s="4092"/>
      <c r="O13" s="1792" t="s">
        <v>1120</v>
      </c>
      <c r="P13" s="2799" t="s">
        <v>487</v>
      </c>
      <c r="Q13" s="4462"/>
      <c r="R13" s="1938" t="s">
        <v>945</v>
      </c>
      <c r="S13" s="1939"/>
      <c r="T13" s="1939"/>
      <c r="U13" s="1923">
        <v>4</v>
      </c>
      <c r="V13" s="4495"/>
      <c r="W13" s="4091"/>
      <c r="X13" s="3884"/>
      <c r="Y13" s="3884"/>
      <c r="Z13" s="4464" t="s">
        <v>952</v>
      </c>
      <c r="AA13" s="4465"/>
      <c r="AB13" s="4468">
        <v>3</v>
      </c>
      <c r="AC13" s="1843" t="s">
        <v>1914</v>
      </c>
      <c r="AD13" s="1844">
        <v>11</v>
      </c>
      <c r="AE13" s="4508"/>
      <c r="AF13" s="4091"/>
      <c r="AG13" s="3884"/>
      <c r="AH13" s="3884"/>
      <c r="AI13" s="4092"/>
      <c r="AJ13" s="1845" t="s">
        <v>962</v>
      </c>
      <c r="AK13" s="1846"/>
      <c r="AL13" s="1846"/>
      <c r="AM13" s="1494"/>
      <c r="AN13" s="1892">
        <v>6</v>
      </c>
      <c r="AO13" s="4446" t="s">
        <v>1147</v>
      </c>
      <c r="AP13" s="4470">
        <v>3</v>
      </c>
      <c r="AQ13" s="3935"/>
      <c r="AR13" s="4043"/>
      <c r="AS13" s="1553" t="s">
        <v>966</v>
      </c>
      <c r="AT13" s="1910">
        <v>4</v>
      </c>
      <c r="AU13" s="4058"/>
      <c r="AV13" s="4060"/>
      <c r="AW13" s="1739" t="s">
        <v>1152</v>
      </c>
      <c r="AX13" s="1833">
        <v>4</v>
      </c>
      <c r="AY13" s="4402"/>
      <c r="AZ13" s="4092"/>
      <c r="BA13" s="4352"/>
      <c r="BB13" s="4353"/>
      <c r="BC13" s="4354"/>
      <c r="BD13" s="1842"/>
      <c r="BE13" s="1718"/>
      <c r="BF13" s="4438"/>
      <c r="BG13" s="4439"/>
      <c r="BH13" s="4440"/>
      <c r="BI13" s="995"/>
      <c r="BJ13" s="1036"/>
    </row>
    <row r="14" spans="1:86" s="411" customFormat="1" ht="31.5" customHeight="1">
      <c r="A14" s="4519"/>
      <c r="B14" s="4521"/>
      <c r="C14" s="4091"/>
      <c r="D14" s="4092"/>
      <c r="E14" s="2807"/>
      <c r="F14" s="2808"/>
      <c r="G14" s="1037"/>
      <c r="H14" s="941"/>
      <c r="I14" s="4534"/>
      <c r="J14" s="4534"/>
      <c r="K14" s="4537"/>
      <c r="L14" s="4538"/>
      <c r="M14" s="4091"/>
      <c r="N14" s="4092"/>
      <c r="O14" s="2789" t="s">
        <v>1121</v>
      </c>
      <c r="P14" s="2799" t="s">
        <v>488</v>
      </c>
      <c r="Q14" s="4462"/>
      <c r="R14" s="1938" t="s">
        <v>946</v>
      </c>
      <c r="S14" s="1939"/>
      <c r="T14" s="1939"/>
      <c r="U14" s="1923">
        <v>5</v>
      </c>
      <c r="V14" s="4495"/>
      <c r="W14" s="4091"/>
      <c r="X14" s="3884"/>
      <c r="Y14" s="3884"/>
      <c r="Z14" s="4464"/>
      <c r="AA14" s="4465"/>
      <c r="AB14" s="4469"/>
      <c r="AC14" s="1848" t="s">
        <v>1140</v>
      </c>
      <c r="AD14" s="4468">
        <v>12</v>
      </c>
      <c r="AE14" s="4508"/>
      <c r="AF14" s="1842"/>
      <c r="AG14" s="1472"/>
      <c r="AH14" s="1718"/>
      <c r="AI14" s="1849"/>
      <c r="AJ14" s="4511" t="s">
        <v>1143</v>
      </c>
      <c r="AK14" s="4512"/>
      <c r="AL14" s="4512"/>
      <c r="AM14" s="4512"/>
      <c r="AN14" s="4513"/>
      <c r="AO14" s="4042"/>
      <c r="AP14" s="4471"/>
      <c r="AQ14" s="3935"/>
      <c r="AR14" s="4043"/>
      <c r="AS14" s="1553" t="s">
        <v>32</v>
      </c>
      <c r="AT14" s="1910">
        <v>5</v>
      </c>
      <c r="AU14" s="4058"/>
      <c r="AV14" s="4060"/>
      <c r="AW14" s="1739" t="s">
        <v>1249</v>
      </c>
      <c r="AX14" s="1833">
        <v>5</v>
      </c>
      <c r="AY14" s="4402"/>
      <c r="AZ14" s="4092"/>
      <c r="BA14" s="3425"/>
      <c r="BB14" s="3426"/>
      <c r="BC14" s="3427"/>
      <c r="BD14" s="1842"/>
      <c r="BE14" s="1718"/>
      <c r="BF14" s="4438"/>
      <c r="BG14" s="4439"/>
      <c r="BH14" s="4440"/>
      <c r="BI14" s="995"/>
      <c r="BJ14" s="1038"/>
    </row>
    <row r="15" spans="1:86" s="411" customFormat="1" ht="14.25" customHeight="1">
      <c r="A15" s="4519"/>
      <c r="B15" s="4521"/>
      <c r="E15" s="2809"/>
      <c r="F15" s="2809"/>
      <c r="H15" s="2750"/>
      <c r="N15" s="1039"/>
      <c r="O15" s="411" t="s">
        <v>1631</v>
      </c>
      <c r="P15" s="2801" t="s">
        <v>489</v>
      </c>
      <c r="Q15" s="4462"/>
      <c r="R15" s="1938" t="s">
        <v>947</v>
      </c>
      <c r="S15" s="1939"/>
      <c r="T15" s="1939"/>
      <c r="U15" s="1923">
        <v>6</v>
      </c>
      <c r="V15" s="4495"/>
      <c r="W15" s="4091"/>
      <c r="X15" s="3884"/>
      <c r="Y15" s="3884"/>
      <c r="Z15" s="1834" t="s">
        <v>1137</v>
      </c>
      <c r="AA15" s="1835"/>
      <c r="AB15" s="2474">
        <v>4</v>
      </c>
      <c r="AC15" s="1851" t="s">
        <v>954</v>
      </c>
      <c r="AD15" s="4469"/>
      <c r="AE15" s="4508"/>
      <c r="AF15" s="1852"/>
      <c r="AG15" s="1853"/>
      <c r="AH15" s="1853"/>
      <c r="AI15" s="1854"/>
      <c r="AJ15" s="4431" t="s">
        <v>1483</v>
      </c>
      <c r="AK15" s="4432"/>
      <c r="AL15" s="4432"/>
      <c r="AM15" s="2606">
        <v>7</v>
      </c>
      <c r="AN15" s="2793" t="s">
        <v>1576</v>
      </c>
      <c r="AO15" s="1552" t="s">
        <v>1148</v>
      </c>
      <c r="AP15" s="1918">
        <v>4</v>
      </c>
      <c r="AQ15" s="3935"/>
      <c r="AR15" s="4043"/>
      <c r="AS15" s="4397" t="s">
        <v>967</v>
      </c>
      <c r="AT15" s="4399">
        <v>6</v>
      </c>
      <c r="AU15" s="2566"/>
      <c r="AV15" s="2568"/>
      <c r="AW15" s="4456" t="s">
        <v>1225</v>
      </c>
      <c r="AX15" s="4448">
        <v>6</v>
      </c>
      <c r="AY15" s="4402"/>
      <c r="AZ15" s="4092"/>
      <c r="BA15" s="4352" t="s">
        <v>1819</v>
      </c>
      <c r="BB15" s="4353"/>
      <c r="BC15" s="4354"/>
      <c r="BD15" s="1852"/>
      <c r="BE15" s="1853"/>
      <c r="BF15" s="4042" t="s">
        <v>821</v>
      </c>
      <c r="BG15" s="3935"/>
      <c r="BH15" s="4444"/>
      <c r="BI15" s="4395"/>
      <c r="BJ15" s="4396"/>
    </row>
    <row r="16" spans="1:86" s="411" customFormat="1" ht="13.5" customHeight="1">
      <c r="A16" s="4519"/>
      <c r="B16" s="4521"/>
      <c r="C16" s="1040"/>
      <c r="D16" s="1041"/>
      <c r="N16" s="1039"/>
      <c r="O16" s="2790" t="s">
        <v>943</v>
      </c>
      <c r="P16" s="2802" t="s">
        <v>490</v>
      </c>
      <c r="Q16" s="4462"/>
      <c r="R16" s="1938" t="s">
        <v>1203</v>
      </c>
      <c r="S16" s="1939"/>
      <c r="T16" s="1939"/>
      <c r="U16" s="1923">
        <v>7</v>
      </c>
      <c r="V16" s="1855"/>
      <c r="W16" s="4091"/>
      <c r="X16" s="3884"/>
      <c r="Y16" s="3884"/>
      <c r="Z16" s="4464" t="s">
        <v>1256</v>
      </c>
      <c r="AA16" s="4465"/>
      <c r="AB16" s="4468">
        <v>5</v>
      </c>
      <c r="AC16" s="1829" t="s">
        <v>15</v>
      </c>
      <c r="AD16" s="1858"/>
      <c r="AE16" s="4508"/>
      <c r="AF16" s="1856"/>
      <c r="AG16" s="1857"/>
      <c r="AH16" s="1857"/>
      <c r="AI16" s="1854"/>
      <c r="AJ16" s="4433"/>
      <c r="AK16" s="4434"/>
      <c r="AL16" s="4434"/>
      <c r="AM16" s="2607"/>
      <c r="AN16" s="2608"/>
      <c r="AO16" s="2794" t="s">
        <v>1149</v>
      </c>
      <c r="AP16" s="1919">
        <v>5</v>
      </c>
      <c r="AQ16" s="3935"/>
      <c r="AR16" s="4043"/>
      <c r="AS16" s="4397" t="s">
        <v>967</v>
      </c>
      <c r="AT16" s="4399"/>
      <c r="AU16" s="2566"/>
      <c r="AV16" s="2568"/>
      <c r="AW16" s="4456" t="s">
        <v>900</v>
      </c>
      <c r="AX16" s="4449"/>
      <c r="AY16" s="4402"/>
      <c r="AZ16" s="4092"/>
      <c r="BA16" s="4352"/>
      <c r="BB16" s="4353"/>
      <c r="BC16" s="4354"/>
      <c r="BD16" s="1856"/>
      <c r="BE16" s="1857"/>
      <c r="BF16" s="4042"/>
      <c r="BG16" s="3935"/>
      <c r="BH16" s="4444"/>
      <c r="BI16" s="4395"/>
      <c r="BJ16" s="4396"/>
    </row>
    <row r="17" spans="1:62" s="411" customFormat="1" ht="12" customHeight="1">
      <c r="A17" s="4519"/>
      <c r="B17" s="4521"/>
      <c r="C17" s="1040"/>
      <c r="D17" s="1041"/>
      <c r="E17" s="4463" t="s">
        <v>1131</v>
      </c>
      <c r="F17" s="4463" t="s">
        <v>970</v>
      </c>
      <c r="G17" s="4463" t="s">
        <v>970</v>
      </c>
      <c r="H17" s="1042"/>
      <c r="I17" s="1043">
        <v>1</v>
      </c>
      <c r="J17" s="1044"/>
      <c r="K17" s="1045"/>
      <c r="L17" s="1045"/>
      <c r="M17" s="1041"/>
      <c r="N17" s="1039"/>
      <c r="O17" s="1551" t="s">
        <v>1122</v>
      </c>
      <c r="P17" s="2803" t="s">
        <v>491</v>
      </c>
      <c r="Q17" s="4462"/>
      <c r="R17" s="1940" t="s">
        <v>1126</v>
      </c>
      <c r="S17" s="1934"/>
      <c r="T17" s="1934"/>
      <c r="U17" s="1924">
        <v>8</v>
      </c>
      <c r="V17" s="1855"/>
      <c r="W17" s="4091"/>
      <c r="X17" s="3884"/>
      <c r="Y17" s="3884"/>
      <c r="Z17" s="4464"/>
      <c r="AA17" s="4465"/>
      <c r="AB17" s="4469"/>
      <c r="AC17" s="1834" t="s">
        <v>955</v>
      </c>
      <c r="AD17" s="1844">
        <v>13</v>
      </c>
      <c r="AE17" s="4508"/>
      <c r="AF17" s="1687"/>
      <c r="AG17" s="1859"/>
      <c r="AH17" s="1859"/>
      <c r="AI17" s="1860"/>
      <c r="AJ17" s="2603" t="s">
        <v>963</v>
      </c>
      <c r="AK17" s="2604"/>
      <c r="AL17" s="2604"/>
      <c r="AM17" s="2605"/>
      <c r="AN17" s="2293">
        <v>8</v>
      </c>
      <c r="AO17" s="1912"/>
      <c r="AP17" s="1911"/>
      <c r="AQ17" s="4459" t="s">
        <v>40</v>
      </c>
      <c r="AR17" s="4460"/>
      <c r="AS17" s="4397" t="s">
        <v>1159</v>
      </c>
      <c r="AT17" s="4399">
        <v>7</v>
      </c>
      <c r="AU17" s="4457" t="s">
        <v>1576</v>
      </c>
      <c r="AV17" s="4458"/>
      <c r="AW17" s="1869" t="s">
        <v>1247</v>
      </c>
      <c r="AX17" s="1861">
        <v>7</v>
      </c>
      <c r="AY17" s="4402"/>
      <c r="AZ17" s="4092"/>
      <c r="BA17" s="1859"/>
      <c r="BB17" s="1859"/>
      <c r="BC17" s="1859"/>
      <c r="BD17" s="1687"/>
      <c r="BE17" s="1859"/>
      <c r="BF17" s="4042"/>
      <c r="BG17" s="3935"/>
      <c r="BH17" s="4444"/>
      <c r="BI17" s="4395"/>
      <c r="BJ17" s="4396"/>
    </row>
    <row r="18" spans="1:62" s="411" customFormat="1" ht="12" customHeight="1">
      <c r="A18" s="4519"/>
      <c r="B18" s="4521"/>
      <c r="C18" s="1040"/>
      <c r="D18" s="1044"/>
      <c r="E18" s="4463" t="s">
        <v>1132</v>
      </c>
      <c r="F18" s="4463" t="s">
        <v>971</v>
      </c>
      <c r="G18" s="4463" t="s">
        <v>971</v>
      </c>
      <c r="H18" s="4463" t="s">
        <v>971</v>
      </c>
      <c r="I18" s="1043">
        <v>2</v>
      </c>
      <c r="J18" s="1044"/>
      <c r="K18" s="1045"/>
      <c r="L18" s="1045"/>
      <c r="M18" s="1041"/>
      <c r="N18" s="1039"/>
      <c r="O18" s="1823" t="s">
        <v>1123</v>
      </c>
      <c r="P18" s="2804" t="s">
        <v>492</v>
      </c>
      <c r="Q18" s="4462"/>
      <c r="R18" s="4545" t="s">
        <v>948</v>
      </c>
      <c r="S18" s="3969"/>
      <c r="T18" s="3969"/>
      <c r="U18" s="1925">
        <v>9</v>
      </c>
      <c r="V18" s="1855"/>
      <c r="W18" s="4091"/>
      <c r="X18" s="3884"/>
      <c r="Y18" s="3884"/>
      <c r="Z18" s="1862" t="s">
        <v>953</v>
      </c>
      <c r="AA18" s="1863"/>
      <c r="AB18" s="2476">
        <v>6</v>
      </c>
      <c r="AC18" s="1834" t="s">
        <v>956</v>
      </c>
      <c r="AD18" s="1844">
        <v>14</v>
      </c>
      <c r="AE18" s="4508"/>
      <c r="AF18" s="1864" t="s">
        <v>862</v>
      </c>
      <c r="AG18" s="1865">
        <v>1</v>
      </c>
      <c r="AH18" s="1866"/>
      <c r="AI18" s="1867"/>
      <c r="AJ18" s="4496" t="s">
        <v>1145</v>
      </c>
      <c r="AK18" s="4497"/>
      <c r="AL18" s="4497"/>
      <c r="AM18" s="4497"/>
      <c r="AN18" s="2293">
        <v>9</v>
      </c>
      <c r="AO18" s="1773"/>
      <c r="AP18" s="1532"/>
      <c r="AQ18" s="1483"/>
      <c r="AR18" s="1868"/>
      <c r="AS18" s="4397" t="s">
        <v>968</v>
      </c>
      <c r="AT18" s="4399"/>
      <c r="AU18" s="2486"/>
      <c r="AV18" s="1039"/>
      <c r="AW18" s="1493"/>
      <c r="AX18" s="1876"/>
      <c r="AY18" s="1554" t="s">
        <v>862</v>
      </c>
      <c r="AZ18" s="1870">
        <v>1</v>
      </c>
      <c r="BA18" s="1871"/>
      <c r="BB18" s="1871"/>
      <c r="BC18" s="1871"/>
      <c r="BD18" s="1864" t="s">
        <v>862</v>
      </c>
      <c r="BE18" s="1870">
        <v>1</v>
      </c>
      <c r="BF18" s="4042"/>
      <c r="BG18" s="3935"/>
      <c r="BH18" s="4444"/>
      <c r="BI18" s="4395"/>
      <c r="BJ18" s="4396"/>
    </row>
    <row r="19" spans="1:62" s="411" customFormat="1" ht="12" customHeight="1">
      <c r="A19" s="4519"/>
      <c r="B19" s="4521"/>
      <c r="C19" s="1040"/>
      <c r="E19" s="4463" t="s">
        <v>1133</v>
      </c>
      <c r="F19" s="4463" t="s">
        <v>972</v>
      </c>
      <c r="G19" s="4463" t="s">
        <v>972</v>
      </c>
      <c r="H19" s="4463" t="s">
        <v>972</v>
      </c>
      <c r="I19" s="1043">
        <v>3</v>
      </c>
      <c r="J19" s="1044"/>
      <c r="K19" s="1045"/>
      <c r="L19" s="1045"/>
      <c r="M19" s="1041"/>
      <c r="O19" s="1823" t="s">
        <v>1124</v>
      </c>
      <c r="P19" s="2804" t="s">
        <v>493</v>
      </c>
      <c r="Q19" s="4462"/>
      <c r="R19" s="1938" t="s">
        <v>1204</v>
      </c>
      <c r="S19" s="1939"/>
      <c r="T19" s="1939"/>
      <c r="U19" s="1926">
        <v>10</v>
      </c>
      <c r="V19" s="1872"/>
      <c r="W19" s="4091"/>
      <c r="X19" s="3884"/>
      <c r="Y19" s="3884"/>
      <c r="Z19" s="4464" t="s">
        <v>1136</v>
      </c>
      <c r="AA19" s="4465"/>
      <c r="AB19" s="4466">
        <v>7</v>
      </c>
      <c r="AC19" s="1878" t="s">
        <v>957</v>
      </c>
      <c r="AD19" s="1844">
        <v>15</v>
      </c>
      <c r="AE19" s="1873"/>
      <c r="AF19" s="1874" t="s">
        <v>863</v>
      </c>
      <c r="AG19" s="1861">
        <v>2</v>
      </c>
      <c r="AH19" s="1875" t="s">
        <v>12</v>
      </c>
      <c r="AI19" s="2792" t="s">
        <v>1575</v>
      </c>
      <c r="AJ19" s="4485" t="s">
        <v>964</v>
      </c>
      <c r="AK19" s="4486"/>
      <c r="AL19" s="4486"/>
      <c r="AM19" s="4486"/>
      <c r="AN19" s="2302">
        <v>10</v>
      </c>
      <c r="AO19" s="1773"/>
      <c r="AP19" s="1532"/>
      <c r="AQ19" s="1483"/>
      <c r="AR19" s="1868"/>
      <c r="AS19" s="1555" t="s">
        <v>1150</v>
      </c>
      <c r="AT19" s="2483">
        <v>8</v>
      </c>
      <c r="AU19" s="2486"/>
      <c r="AV19" s="1039"/>
      <c r="AW19" s="1493"/>
      <c r="AX19" s="1859"/>
      <c r="AY19" s="1916" t="s">
        <v>863</v>
      </c>
      <c r="AZ19" s="2798" t="s">
        <v>1577</v>
      </c>
      <c r="BA19" s="1871" t="s">
        <v>54</v>
      </c>
      <c r="BB19" s="1785" t="s">
        <v>117</v>
      </c>
      <c r="BC19" s="1877" t="s">
        <v>708</v>
      </c>
      <c r="BD19" s="1920" t="s">
        <v>863</v>
      </c>
      <c r="BE19" s="1686">
        <v>2</v>
      </c>
      <c r="BF19" s="4042"/>
      <c r="BG19" s="3935"/>
      <c r="BH19" s="4444"/>
      <c r="BI19" s="4395"/>
      <c r="BJ19" s="4416"/>
    </row>
    <row r="20" spans="1:62" s="411" customFormat="1" ht="13.5" customHeight="1">
      <c r="A20" s="4519"/>
      <c r="B20" s="4521"/>
      <c r="C20" s="1046"/>
      <c r="D20" s="1044"/>
      <c r="E20" s="4463" t="s">
        <v>1134</v>
      </c>
      <c r="F20" s="4463" t="s">
        <v>973</v>
      </c>
      <c r="G20" s="4463" t="s">
        <v>973</v>
      </c>
      <c r="H20" s="4463" t="s">
        <v>973</v>
      </c>
      <c r="I20" s="1043">
        <v>4</v>
      </c>
      <c r="J20" s="1044"/>
      <c r="K20" s="1045"/>
      <c r="L20" s="1045"/>
      <c r="M20" s="1041"/>
      <c r="N20" s="1049"/>
      <c r="O20" s="1824" t="s">
        <v>942</v>
      </c>
      <c r="P20" s="2805" t="s">
        <v>698</v>
      </c>
      <c r="Q20" s="430"/>
      <c r="R20" s="4479" t="s">
        <v>1130</v>
      </c>
      <c r="S20" s="4480"/>
      <c r="T20" s="4480"/>
      <c r="U20" s="1927">
        <v>11</v>
      </c>
      <c r="V20" s="1872"/>
      <c r="W20" s="4091"/>
      <c r="X20" s="3884"/>
      <c r="Y20" s="3884"/>
      <c r="Z20" s="4464"/>
      <c r="AA20" s="4465"/>
      <c r="AB20" s="4467"/>
      <c r="AC20" s="1834" t="s">
        <v>958</v>
      </c>
      <c r="AD20" s="1844">
        <v>16</v>
      </c>
      <c r="AE20" s="4301" t="s">
        <v>60</v>
      </c>
      <c r="AF20" s="1879"/>
      <c r="AG20" s="1880"/>
      <c r="AH20" s="1880"/>
      <c r="AI20" s="1860"/>
      <c r="AJ20" s="1886" t="s">
        <v>1144</v>
      </c>
      <c r="AK20" s="1887"/>
      <c r="AL20" s="1887"/>
      <c r="AM20" s="1887"/>
      <c r="AN20" s="1892">
        <v>11</v>
      </c>
      <c r="AO20" s="1773"/>
      <c r="AP20" s="1532"/>
      <c r="AQ20" s="1483"/>
      <c r="AR20" s="1868"/>
      <c r="AS20" s="2484" t="s">
        <v>969</v>
      </c>
      <c r="AT20" s="2485">
        <v>9</v>
      </c>
      <c r="AU20" s="2487"/>
      <c r="AV20" s="1039"/>
      <c r="AW20" s="1884"/>
      <c r="AX20" s="1859"/>
      <c r="AY20" s="4425" t="s">
        <v>1380</v>
      </c>
      <c r="AZ20" s="4428" t="s">
        <v>1381</v>
      </c>
      <c r="BA20" s="1871"/>
      <c r="BB20" s="1785"/>
      <c r="BC20" s="1877"/>
      <c r="BD20" s="4414" t="s">
        <v>19</v>
      </c>
      <c r="BE20" s="4415"/>
      <c r="BF20" s="4042"/>
      <c r="BG20" s="3935"/>
      <c r="BH20" s="4444"/>
      <c r="BI20" s="4395"/>
      <c r="BJ20" s="4416"/>
    </row>
    <row r="21" spans="1:62" s="411" customFormat="1" ht="12" customHeight="1">
      <c r="A21" s="4519"/>
      <c r="B21" s="4521"/>
      <c r="C21" s="1040"/>
      <c r="D21" s="1050"/>
      <c r="E21" s="418"/>
      <c r="F21" s="964"/>
      <c r="G21" s="418"/>
      <c r="H21" s="1048"/>
      <c r="I21" s="1051"/>
      <c r="J21" s="1052"/>
      <c r="K21" s="1053"/>
      <c r="L21" s="3881" t="s">
        <v>1158</v>
      </c>
      <c r="M21" s="3881"/>
      <c r="N21" s="4476"/>
      <c r="O21" s="1823" t="s">
        <v>1247</v>
      </c>
      <c r="P21" s="2806">
        <v>10</v>
      </c>
      <c r="Q21" s="4517" t="s">
        <v>66</v>
      </c>
      <c r="R21" s="4524" t="s">
        <v>1247</v>
      </c>
      <c r="S21" s="4525"/>
      <c r="T21" s="4525"/>
      <c r="U21" s="1928">
        <v>12</v>
      </c>
      <c r="V21" s="4305" t="s">
        <v>53</v>
      </c>
      <c r="W21" s="1864" t="s">
        <v>862</v>
      </c>
      <c r="X21" s="1881">
        <v>1</v>
      </c>
      <c r="Y21" s="1882"/>
      <c r="Z21" s="4522" t="s">
        <v>1138</v>
      </c>
      <c r="AA21" s="4523"/>
      <c r="AB21" s="2477">
        <v>8</v>
      </c>
      <c r="AC21" s="4464" t="s">
        <v>1141</v>
      </c>
      <c r="AD21" s="1557"/>
      <c r="AE21" s="4301"/>
      <c r="AF21" s="1879"/>
      <c r="AG21" s="1880"/>
      <c r="AH21" s="1880"/>
      <c r="AI21" s="1860"/>
      <c r="AJ21" s="2796" t="s">
        <v>1247</v>
      </c>
      <c r="AK21" s="2781"/>
      <c r="AL21" s="2781"/>
      <c r="AM21" s="2782"/>
      <c r="AN21" s="2797">
        <v>12</v>
      </c>
      <c r="AO21" s="1773"/>
      <c r="AP21" s="1532"/>
      <c r="AQ21" s="1483"/>
      <c r="AR21" s="1868"/>
      <c r="AS21" s="4423" t="s">
        <v>1576</v>
      </c>
      <c r="AT21" s="4424"/>
      <c r="AU21" s="2292"/>
      <c r="AV21" s="1039"/>
      <c r="AW21" s="1884"/>
      <c r="AX21" s="1859"/>
      <c r="AY21" s="4426"/>
      <c r="AZ21" s="4429"/>
      <c r="BA21" s="1493"/>
      <c r="BB21" s="1493"/>
      <c r="BC21" s="1493"/>
      <c r="BD21" s="1683" t="s">
        <v>1157</v>
      </c>
      <c r="BE21" s="1684"/>
      <c r="BF21" s="4042"/>
      <c r="BG21" s="3935"/>
      <c r="BH21" s="4444"/>
      <c r="BI21" s="4395"/>
      <c r="BJ21" s="4417"/>
    </row>
    <row r="22" spans="1:62" s="411" customFormat="1" ht="12" customHeight="1">
      <c r="A22" s="4519"/>
      <c r="B22" s="4521"/>
      <c r="C22" s="1040"/>
      <c r="D22" s="1050"/>
      <c r="E22" s="1047"/>
      <c r="F22" s="1054"/>
      <c r="G22" s="1047"/>
      <c r="H22" s="1048"/>
      <c r="I22" s="1051"/>
      <c r="J22" s="1052"/>
      <c r="K22" s="1053"/>
      <c r="L22" s="3881"/>
      <c r="M22" s="3881"/>
      <c r="N22" s="4476"/>
      <c r="O22" s="1933"/>
      <c r="P22" s="1818"/>
      <c r="Q22" s="4517"/>
      <c r="R22" s="3772" t="s">
        <v>1128</v>
      </c>
      <c r="S22" s="3948" t="s">
        <v>949</v>
      </c>
      <c r="T22" s="3948" t="s">
        <v>949</v>
      </c>
      <c r="U22" s="1928">
        <v>13</v>
      </c>
      <c r="V22" s="4305"/>
      <c r="W22" s="1841" t="s">
        <v>863</v>
      </c>
      <c r="X22" s="1508">
        <v>2</v>
      </c>
      <c r="Y22" s="1508"/>
      <c r="Z22" s="1905"/>
      <c r="AA22" s="1906"/>
      <c r="AB22" s="1907"/>
      <c r="AC22" s="4464"/>
      <c r="AD22" s="1909">
        <v>17</v>
      </c>
      <c r="AE22" s="1873"/>
      <c r="AF22" s="1879"/>
      <c r="AG22" s="1880"/>
      <c r="AH22" s="1880"/>
      <c r="AI22" s="1860"/>
      <c r="AO22" s="1773"/>
      <c r="AP22" s="1532"/>
      <c r="AQ22" s="1483"/>
      <c r="AR22" s="1868"/>
      <c r="AS22" s="4397" t="s">
        <v>1247</v>
      </c>
      <c r="AT22" s="4399">
        <v>10</v>
      </c>
      <c r="AU22" s="2267"/>
      <c r="AV22" s="1039"/>
      <c r="AW22" s="1884"/>
      <c r="AX22" s="1859"/>
      <c r="AY22" s="4427"/>
      <c r="AZ22" s="4430"/>
      <c r="BA22" s="1889"/>
      <c r="BB22" s="1889"/>
      <c r="BC22" s="4411" t="s">
        <v>1226</v>
      </c>
      <c r="BD22" s="1879"/>
      <c r="BE22" s="1880"/>
      <c r="BF22" s="4441" t="s">
        <v>1489</v>
      </c>
      <c r="BG22" s="4442"/>
      <c r="BH22" s="4443"/>
      <c r="BI22" s="4395"/>
      <c r="BJ22" s="4417"/>
    </row>
    <row r="23" spans="1:62" s="411" customFormat="1" ht="12" customHeight="1">
      <c r="A23" s="4519"/>
      <c r="B23" s="4521"/>
      <c r="C23" s="1040"/>
      <c r="D23" s="1050"/>
      <c r="E23" s="1055"/>
      <c r="F23" s="1050"/>
      <c r="G23" s="1053"/>
      <c r="H23" s="1056"/>
      <c r="I23" s="1051"/>
      <c r="J23" s="1052"/>
      <c r="K23" s="1053"/>
      <c r="L23" s="3881"/>
      <c r="M23" s="3881"/>
      <c r="N23" s="4476"/>
      <c r="Q23" s="4517"/>
      <c r="R23" s="4526" t="s">
        <v>950</v>
      </c>
      <c r="S23" s="3881"/>
      <c r="T23" s="3881"/>
      <c r="U23" s="4476"/>
      <c r="V23" s="4305"/>
      <c r="W23" s="1890" t="s">
        <v>12</v>
      </c>
      <c r="X23" s="2791" t="s">
        <v>1574</v>
      </c>
      <c r="Y23" s="1891"/>
      <c r="Z23" s="1902"/>
      <c r="AA23" s="1903"/>
      <c r="AB23" s="1904"/>
      <c r="AC23" s="1908"/>
      <c r="AD23" s="1491"/>
      <c r="AE23" s="1872"/>
      <c r="AF23" s="1879"/>
      <c r="AG23" s="1880"/>
      <c r="AH23" s="1880"/>
      <c r="AI23" s="1860"/>
      <c r="AJ23" s="2600"/>
      <c r="AK23" s="2601"/>
      <c r="AL23" s="2601"/>
      <c r="AM23" s="2602"/>
      <c r="AN23" s="2569"/>
      <c r="AO23" s="1490"/>
      <c r="AP23" s="4490"/>
      <c r="AQ23" s="1483"/>
      <c r="AR23" s="1533"/>
      <c r="AS23" s="4398"/>
      <c r="AT23" s="4400"/>
      <c r="AU23" s="2488"/>
      <c r="AV23" s="2489"/>
      <c r="AW23" s="1884"/>
      <c r="AX23" s="1859"/>
      <c r="AY23" s="1888"/>
      <c r="AZ23" s="1860"/>
      <c r="BA23" s="4409" t="s">
        <v>56</v>
      </c>
      <c r="BB23" s="4409" t="s">
        <v>1226</v>
      </c>
      <c r="BC23" s="4412"/>
      <c r="BD23" s="1879"/>
      <c r="BE23" s="1880"/>
      <c r="BF23" s="1490"/>
      <c r="BG23" s="1486"/>
      <c r="BH23" s="1885"/>
      <c r="BI23" s="995"/>
      <c r="BJ23" s="1057"/>
    </row>
    <row r="24" spans="1:62" s="965" customFormat="1" ht="12" customHeight="1" thickBot="1">
      <c r="A24" s="4519"/>
      <c r="B24" s="1058"/>
      <c r="C24" s="1059"/>
      <c r="D24" s="1060"/>
      <c r="E24" s="1061"/>
      <c r="F24" s="1060"/>
      <c r="G24" s="1062"/>
      <c r="H24" s="1063"/>
      <c r="I24" s="1064"/>
      <c r="J24" s="1065"/>
      <c r="K24" s="1062"/>
      <c r="L24" s="1063"/>
      <c r="M24" s="1059"/>
      <c r="N24" s="1060"/>
      <c r="O24" s="1066"/>
      <c r="P24" s="1067"/>
      <c r="Q24" s="967" t="s">
        <v>3</v>
      </c>
      <c r="R24" s="4526"/>
      <c r="S24" s="3881"/>
      <c r="T24" s="3881"/>
      <c r="U24" s="4476"/>
      <c r="V24" s="1893" t="s">
        <v>3</v>
      </c>
      <c r="W24" s="1536"/>
      <c r="X24" s="1537"/>
      <c r="Y24" s="1534"/>
      <c r="Z24" s="2291" t="s">
        <v>1234</v>
      </c>
      <c r="AA24" s="4509" t="s">
        <v>1235</v>
      </c>
      <c r="AB24" s="4510"/>
      <c r="AC24" s="4509" t="s">
        <v>1236</v>
      </c>
      <c r="AD24" s="4510"/>
      <c r="AE24" s="1535" t="s">
        <v>36</v>
      </c>
      <c r="AF24" s="1489"/>
      <c r="AG24" s="1784"/>
      <c r="AH24" s="1784"/>
      <c r="AI24" s="1484"/>
      <c r="AJ24" s="1839"/>
      <c r="AK24" s="1840"/>
      <c r="AL24" s="1840"/>
      <c r="AM24" s="1850"/>
      <c r="AN24" s="1892"/>
      <c r="AO24" s="1913"/>
      <c r="AP24" s="4491"/>
      <c r="AQ24" s="4357" t="s">
        <v>42</v>
      </c>
      <c r="AR24" s="4358"/>
      <c r="AS24" s="4418"/>
      <c r="AT24" s="4419"/>
      <c r="AU24" s="2479" t="s">
        <v>820</v>
      </c>
      <c r="AV24" s="1894" t="s">
        <v>42</v>
      </c>
      <c r="AW24" s="1895"/>
      <c r="AX24" s="1896"/>
      <c r="AY24" s="1897"/>
      <c r="AZ24" s="1898"/>
      <c r="BA24" s="4410"/>
      <c r="BB24" s="4410"/>
      <c r="BC24" s="4413"/>
      <c r="BD24" s="1899"/>
      <c r="BE24" s="1900"/>
      <c r="BF24" s="1901" t="s">
        <v>348</v>
      </c>
      <c r="BG24" s="4420" t="s">
        <v>349</v>
      </c>
      <c r="BH24" s="4421"/>
      <c r="BI24" s="968"/>
      <c r="BJ24" s="1068"/>
    </row>
    <row r="25" spans="1:62" s="965" customFormat="1" ht="12" customHeight="1" thickBot="1">
      <c r="A25" s="3440"/>
      <c r="B25" s="3472"/>
      <c r="C25" s="1059"/>
      <c r="D25" s="1060"/>
      <c r="E25" s="1061"/>
      <c r="F25" s="3473"/>
      <c r="G25" s="1062"/>
      <c r="H25" s="1063"/>
      <c r="I25" s="1064"/>
      <c r="J25" s="1063"/>
      <c r="K25" s="1062"/>
      <c r="L25" s="1063"/>
      <c r="M25" s="1059"/>
      <c r="N25" s="3473"/>
      <c r="O25" s="1066"/>
      <c r="P25" s="1067"/>
      <c r="Q25" s="3437"/>
      <c r="R25" s="3481" t="s">
        <v>1234</v>
      </c>
      <c r="S25" s="3481" t="s">
        <v>1235</v>
      </c>
      <c r="T25" s="4355" t="s">
        <v>1236</v>
      </c>
      <c r="U25" s="4356"/>
      <c r="V25" s="3474"/>
      <c r="W25" s="1536"/>
      <c r="X25" s="2167"/>
      <c r="Y25" s="3445"/>
      <c r="Z25" s="1536"/>
      <c r="AA25" s="2167"/>
      <c r="AB25" s="2167"/>
      <c r="AC25" s="2167"/>
      <c r="AD25" s="3445"/>
      <c r="AE25" s="3438"/>
      <c r="AF25" s="1489"/>
      <c r="AG25" s="1784"/>
      <c r="AH25" s="1784"/>
      <c r="AI25" s="1484"/>
      <c r="AJ25" s="3475"/>
      <c r="AK25" s="3476"/>
      <c r="AL25" s="3476"/>
      <c r="AM25" s="2606"/>
      <c r="AN25" s="2293"/>
      <c r="AO25" s="1913"/>
      <c r="AP25" s="3439"/>
      <c r="AQ25" s="2167"/>
      <c r="AR25" s="3445"/>
      <c r="AS25" s="1536"/>
      <c r="AT25" s="3445"/>
      <c r="AU25" s="3443"/>
      <c r="AV25" s="3442"/>
      <c r="AW25" s="3477"/>
      <c r="AX25" s="3478"/>
      <c r="AY25" s="3157"/>
      <c r="AZ25" s="1484"/>
      <c r="BA25" s="3479"/>
      <c r="BB25" s="3479"/>
      <c r="BC25" s="3480"/>
      <c r="BD25" s="1489"/>
      <c r="BE25" s="1784"/>
      <c r="BF25" s="3438"/>
      <c r="BG25" s="3443"/>
      <c r="BH25" s="3444"/>
      <c r="BI25" s="968"/>
      <c r="BJ25" s="1068"/>
    </row>
    <row r="26" spans="1:62" s="963" customFormat="1" ht="15" customHeight="1">
      <c r="A26" s="3251">
        <v>1</v>
      </c>
      <c r="B26" s="1069"/>
      <c r="C26" s="972"/>
      <c r="D26" s="974"/>
      <c r="E26" s="973"/>
      <c r="F26" s="973"/>
      <c r="G26" s="1070"/>
      <c r="H26" s="1071"/>
      <c r="I26" s="1070"/>
      <c r="J26" s="1071"/>
      <c r="K26" s="1070"/>
      <c r="L26" s="1071"/>
      <c r="M26" s="972"/>
      <c r="N26" s="973"/>
      <c r="O26" s="1827"/>
      <c r="P26" s="1828"/>
      <c r="Q26" s="946"/>
      <c r="R26" s="3469"/>
      <c r="S26" s="3469"/>
      <c r="T26" s="4346"/>
      <c r="U26" s="4347"/>
      <c r="V26" s="971"/>
      <c r="W26" s="972"/>
      <c r="X26" s="973"/>
      <c r="Y26" s="974"/>
      <c r="Z26" s="972"/>
      <c r="AA26" s="1072"/>
      <c r="AB26" s="1073"/>
      <c r="AC26" s="973"/>
      <c r="AD26" s="974"/>
      <c r="AE26" s="946"/>
      <c r="AF26" s="972"/>
      <c r="AG26" s="973"/>
      <c r="AH26" s="973"/>
      <c r="AI26" s="974"/>
      <c r="AJ26" s="4514"/>
      <c r="AK26" s="4515"/>
      <c r="AL26" s="4515"/>
      <c r="AM26" s="4515"/>
      <c r="AN26" s="4516"/>
      <c r="AO26" s="1544"/>
      <c r="AP26" s="1545"/>
      <c r="AQ26" s="1074"/>
      <c r="AR26" s="974"/>
      <c r="AS26" s="2296"/>
      <c r="AT26" s="2298"/>
      <c r="AU26" s="2297"/>
      <c r="AV26" s="1072"/>
      <c r="AW26" s="1296"/>
      <c r="AX26" s="1297"/>
      <c r="AY26" s="1313"/>
      <c r="AZ26" s="1298"/>
      <c r="BA26" s="1297"/>
      <c r="BB26" s="1311"/>
      <c r="BC26" s="1312"/>
      <c r="BD26" s="1296"/>
      <c r="BE26" s="1297"/>
      <c r="BF26" s="1296"/>
      <c r="BG26" s="1217"/>
      <c r="BH26" s="1148"/>
      <c r="BI26" s="1075"/>
      <c r="BJ26" s="1002"/>
    </row>
    <row r="27" spans="1:62" s="963" customFormat="1" ht="15" customHeight="1">
      <c r="A27" s="3252">
        <v>2</v>
      </c>
      <c r="B27" s="1076"/>
      <c r="C27" s="980"/>
      <c r="D27" s="981"/>
      <c r="E27" s="980"/>
      <c r="F27" s="981"/>
      <c r="G27" s="1077"/>
      <c r="H27" s="1078"/>
      <c r="I27" s="1077"/>
      <c r="J27" s="1078"/>
      <c r="K27" s="1077"/>
      <c r="L27" s="1078"/>
      <c r="M27" s="980"/>
      <c r="N27" s="981"/>
      <c r="O27" s="1548"/>
      <c r="P27" s="1549"/>
      <c r="Q27" s="947"/>
      <c r="R27" s="3468"/>
      <c r="S27" s="3468"/>
      <c r="T27" s="4348"/>
      <c r="U27" s="4349"/>
      <c r="V27" s="979"/>
      <c r="W27" s="980"/>
      <c r="X27" s="981"/>
      <c r="Y27" s="944"/>
      <c r="Z27" s="980"/>
      <c r="AA27" s="1079"/>
      <c r="AB27" s="1080"/>
      <c r="AC27" s="981"/>
      <c r="AD27" s="944"/>
      <c r="AE27" s="947"/>
      <c r="AF27" s="980"/>
      <c r="AG27" s="981"/>
      <c r="AH27" s="981"/>
      <c r="AI27" s="944"/>
      <c r="AJ27" s="4348"/>
      <c r="AK27" s="4364"/>
      <c r="AL27" s="4364"/>
      <c r="AM27" s="4364"/>
      <c r="AN27" s="4349"/>
      <c r="AO27" s="1541"/>
      <c r="AP27" s="1543"/>
      <c r="AQ27" s="1082"/>
      <c r="AR27" s="944"/>
      <c r="AS27" s="2299"/>
      <c r="AT27" s="2301"/>
      <c r="AU27" s="2300"/>
      <c r="AV27" s="1079"/>
      <c r="AW27" s="980"/>
      <c r="AX27" s="1257"/>
      <c r="AY27" s="1215"/>
      <c r="AZ27" s="1258"/>
      <c r="BA27" s="1257"/>
      <c r="BB27" s="1292"/>
      <c r="BC27" s="1083"/>
      <c r="BD27" s="1256"/>
      <c r="BE27" s="1257"/>
      <c r="BF27" s="1256"/>
      <c r="BG27" s="1079"/>
      <c r="BH27" s="982"/>
      <c r="BI27" s="487"/>
      <c r="BJ27" s="488"/>
    </row>
    <row r="28" spans="1:62" s="963" customFormat="1" ht="15" customHeight="1" thickBot="1">
      <c r="A28" s="3252">
        <v>3</v>
      </c>
      <c r="B28" s="1625"/>
      <c r="C28" s="1573"/>
      <c r="D28" s="1626"/>
      <c r="E28" s="1573"/>
      <c r="F28" s="1626"/>
      <c r="G28" s="1627"/>
      <c r="H28" s="1628"/>
      <c r="I28" s="1627"/>
      <c r="J28" s="1628"/>
      <c r="K28" s="1627"/>
      <c r="L28" s="1628"/>
      <c r="M28" s="1573"/>
      <c r="N28" s="1626"/>
      <c r="O28" s="1632"/>
      <c r="P28" s="1633"/>
      <c r="Q28" s="1629"/>
      <c r="R28" s="3470"/>
      <c r="S28" s="3470"/>
      <c r="T28" s="4344"/>
      <c r="U28" s="4345"/>
      <c r="V28" s="2208"/>
      <c r="W28" s="1573"/>
      <c r="X28" s="1626"/>
      <c r="Y28" s="1630"/>
      <c r="Z28" s="1573"/>
      <c r="AA28" s="1574"/>
      <c r="AB28" s="1631"/>
      <c r="AC28" s="1626"/>
      <c r="AD28" s="1630"/>
      <c r="AE28" s="1629"/>
      <c r="AF28" s="1573"/>
      <c r="AG28" s="1626"/>
      <c r="AH28" s="1626"/>
      <c r="AI28" s="1630"/>
      <c r="AJ28" s="4365"/>
      <c r="AK28" s="4366"/>
      <c r="AL28" s="4366"/>
      <c r="AM28" s="4366"/>
      <c r="AN28" s="4367"/>
      <c r="AO28" s="1632"/>
      <c r="AP28" s="1634"/>
      <c r="AQ28" s="1636"/>
      <c r="AR28" s="1630"/>
      <c r="AS28" s="2309"/>
      <c r="AT28" s="2439"/>
      <c r="AU28" s="983"/>
      <c r="AV28" s="1574"/>
      <c r="AW28" s="1573"/>
      <c r="AX28" s="1626"/>
      <c r="AY28" s="1637"/>
      <c r="AZ28" s="1630"/>
      <c r="BA28" s="1626"/>
      <c r="BB28" s="1638"/>
      <c r="BC28" s="1639"/>
      <c r="BD28" s="1573"/>
      <c r="BE28" s="1626"/>
      <c r="BF28" s="1573"/>
      <c r="BG28" s="1574"/>
      <c r="BH28" s="1640"/>
      <c r="BI28" s="487"/>
      <c r="BJ28" s="488"/>
    </row>
    <row r="29" spans="1:62" s="963" customFormat="1" ht="15" customHeight="1" thickTop="1">
      <c r="A29" s="3253">
        <v>4</v>
      </c>
      <c r="B29" s="1648"/>
      <c r="C29" s="1594"/>
      <c r="D29" s="1649"/>
      <c r="E29" s="1594"/>
      <c r="F29" s="1649"/>
      <c r="G29" s="1650"/>
      <c r="H29" s="1651"/>
      <c r="I29" s="1650"/>
      <c r="J29" s="1651"/>
      <c r="K29" s="1650"/>
      <c r="L29" s="1651"/>
      <c r="M29" s="1594"/>
      <c r="N29" s="1649"/>
      <c r="O29" s="1655"/>
      <c r="P29" s="1656"/>
      <c r="Q29" s="1652"/>
      <c r="R29" s="3469"/>
      <c r="S29" s="3469"/>
      <c r="T29" s="4348"/>
      <c r="U29" s="4349"/>
      <c r="V29" s="2209"/>
      <c r="W29" s="1594"/>
      <c r="X29" s="1649"/>
      <c r="Y29" s="1653"/>
      <c r="Z29" s="1594"/>
      <c r="AA29" s="1595"/>
      <c r="AB29" s="1654"/>
      <c r="AC29" s="1649"/>
      <c r="AD29" s="1653"/>
      <c r="AE29" s="1652"/>
      <c r="AF29" s="1594"/>
      <c r="AG29" s="1649"/>
      <c r="AH29" s="1649"/>
      <c r="AI29" s="1653"/>
      <c r="AJ29" s="4350"/>
      <c r="AK29" s="4368"/>
      <c r="AL29" s="4368"/>
      <c r="AM29" s="4368"/>
      <c r="AN29" s="4351"/>
      <c r="AO29" s="1655"/>
      <c r="AP29" s="1657"/>
      <c r="AQ29" s="1659"/>
      <c r="AR29" s="1653"/>
      <c r="AS29" s="2310"/>
      <c r="AT29" s="2312"/>
      <c r="AU29" s="2311"/>
      <c r="AV29" s="1595"/>
      <c r="AW29" s="1594"/>
      <c r="AX29" s="1649"/>
      <c r="AY29" s="1660"/>
      <c r="AZ29" s="1653"/>
      <c r="BA29" s="1649"/>
      <c r="BB29" s="1661"/>
      <c r="BC29" s="1662"/>
      <c r="BD29" s="1594"/>
      <c r="BE29" s="1649"/>
      <c r="BF29" s="1594"/>
      <c r="BG29" s="1595"/>
      <c r="BH29" s="1663"/>
      <c r="BI29" s="487"/>
      <c r="BJ29" s="488"/>
    </row>
    <row r="30" spans="1:62" s="963" customFormat="1" ht="15" customHeight="1">
      <c r="A30" s="3253">
        <v>5</v>
      </c>
      <c r="B30" s="1664"/>
      <c r="C30" s="1521"/>
      <c r="D30" s="1522"/>
      <c r="E30" s="1521"/>
      <c r="F30" s="1522"/>
      <c r="G30" s="1077"/>
      <c r="H30" s="1078"/>
      <c r="I30" s="1077"/>
      <c r="J30" s="1078"/>
      <c r="K30" s="1077"/>
      <c r="L30" s="1078"/>
      <c r="M30" s="1521"/>
      <c r="N30" s="1522"/>
      <c r="O30" s="1541"/>
      <c r="P30" s="1542"/>
      <c r="Q30" s="1519"/>
      <c r="R30" s="3468"/>
      <c r="S30" s="3468"/>
      <c r="T30" s="4348"/>
      <c r="U30" s="4349"/>
      <c r="V30" s="979"/>
      <c r="W30" s="1521"/>
      <c r="X30" s="1522"/>
      <c r="Y30" s="1523"/>
      <c r="Z30" s="1521"/>
      <c r="AA30" s="1079"/>
      <c r="AB30" s="1080"/>
      <c r="AC30" s="1522"/>
      <c r="AD30" s="1523"/>
      <c r="AE30" s="1519"/>
      <c r="AF30" s="1521"/>
      <c r="AG30" s="1522"/>
      <c r="AH30" s="1522"/>
      <c r="AI30" s="1523"/>
      <c r="AJ30" s="4348"/>
      <c r="AK30" s="4364"/>
      <c r="AL30" s="4364"/>
      <c r="AM30" s="4364"/>
      <c r="AN30" s="4349"/>
      <c r="AO30" s="1541"/>
      <c r="AP30" s="1543"/>
      <c r="AQ30" s="1082"/>
      <c r="AR30" s="1523"/>
      <c r="AS30" s="2299"/>
      <c r="AT30" s="2301"/>
      <c r="AU30" s="2300"/>
      <c r="AV30" s="1079"/>
      <c r="AW30" s="1521"/>
      <c r="AX30" s="1522"/>
      <c r="AY30" s="1215"/>
      <c r="AZ30" s="1523"/>
      <c r="BA30" s="1522"/>
      <c r="BB30" s="1525"/>
      <c r="BC30" s="1083"/>
      <c r="BD30" s="1521"/>
      <c r="BE30" s="1522"/>
      <c r="BF30" s="1521"/>
      <c r="BG30" s="1079"/>
      <c r="BH30" s="982"/>
      <c r="BI30" s="487"/>
      <c r="BJ30" s="488"/>
    </row>
    <row r="31" spans="1:62" s="963" customFormat="1" ht="15" customHeight="1" thickBot="1">
      <c r="A31" s="3253">
        <v>6</v>
      </c>
      <c r="B31" s="1665"/>
      <c r="C31" s="1614"/>
      <c r="D31" s="1666"/>
      <c r="E31" s="1614"/>
      <c r="F31" s="1666"/>
      <c r="G31" s="1667"/>
      <c r="H31" s="1668"/>
      <c r="I31" s="1667"/>
      <c r="J31" s="1668"/>
      <c r="K31" s="1667"/>
      <c r="L31" s="1668"/>
      <c r="M31" s="1614"/>
      <c r="N31" s="1666"/>
      <c r="O31" s="1672"/>
      <c r="P31" s="1673"/>
      <c r="Q31" s="1669"/>
      <c r="R31" s="3470"/>
      <c r="S31" s="3470"/>
      <c r="T31" s="4344"/>
      <c r="U31" s="4345"/>
      <c r="V31" s="2210"/>
      <c r="W31" s="1614"/>
      <c r="X31" s="1666"/>
      <c r="Y31" s="1670"/>
      <c r="Z31" s="1614"/>
      <c r="AA31" s="1615"/>
      <c r="AB31" s="1671"/>
      <c r="AC31" s="1666"/>
      <c r="AD31" s="1670"/>
      <c r="AE31" s="1669"/>
      <c r="AF31" s="1614"/>
      <c r="AG31" s="1666"/>
      <c r="AH31" s="1666"/>
      <c r="AI31" s="1670"/>
      <c r="AJ31" s="4344"/>
      <c r="AK31" s="4362"/>
      <c r="AL31" s="4362"/>
      <c r="AM31" s="4362"/>
      <c r="AN31" s="4345"/>
      <c r="AO31" s="1672"/>
      <c r="AP31" s="1674"/>
      <c r="AQ31" s="1676"/>
      <c r="AR31" s="1670"/>
      <c r="AS31" s="2303"/>
      <c r="AT31" s="2305"/>
      <c r="AU31" s="2304"/>
      <c r="AV31" s="1615"/>
      <c r="AW31" s="1614"/>
      <c r="AX31" s="1666"/>
      <c r="AY31" s="1677"/>
      <c r="AZ31" s="1670"/>
      <c r="BA31" s="1666"/>
      <c r="BB31" s="1678"/>
      <c r="BC31" s="1679"/>
      <c r="BD31" s="1614"/>
      <c r="BE31" s="1666"/>
      <c r="BF31" s="1614"/>
      <c r="BG31" s="1615"/>
      <c r="BH31" s="1680"/>
      <c r="BI31" s="487"/>
      <c r="BJ31" s="488"/>
    </row>
    <row r="32" spans="1:62" s="963" customFormat="1" ht="15" customHeight="1" thickTop="1">
      <c r="A32" s="3252">
        <v>7</v>
      </c>
      <c r="B32" s="1641"/>
      <c r="C32" s="1527"/>
      <c r="D32" s="1528"/>
      <c r="E32" s="1527"/>
      <c r="F32" s="1528"/>
      <c r="G32" s="1642"/>
      <c r="H32" s="1643"/>
      <c r="I32" s="1642"/>
      <c r="J32" s="1643"/>
      <c r="K32" s="1642"/>
      <c r="L32" s="1643"/>
      <c r="M32" s="1527"/>
      <c r="N32" s="1528"/>
      <c r="O32" s="1548"/>
      <c r="P32" s="1549"/>
      <c r="Q32" s="1526"/>
      <c r="R32" s="3469"/>
      <c r="S32" s="3469"/>
      <c r="T32" s="4346"/>
      <c r="U32" s="4347"/>
      <c r="V32" s="2211"/>
      <c r="W32" s="1527"/>
      <c r="X32" s="1528"/>
      <c r="Y32" s="1298"/>
      <c r="Z32" s="1527"/>
      <c r="AA32" s="1217"/>
      <c r="AB32" s="1644"/>
      <c r="AC32" s="1528"/>
      <c r="AD32" s="1298"/>
      <c r="AE32" s="1526"/>
      <c r="AF32" s="1527"/>
      <c r="AG32" s="1528"/>
      <c r="AH32" s="1528"/>
      <c r="AI32" s="1298"/>
      <c r="AJ32" s="4346"/>
      <c r="AK32" s="4363"/>
      <c r="AL32" s="4363"/>
      <c r="AM32" s="4363"/>
      <c r="AN32" s="4347"/>
      <c r="AO32" s="1646"/>
      <c r="AP32" s="1657"/>
      <c r="AQ32" s="1647"/>
      <c r="AR32" s="1298"/>
      <c r="AS32" s="2306"/>
      <c r="AT32" s="2308"/>
      <c r="AU32" s="2307"/>
      <c r="AV32" s="1217"/>
      <c r="AW32" s="1527"/>
      <c r="AX32" s="1528"/>
      <c r="AY32" s="1313"/>
      <c r="AZ32" s="1298"/>
      <c r="BA32" s="1528"/>
      <c r="BB32" s="1311"/>
      <c r="BC32" s="1312"/>
      <c r="BD32" s="1527"/>
      <c r="BE32" s="1528"/>
      <c r="BF32" s="1527"/>
      <c r="BG32" s="1217"/>
      <c r="BH32" s="1529"/>
      <c r="BI32" s="487"/>
      <c r="BJ32" s="488"/>
    </row>
    <row r="33" spans="1:62" s="963" customFormat="1" ht="15" customHeight="1">
      <c r="A33" s="3252">
        <v>8</v>
      </c>
      <c r="B33" s="1076"/>
      <c r="C33" s="980"/>
      <c r="D33" s="981"/>
      <c r="E33" s="980"/>
      <c r="F33" s="981"/>
      <c r="G33" s="1077"/>
      <c r="H33" s="1078"/>
      <c r="I33" s="1077"/>
      <c r="J33" s="1078"/>
      <c r="K33" s="1077"/>
      <c r="L33" s="1078"/>
      <c r="M33" s="980"/>
      <c r="N33" s="981"/>
      <c r="O33" s="1541"/>
      <c r="P33" s="1542"/>
      <c r="Q33" s="947"/>
      <c r="R33" s="3468"/>
      <c r="S33" s="3468"/>
      <c r="T33" s="4348"/>
      <c r="U33" s="4349"/>
      <c r="V33" s="979"/>
      <c r="W33" s="980"/>
      <c r="X33" s="981"/>
      <c r="Y33" s="944"/>
      <c r="Z33" s="980"/>
      <c r="AA33" s="1079"/>
      <c r="AB33" s="1080"/>
      <c r="AC33" s="981"/>
      <c r="AD33" s="944"/>
      <c r="AE33" s="947"/>
      <c r="AF33" s="980"/>
      <c r="AG33" s="981"/>
      <c r="AH33" s="981"/>
      <c r="AI33" s="944"/>
      <c r="AJ33" s="4348"/>
      <c r="AK33" s="4364"/>
      <c r="AL33" s="4364"/>
      <c r="AM33" s="4364"/>
      <c r="AN33" s="4349"/>
      <c r="AO33" s="1081"/>
      <c r="AP33" s="1543"/>
      <c r="AQ33" s="1082"/>
      <c r="AR33" s="944"/>
      <c r="AS33" s="2299"/>
      <c r="AT33" s="2301"/>
      <c r="AU33" s="2300"/>
      <c r="AV33" s="1079"/>
      <c r="AW33" s="1476"/>
      <c r="AX33" s="1257"/>
      <c r="AY33" s="1215"/>
      <c r="AZ33" s="1258"/>
      <c r="BA33" s="1257"/>
      <c r="BB33" s="1292"/>
      <c r="BC33" s="1083"/>
      <c r="BD33" s="1256"/>
      <c r="BE33" s="1257"/>
      <c r="BF33" s="1256"/>
      <c r="BG33" s="1079"/>
      <c r="BH33" s="982"/>
      <c r="BI33" s="487"/>
      <c r="BJ33" s="488"/>
    </row>
    <row r="34" spans="1:62" s="963" customFormat="1" ht="15" customHeight="1" thickBot="1">
      <c r="A34" s="3252">
        <v>9</v>
      </c>
      <c r="B34" s="1625"/>
      <c r="C34" s="1573"/>
      <c r="D34" s="1626"/>
      <c r="E34" s="1573"/>
      <c r="F34" s="1626"/>
      <c r="G34" s="1627"/>
      <c r="H34" s="1628"/>
      <c r="I34" s="1627"/>
      <c r="J34" s="1628"/>
      <c r="K34" s="1627"/>
      <c r="L34" s="1628"/>
      <c r="M34" s="1573"/>
      <c r="N34" s="1626"/>
      <c r="O34" s="1632"/>
      <c r="P34" s="1633"/>
      <c r="Q34" s="1629"/>
      <c r="R34" s="3470"/>
      <c r="S34" s="3470"/>
      <c r="T34" s="4344"/>
      <c r="U34" s="4345"/>
      <c r="V34" s="2208"/>
      <c r="W34" s="1573"/>
      <c r="X34" s="1626"/>
      <c r="Y34" s="1630"/>
      <c r="Z34" s="1573"/>
      <c r="AA34" s="1574"/>
      <c r="AB34" s="1631"/>
      <c r="AC34" s="1626"/>
      <c r="AD34" s="1630"/>
      <c r="AE34" s="1629"/>
      <c r="AF34" s="1573"/>
      <c r="AG34" s="1626"/>
      <c r="AH34" s="1626"/>
      <c r="AI34" s="1630"/>
      <c r="AJ34" s="4365"/>
      <c r="AK34" s="4366"/>
      <c r="AL34" s="4366"/>
      <c r="AM34" s="4366"/>
      <c r="AN34" s="4367"/>
      <c r="AO34" s="1635"/>
      <c r="AP34" s="1674"/>
      <c r="AQ34" s="1636"/>
      <c r="AR34" s="1630"/>
      <c r="AS34" s="2309"/>
      <c r="AT34" s="2439"/>
      <c r="AU34" s="983"/>
      <c r="AV34" s="1574"/>
      <c r="AW34" s="1573"/>
      <c r="AX34" s="1626"/>
      <c r="AY34" s="1637"/>
      <c r="AZ34" s="1630"/>
      <c r="BA34" s="1626"/>
      <c r="BB34" s="1638"/>
      <c r="BC34" s="1639"/>
      <c r="BD34" s="1573"/>
      <c r="BE34" s="1626"/>
      <c r="BF34" s="1573"/>
      <c r="BG34" s="1574"/>
      <c r="BH34" s="1640"/>
      <c r="BI34" s="487"/>
      <c r="BJ34" s="488"/>
    </row>
    <row r="35" spans="1:62" s="963" customFormat="1" ht="15" customHeight="1" thickTop="1">
      <c r="A35" s="3253">
        <v>10</v>
      </c>
      <c r="B35" s="1648"/>
      <c r="C35" s="1594"/>
      <c r="D35" s="1649"/>
      <c r="E35" s="1594"/>
      <c r="F35" s="1649"/>
      <c r="G35" s="1650"/>
      <c r="H35" s="1651"/>
      <c r="I35" s="1650"/>
      <c r="J35" s="1651"/>
      <c r="K35" s="1650"/>
      <c r="L35" s="1651"/>
      <c r="M35" s="1594"/>
      <c r="N35" s="1649"/>
      <c r="O35" s="1655"/>
      <c r="P35" s="1656"/>
      <c r="Q35" s="1652"/>
      <c r="R35" s="3469"/>
      <c r="S35" s="3469"/>
      <c r="T35" s="4346"/>
      <c r="U35" s="4347"/>
      <c r="V35" s="2209"/>
      <c r="W35" s="1594"/>
      <c r="X35" s="1649"/>
      <c r="Y35" s="1653"/>
      <c r="Z35" s="1594"/>
      <c r="AA35" s="1595"/>
      <c r="AB35" s="1654"/>
      <c r="AC35" s="1649"/>
      <c r="AD35" s="1653"/>
      <c r="AE35" s="1652"/>
      <c r="AF35" s="1594"/>
      <c r="AG35" s="1649"/>
      <c r="AH35" s="1649"/>
      <c r="AI35" s="1653"/>
      <c r="AJ35" s="4350"/>
      <c r="AK35" s="4368"/>
      <c r="AL35" s="4368"/>
      <c r="AM35" s="4368"/>
      <c r="AN35" s="4351"/>
      <c r="AO35" s="1658"/>
      <c r="AP35" s="1645"/>
      <c r="AQ35" s="1659"/>
      <c r="AR35" s="1653"/>
      <c r="AS35" s="2310"/>
      <c r="AT35" s="2312"/>
      <c r="AU35" s="2311"/>
      <c r="AV35" s="1595"/>
      <c r="AW35" s="1594"/>
      <c r="AX35" s="1649"/>
      <c r="AY35" s="1660"/>
      <c r="AZ35" s="1653"/>
      <c r="BA35" s="1649"/>
      <c r="BB35" s="1661"/>
      <c r="BC35" s="1662"/>
      <c r="BD35" s="1594"/>
      <c r="BE35" s="1649"/>
      <c r="BF35" s="1594"/>
      <c r="BG35" s="1595"/>
      <c r="BH35" s="1663"/>
      <c r="BI35" s="487"/>
      <c r="BJ35" s="488"/>
    </row>
    <row r="36" spans="1:62" s="963" customFormat="1" ht="15" customHeight="1">
      <c r="A36" s="3253">
        <v>11</v>
      </c>
      <c r="B36" s="1664"/>
      <c r="C36" s="1521"/>
      <c r="D36" s="1522"/>
      <c r="E36" s="1521"/>
      <c r="F36" s="1522"/>
      <c r="G36" s="1077"/>
      <c r="H36" s="1078"/>
      <c r="I36" s="1077"/>
      <c r="J36" s="1078"/>
      <c r="K36" s="1077"/>
      <c r="L36" s="1078"/>
      <c r="M36" s="1521"/>
      <c r="N36" s="1522"/>
      <c r="O36" s="1541"/>
      <c r="P36" s="1542"/>
      <c r="Q36" s="1519"/>
      <c r="R36" s="3468"/>
      <c r="S36" s="3468"/>
      <c r="T36" s="4348"/>
      <c r="U36" s="4349"/>
      <c r="V36" s="979"/>
      <c r="W36" s="1521"/>
      <c r="X36" s="1522"/>
      <c r="Y36" s="1523"/>
      <c r="Z36" s="1521"/>
      <c r="AA36" s="1079"/>
      <c r="AB36" s="1080"/>
      <c r="AC36" s="1522"/>
      <c r="AD36" s="1523"/>
      <c r="AE36" s="1519"/>
      <c r="AF36" s="1521"/>
      <c r="AG36" s="1522"/>
      <c r="AH36" s="1522"/>
      <c r="AI36" s="1523"/>
      <c r="AJ36" s="4348"/>
      <c r="AK36" s="4364"/>
      <c r="AL36" s="4364"/>
      <c r="AM36" s="4364"/>
      <c r="AN36" s="4349"/>
      <c r="AO36" s="1081"/>
      <c r="AP36" s="1543"/>
      <c r="AQ36" s="1082"/>
      <c r="AR36" s="1523"/>
      <c r="AS36" s="2299"/>
      <c r="AT36" s="2301"/>
      <c r="AU36" s="2300"/>
      <c r="AV36" s="1079"/>
      <c r="AW36" s="1521"/>
      <c r="AX36" s="1522"/>
      <c r="AY36" s="1215"/>
      <c r="AZ36" s="1523"/>
      <c r="BA36" s="1522"/>
      <c r="BB36" s="1525"/>
      <c r="BC36" s="1083"/>
      <c r="BD36" s="1521"/>
      <c r="BE36" s="1522"/>
      <c r="BF36" s="1521"/>
      <c r="BG36" s="1079"/>
      <c r="BH36" s="982"/>
      <c r="BI36" s="487"/>
      <c r="BJ36" s="488"/>
    </row>
    <row r="37" spans="1:62" s="963" customFormat="1" ht="15" customHeight="1" thickBot="1">
      <c r="A37" s="3253">
        <v>12</v>
      </c>
      <c r="B37" s="1665"/>
      <c r="C37" s="1614"/>
      <c r="D37" s="1666"/>
      <c r="E37" s="1614"/>
      <c r="F37" s="1666"/>
      <c r="G37" s="1667"/>
      <c r="H37" s="1668"/>
      <c r="I37" s="1667"/>
      <c r="J37" s="1668"/>
      <c r="K37" s="1667"/>
      <c r="L37" s="1668"/>
      <c r="M37" s="1614"/>
      <c r="N37" s="1666"/>
      <c r="O37" s="1672"/>
      <c r="P37" s="1673"/>
      <c r="Q37" s="1669"/>
      <c r="R37" s="3470"/>
      <c r="S37" s="3470"/>
      <c r="T37" s="4348"/>
      <c r="U37" s="4349"/>
      <c r="V37" s="2210"/>
      <c r="W37" s="1614"/>
      <c r="X37" s="1666"/>
      <c r="Y37" s="1670"/>
      <c r="Z37" s="1614"/>
      <c r="AA37" s="1615"/>
      <c r="AB37" s="1671"/>
      <c r="AC37" s="1666"/>
      <c r="AD37" s="1670"/>
      <c r="AE37" s="1669"/>
      <c r="AF37" s="1614"/>
      <c r="AG37" s="1666"/>
      <c r="AH37" s="1666"/>
      <c r="AI37" s="1670"/>
      <c r="AJ37" s="4344"/>
      <c r="AK37" s="4362"/>
      <c r="AL37" s="4362"/>
      <c r="AM37" s="4362"/>
      <c r="AN37" s="4345"/>
      <c r="AO37" s="1675"/>
      <c r="AP37" s="1634"/>
      <c r="AQ37" s="1676"/>
      <c r="AR37" s="1670"/>
      <c r="AS37" s="2303"/>
      <c r="AT37" s="2305"/>
      <c r="AU37" s="2304"/>
      <c r="AV37" s="1615"/>
      <c r="AW37" s="1614" t="str">
        <f t="shared" ref="AW37" si="0">PROPER(AW18)</f>
        <v/>
      </c>
      <c r="AX37" s="1666"/>
      <c r="AY37" s="1677"/>
      <c r="AZ37" s="1670"/>
      <c r="BA37" s="1666"/>
      <c r="BB37" s="1678"/>
      <c r="BC37" s="1679"/>
      <c r="BD37" s="1614"/>
      <c r="BE37" s="1666"/>
      <c r="BF37" s="1614"/>
      <c r="BG37" s="1615"/>
      <c r="BH37" s="1680"/>
      <c r="BI37" s="487"/>
      <c r="BJ37" s="488"/>
    </row>
    <row r="38" spans="1:62" s="963" customFormat="1" ht="15" customHeight="1" thickTop="1">
      <c r="A38" s="3252">
        <v>13</v>
      </c>
      <c r="B38" s="1641"/>
      <c r="C38" s="1527"/>
      <c r="D38" s="1528"/>
      <c r="E38" s="1527"/>
      <c r="F38" s="1528"/>
      <c r="G38" s="1642"/>
      <c r="H38" s="1643"/>
      <c r="I38" s="1642"/>
      <c r="J38" s="1643"/>
      <c r="K38" s="1642"/>
      <c r="L38" s="1643"/>
      <c r="M38" s="1527"/>
      <c r="N38" s="1528"/>
      <c r="O38" s="1548"/>
      <c r="P38" s="1549"/>
      <c r="Q38" s="1526"/>
      <c r="R38" s="3471"/>
      <c r="S38" s="3471"/>
      <c r="T38" s="4350"/>
      <c r="U38" s="4351"/>
      <c r="V38" s="2211"/>
      <c r="W38" s="1527"/>
      <c r="X38" s="1528"/>
      <c r="Y38" s="1298"/>
      <c r="Z38" s="1527"/>
      <c r="AA38" s="1217"/>
      <c r="AB38" s="1644"/>
      <c r="AC38" s="1528"/>
      <c r="AD38" s="1298"/>
      <c r="AE38" s="1526"/>
      <c r="AF38" s="1527"/>
      <c r="AG38" s="1528"/>
      <c r="AH38" s="1528"/>
      <c r="AI38" s="1298"/>
      <c r="AJ38" s="4346"/>
      <c r="AK38" s="4363"/>
      <c r="AL38" s="4363"/>
      <c r="AM38" s="4363"/>
      <c r="AN38" s="4347"/>
      <c r="AO38" s="1646"/>
      <c r="AP38" s="1657"/>
      <c r="AQ38" s="1647"/>
      <c r="AR38" s="1298"/>
      <c r="AS38" s="2306"/>
      <c r="AT38" s="2308"/>
      <c r="AU38" s="2307"/>
      <c r="AV38" s="1217"/>
      <c r="AW38" s="1527"/>
      <c r="AX38" s="1528"/>
      <c r="AY38" s="1313"/>
      <c r="AZ38" s="1298"/>
      <c r="BA38" s="1528"/>
      <c r="BB38" s="1311"/>
      <c r="BC38" s="1312"/>
      <c r="BD38" s="1527"/>
      <c r="BE38" s="1528"/>
      <c r="BF38" s="1527"/>
      <c r="BG38" s="1217"/>
      <c r="BH38" s="1529"/>
      <c r="BI38" s="487"/>
      <c r="BJ38" s="488"/>
    </row>
    <row r="39" spans="1:62" s="963" customFormat="1" ht="15" customHeight="1">
      <c r="A39" s="3252">
        <v>14</v>
      </c>
      <c r="B39" s="1076"/>
      <c r="C39" s="980"/>
      <c r="D39" s="981"/>
      <c r="E39" s="980"/>
      <c r="F39" s="981"/>
      <c r="G39" s="1077"/>
      <c r="H39" s="1078"/>
      <c r="I39" s="1077"/>
      <c r="J39" s="1078"/>
      <c r="K39" s="1077"/>
      <c r="L39" s="1078"/>
      <c r="M39" s="980"/>
      <c r="N39" s="981"/>
      <c r="O39" s="1541"/>
      <c r="P39" s="1542"/>
      <c r="Q39" s="947"/>
      <c r="R39" s="3468"/>
      <c r="S39" s="3468"/>
      <c r="T39" s="4348"/>
      <c r="U39" s="4349"/>
      <c r="V39" s="979"/>
      <c r="W39" s="980"/>
      <c r="X39" s="981"/>
      <c r="Y39" s="944"/>
      <c r="Z39" s="980"/>
      <c r="AA39" s="1079"/>
      <c r="AB39" s="1080"/>
      <c r="AC39" s="981"/>
      <c r="AD39" s="944"/>
      <c r="AE39" s="947"/>
      <c r="AF39" s="980"/>
      <c r="AG39" s="981"/>
      <c r="AH39" s="981"/>
      <c r="AI39" s="944"/>
      <c r="AJ39" s="4348"/>
      <c r="AK39" s="4364"/>
      <c r="AL39" s="4364"/>
      <c r="AM39" s="4364"/>
      <c r="AN39" s="4349"/>
      <c r="AO39" s="1081"/>
      <c r="AP39" s="1543"/>
      <c r="AQ39" s="1082"/>
      <c r="AR39" s="944"/>
      <c r="AS39" s="2299"/>
      <c r="AT39" s="2301"/>
      <c r="AU39" s="2300"/>
      <c r="AV39" s="1079"/>
      <c r="AW39" s="1201"/>
      <c r="AX39" s="1257"/>
      <c r="AY39" s="1215"/>
      <c r="AZ39" s="1258"/>
      <c r="BA39" s="1257"/>
      <c r="BB39" s="1292"/>
      <c r="BC39" s="1083"/>
      <c r="BD39" s="1256"/>
      <c r="BE39" s="1257"/>
      <c r="BF39" s="1256"/>
      <c r="BG39" s="1079"/>
      <c r="BH39" s="982"/>
      <c r="BI39" s="487"/>
      <c r="BJ39" s="488"/>
    </row>
    <row r="40" spans="1:62" s="963" customFormat="1" ht="15" customHeight="1" thickBot="1">
      <c r="A40" s="3254">
        <v>15</v>
      </c>
      <c r="B40" s="1084"/>
      <c r="C40" s="985"/>
      <c r="D40" s="986"/>
      <c r="E40" s="985"/>
      <c r="F40" s="986"/>
      <c r="G40" s="1085"/>
      <c r="H40" s="1086"/>
      <c r="I40" s="1085"/>
      <c r="J40" s="1086"/>
      <c r="K40" s="1085"/>
      <c r="L40" s="1086"/>
      <c r="M40" s="985"/>
      <c r="N40" s="986"/>
      <c r="O40" s="1681"/>
      <c r="P40" s="1682"/>
      <c r="Q40" s="1520"/>
      <c r="R40" s="3468"/>
      <c r="S40" s="3468"/>
      <c r="T40" s="4348"/>
      <c r="U40" s="4349"/>
      <c r="V40" s="984"/>
      <c r="W40" s="1253"/>
      <c r="X40" s="1254"/>
      <c r="Y40" s="1524"/>
      <c r="Z40" s="1253"/>
      <c r="AA40" s="1087"/>
      <c r="AB40" s="1088"/>
      <c r="AC40" s="1254"/>
      <c r="AD40" s="1524"/>
      <c r="AE40" s="1520"/>
      <c r="AF40" s="1253"/>
      <c r="AG40" s="1254"/>
      <c r="AH40" s="1254"/>
      <c r="AI40" s="1524"/>
      <c r="AJ40" s="4359"/>
      <c r="AK40" s="4360"/>
      <c r="AL40" s="4360"/>
      <c r="AM40" s="4360"/>
      <c r="AN40" s="4361"/>
      <c r="AO40" s="1089"/>
      <c r="AP40" s="1674"/>
      <c r="AQ40" s="1090"/>
      <c r="AR40" s="945"/>
      <c r="AS40" s="2313"/>
      <c r="AT40" s="2315"/>
      <c r="AU40" s="2314"/>
      <c r="AV40" s="1087"/>
      <c r="AW40" s="1200"/>
      <c r="AX40" s="1254"/>
      <c r="AY40" s="1216"/>
      <c r="AZ40" s="1255"/>
      <c r="BA40" s="1254"/>
      <c r="BB40" s="1293"/>
      <c r="BC40" s="1092"/>
      <c r="BD40" s="1253"/>
      <c r="BE40" s="1254"/>
      <c r="BF40" s="1253"/>
      <c r="BG40" s="1087"/>
      <c r="BH40" s="987"/>
      <c r="BI40" s="487"/>
      <c r="BJ40" s="488"/>
    </row>
    <row r="45" spans="1:62" ht="13.5" customHeight="1"/>
    <row r="47" spans="1:62" ht="13.5" customHeight="1"/>
    <row r="56" ht="13.5" customHeight="1"/>
    <row r="62" ht="13.5" customHeight="1"/>
    <row r="65" ht="13.5" customHeight="1"/>
    <row r="69" ht="13.5" customHeight="1"/>
  </sheetData>
  <customSheetViews>
    <customSheetView guid="{BDF1A126-BD1D-4A5E-80B8-98941684E462}" showPageBreaks="1" showGridLines="0" printArea="1" hiddenColumns="1">
      <selection activeCell="M21" sqref="M21:O23"/>
      <colBreaks count="2" manualBreakCount="2">
        <brk id="23" max="1048575" man="1"/>
        <brk id="47" max="38" man="1"/>
      </colBreaks>
      <pageMargins left="0.196850393700787" right="0.196850393700787" top="0.196850393700787" bottom="0.196850393700787" header="0" footer="0"/>
      <pageSetup paperSize="9" fitToWidth="3" orientation="landscape" r:id="rId1"/>
      <headerFooter alignWithMargins="0"/>
    </customSheetView>
    <customSheetView guid="{04F0793E-5444-463D-A1D5-E52E08A4C249}" showPageBreaks="1" showGridLines="0" printArea="1" hiddenColumns="1" view="pageBreakPreview" topLeftCell="AI1">
      <selection activeCell="AY15" sqref="AY15:AY16"/>
      <colBreaks count="2" manualBreakCount="2">
        <brk id="23" max="1048575" man="1"/>
        <brk id="47" max="38" man="1"/>
      </colBreaks>
      <pageMargins left="0.196850393700787" right="0.196850393700787" top="0.196850393700787" bottom="0.196850393700787" header="0" footer="0"/>
      <pageSetup paperSize="9" fitToWidth="3" orientation="landscape" r:id="rId2"/>
      <headerFooter alignWithMargins="0"/>
    </customSheetView>
    <customSheetView guid="{925F74B5-C2F5-4E55-AFE4-045C56169B44}" showPageBreaks="1" showGridLines="0" printArea="1" hiddenColumns="1" topLeftCell="Z1">
      <selection activeCell="AK23" sqref="AK23"/>
      <colBreaks count="2" manualBreakCount="2">
        <brk id="22" max="40" man="1"/>
        <brk id="45" max="39" man="1"/>
      </colBreaks>
      <pageMargins left="0.196850393700787" right="0.196850393700787" top="0.196850393700787" bottom="0.196850393700787" header="0" footer="0"/>
      <pageSetup paperSize="9" fitToWidth="3" orientation="landscape" r:id="rId3"/>
      <headerFooter alignWithMargins="0"/>
    </customSheetView>
    <customSheetView guid="{1FF58891-F32F-4F97-9812-E2D02F4497AA}" showGridLines="0" hiddenColumns="1" topLeftCell="AF1">
      <selection activeCell="A4" sqref="A4:B24"/>
      <colBreaks count="2" manualBreakCount="2">
        <brk id="23" max="1048575" man="1"/>
        <brk id="47" max="38" man="1"/>
      </colBreaks>
      <pageMargins left="0.196850393700787" right="0.196850393700787" top="0.196850393700787" bottom="0.196850393700787" header="0" footer="0"/>
      <pageSetup paperSize="9" fitToWidth="3" orientation="landscape" r:id="rId4"/>
      <headerFooter alignWithMargins="0"/>
    </customSheetView>
    <customSheetView guid="{2A6091F0-BAF4-46A2-BC20-0DE610E67601}" showPageBreaks="1" showGridLines="0" printArea="1" hiddenColumns="1" topLeftCell="AF1">
      <selection activeCell="AP20" sqref="AP20"/>
      <colBreaks count="2" manualBreakCount="2">
        <brk id="23" max="1048575" man="1"/>
        <brk id="47" max="38" man="1"/>
      </colBreaks>
      <pageMargins left="0.196850393700787" right="0.196850393700787" top="0.196850393700787" bottom="0.196850393700787" header="0" footer="0"/>
      <pageSetup paperSize="9" fitToWidth="3" orientation="landscape" r:id="rId5"/>
      <headerFooter alignWithMargins="0"/>
    </customSheetView>
    <customSheetView guid="{5111FDC7-EEAC-46C3-8033-47A3563F0C00}" showPageBreaks="1" showGridLines="0" printArea="1" hiddenColumns="1">
      <selection activeCell="P16" sqref="P16"/>
      <colBreaks count="2" manualBreakCount="2">
        <brk id="23" max="1048575" man="1"/>
        <brk id="47" max="38" man="1"/>
      </colBreaks>
      <pageMargins left="0.196850393700787" right="0.196850393700787" top="0.196850393700787" bottom="0.196850393700787" header="0" footer="0"/>
      <pageSetup paperSize="9" fitToWidth="3" orientation="landscape" r:id="rId6"/>
      <headerFooter alignWithMargins="0"/>
    </customSheetView>
    <customSheetView guid="{2A5E79E4-584C-4F65-A220-87928CEA02AF}" showPageBreaks="1" showGridLines="0" printArea="1" hiddenColumns="1">
      <selection activeCell="O14" sqref="O14"/>
      <colBreaks count="2" manualBreakCount="2">
        <brk id="22" max="1048575" man="1"/>
        <brk id="46" max="38" man="1"/>
      </colBreaks>
      <pageMargins left="0.196850393700787" right="0.196850393700787" top="0.196850393700787" bottom="0.196850393700787" header="0" footer="0"/>
      <pageSetup paperSize="9" fitToWidth="3" orientation="landscape" r:id="rId7"/>
      <headerFooter alignWithMargins="0"/>
    </customSheetView>
    <customSheetView guid="{66872EF1-41BD-4D4B-B603-B8B0D03DAD22}" showPageBreaks="1" showGridLines="0" printArea="1" hiddenColumns="1">
      <selection activeCell="O4" sqref="O4:P10"/>
      <colBreaks count="2" manualBreakCount="2">
        <brk id="22" max="1048575" man="1"/>
        <brk id="46" max="38" man="1"/>
      </colBreaks>
      <pageMargins left="0.196850393700787" right="0.196850393700787" top="0.196850393700787" bottom="0.196850393700787" header="0" footer="0"/>
      <pageSetup paperSize="9" fitToWidth="3" orientation="landscape" r:id="rId8"/>
      <headerFooter alignWithMargins="0"/>
    </customSheetView>
    <customSheetView guid="{ACE56013-11B3-4BF4-BD0B-BF59142DAC13}" showPageBreaks="1" showGridLines="0" printArea="1" hiddenColumns="1" topLeftCell="P1">
      <selection activeCell="P16" sqref="P16"/>
      <colBreaks count="2" manualBreakCount="2">
        <brk id="22" max="1048575" man="1"/>
        <brk id="46" max="38" man="1"/>
      </colBreaks>
      <pageMargins left="0.196850393700787" right="0.196850393700787" top="0.196850393700787" bottom="0.196850393700787" header="0" footer="0"/>
      <pageSetup paperSize="9" fitToWidth="3" orientation="landscape" r:id="rId9"/>
      <headerFooter alignWithMargins="0"/>
    </customSheetView>
  </customSheetViews>
  <mergeCells count="156">
    <mergeCell ref="Q21:Q23"/>
    <mergeCell ref="V21:V23"/>
    <mergeCell ref="A4:A24"/>
    <mergeCell ref="B4:B23"/>
    <mergeCell ref="C4:D14"/>
    <mergeCell ref="Z13:AA14"/>
    <mergeCell ref="AB13:AB14"/>
    <mergeCell ref="AD14:AD15"/>
    <mergeCell ref="Z21:AA21"/>
    <mergeCell ref="AC21:AC22"/>
    <mergeCell ref="R21:T21"/>
    <mergeCell ref="R23:U24"/>
    <mergeCell ref="E4:F13"/>
    <mergeCell ref="G4:H13"/>
    <mergeCell ref="I4:J14"/>
    <mergeCell ref="K4:L14"/>
    <mergeCell ref="M4:N14"/>
    <mergeCell ref="R22:T22"/>
    <mergeCell ref="R4:U8"/>
    <mergeCell ref="R18:T18"/>
    <mergeCell ref="E19:H19"/>
    <mergeCell ref="E20:H20"/>
    <mergeCell ref="E18:H18"/>
    <mergeCell ref="AC9:AC10"/>
    <mergeCell ref="AJ36:AN36"/>
    <mergeCell ref="AJ31:AN31"/>
    <mergeCell ref="AJ32:AN32"/>
    <mergeCell ref="AJ33:AN33"/>
    <mergeCell ref="AJ28:AN28"/>
    <mergeCell ref="AJ29:AN29"/>
    <mergeCell ref="AJ30:AN30"/>
    <mergeCell ref="AJ26:AN26"/>
    <mergeCell ref="AJ27:AN27"/>
    <mergeCell ref="V4:V15"/>
    <mergeCell ref="AO4:AP7"/>
    <mergeCell ref="AJ18:AM18"/>
    <mergeCell ref="AO10:AO11"/>
    <mergeCell ref="W4:Y20"/>
    <mergeCell ref="Z4:AD8"/>
    <mergeCell ref="AE4:AE18"/>
    <mergeCell ref="AA24:AB24"/>
    <mergeCell ref="AC24:AD24"/>
    <mergeCell ref="AJ19:AM19"/>
    <mergeCell ref="AJ14:AN14"/>
    <mergeCell ref="Q4:Q19"/>
    <mergeCell ref="E17:G17"/>
    <mergeCell ref="Z19:AA20"/>
    <mergeCell ref="AB19:AB20"/>
    <mergeCell ref="AE20:AE21"/>
    <mergeCell ref="Z16:AA17"/>
    <mergeCell ref="AB16:AB17"/>
    <mergeCell ref="AO13:AO14"/>
    <mergeCell ref="AP13:AP14"/>
    <mergeCell ref="AP10:AP11"/>
    <mergeCell ref="O4:P10"/>
    <mergeCell ref="L21:N23"/>
    <mergeCell ref="R10:T10"/>
    <mergeCell ref="AD9:AD10"/>
    <mergeCell ref="AF4:AI13"/>
    <mergeCell ref="R20:T20"/>
    <mergeCell ref="Z11:AA12"/>
    <mergeCell ref="AB11:AB12"/>
    <mergeCell ref="AC11:AC12"/>
    <mergeCell ref="AD11:AD12"/>
    <mergeCell ref="AJ8:AM8"/>
    <mergeCell ref="AJ9:AM9"/>
    <mergeCell ref="AJ4:AN7"/>
    <mergeCell ref="AP23:AP24"/>
    <mergeCell ref="AQ4:AR16"/>
    <mergeCell ref="AS21:AT21"/>
    <mergeCell ref="AY20:AY22"/>
    <mergeCell ref="AZ20:AZ22"/>
    <mergeCell ref="AJ15:AL16"/>
    <mergeCell ref="AU4:AV10"/>
    <mergeCell ref="AU11:AV14"/>
    <mergeCell ref="BF4:BH14"/>
    <mergeCell ref="BF22:BH22"/>
    <mergeCell ref="AS15:AS16"/>
    <mergeCell ref="AT15:AT16"/>
    <mergeCell ref="BF15:BH21"/>
    <mergeCell ref="AW4:AX7"/>
    <mergeCell ref="AW10:AW11"/>
    <mergeCell ref="AX15:AX16"/>
    <mergeCell ref="AS4:AT9"/>
    <mergeCell ref="AW15:AW16"/>
    <mergeCell ref="AU17:AV17"/>
    <mergeCell ref="AQ17:AR17"/>
    <mergeCell ref="BI15:BI16"/>
    <mergeCell ref="BJ15:BJ16"/>
    <mergeCell ref="AS22:AS23"/>
    <mergeCell ref="AT22:AT23"/>
    <mergeCell ref="BI21:BI22"/>
    <mergeCell ref="AY4:AZ17"/>
    <mergeCell ref="BA4:BC11"/>
    <mergeCell ref="BD4:BE10"/>
    <mergeCell ref="BA23:BA24"/>
    <mergeCell ref="BB23:BB24"/>
    <mergeCell ref="BC22:BC24"/>
    <mergeCell ref="BJ17:BJ18"/>
    <mergeCell ref="AT17:AT18"/>
    <mergeCell ref="BI17:BI18"/>
    <mergeCell ref="BI19:BI20"/>
    <mergeCell ref="BD20:BE20"/>
    <mergeCell ref="BJ19:BJ20"/>
    <mergeCell ref="BJ21:BJ22"/>
    <mergeCell ref="AS17:AS18"/>
    <mergeCell ref="AS24:AT24"/>
    <mergeCell ref="BA12:BC13"/>
    <mergeCell ref="BG24:BH24"/>
    <mergeCell ref="BI2:BJ2"/>
    <mergeCell ref="C3:D3"/>
    <mergeCell ref="E3:F3"/>
    <mergeCell ref="G3:H3"/>
    <mergeCell ref="I3:J3"/>
    <mergeCell ref="K3:L3"/>
    <mergeCell ref="M3:N3"/>
    <mergeCell ref="R3:U3"/>
    <mergeCell ref="W3:Y3"/>
    <mergeCell ref="Z3:AD3"/>
    <mergeCell ref="AF3:AI3"/>
    <mergeCell ref="AJ3:AN3"/>
    <mergeCell ref="C2:L2"/>
    <mergeCell ref="W2:AN2"/>
    <mergeCell ref="AY2:BH2"/>
    <mergeCell ref="AU3:AV3"/>
    <mergeCell ref="BF3:BH3"/>
    <mergeCell ref="AO3:AP3"/>
    <mergeCell ref="AS3:AT3"/>
    <mergeCell ref="AW3:AX3"/>
    <mergeCell ref="AY3:AZ3"/>
    <mergeCell ref="BA3:BC3"/>
    <mergeCell ref="BD3:BE3"/>
    <mergeCell ref="T34:U34"/>
    <mergeCell ref="T35:U35"/>
    <mergeCell ref="T36:U36"/>
    <mergeCell ref="T37:U37"/>
    <mergeCell ref="T38:U38"/>
    <mergeCell ref="T39:U39"/>
    <mergeCell ref="T40:U40"/>
    <mergeCell ref="BA15:BC16"/>
    <mergeCell ref="T25:U25"/>
    <mergeCell ref="T26:U26"/>
    <mergeCell ref="T27:U27"/>
    <mergeCell ref="T28:U28"/>
    <mergeCell ref="T29:U29"/>
    <mergeCell ref="T30:U30"/>
    <mergeCell ref="T31:U31"/>
    <mergeCell ref="T32:U32"/>
    <mergeCell ref="T33:U33"/>
    <mergeCell ref="AQ24:AR24"/>
    <mergeCell ref="AJ40:AN40"/>
    <mergeCell ref="AJ37:AN37"/>
    <mergeCell ref="AJ38:AN38"/>
    <mergeCell ref="AJ39:AN39"/>
    <mergeCell ref="AJ34:AN34"/>
    <mergeCell ref="AJ35:AN35"/>
  </mergeCells>
  <pageMargins left="0.196850393700787" right="0.196850393700787" top="0.196850393700787" bottom="0.196850393700787" header="0" footer="0"/>
  <pageSetup paperSize="9" fitToWidth="3" orientation="landscape" r:id="rId10"/>
  <headerFooter alignWithMargins="0"/>
  <colBreaks count="2" manualBreakCount="2">
    <brk id="22" max="1048575" man="1"/>
    <brk id="46" max="38" man="1"/>
  </colBreaks>
  <drawing r:id="rId11"/>
  <legacyDrawing r:id="rId1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147"/>
  <sheetViews>
    <sheetView showGridLines="0" topLeftCell="A7" zoomScaleNormal="100" workbookViewId="0">
      <selection activeCell="M39" sqref="M39"/>
    </sheetView>
  </sheetViews>
  <sheetFormatPr defaultColWidth="12.28515625" defaultRowHeight="12.75"/>
  <cols>
    <col min="1" max="1" width="2.7109375" style="18" customWidth="1"/>
    <col min="2" max="2" width="32.28515625" style="18" customWidth="1"/>
    <col min="3" max="3" width="6.28515625" style="18" customWidth="1"/>
    <col min="4" max="4" width="4.85546875" style="18" customWidth="1"/>
    <col min="5" max="5" width="4.42578125" style="18" customWidth="1"/>
    <col min="6" max="8" width="2.7109375" style="18" customWidth="1"/>
    <col min="9" max="9" width="1.7109375" style="18" customWidth="1"/>
    <col min="10" max="10" width="2.85546875" style="18" customWidth="1"/>
    <col min="11" max="11" width="9.42578125" style="19" customWidth="1"/>
    <col min="12" max="12" width="11.42578125" style="19" customWidth="1"/>
    <col min="13" max="13" width="22.85546875" style="3328" customWidth="1"/>
    <col min="14" max="14" width="19.140625" style="19" hidden="1" customWidth="1"/>
    <col min="15" max="15" width="4.140625" style="18" customWidth="1"/>
    <col min="16" max="16" width="8" style="18" customWidth="1"/>
    <col min="17" max="16384" width="12.28515625" style="18"/>
  </cols>
  <sheetData>
    <row r="1" spans="1:18" s="28" customFormat="1" ht="18">
      <c r="A1" s="2490" t="s">
        <v>1257</v>
      </c>
      <c r="H1" s="2491"/>
      <c r="I1" s="2491"/>
      <c r="J1" s="2491"/>
      <c r="K1" s="2491"/>
      <c r="L1" s="2491"/>
      <c r="M1" s="3550"/>
      <c r="N1" s="2491"/>
      <c r="O1" s="3550"/>
      <c r="P1" s="2491"/>
    </row>
    <row r="2" spans="1:18" s="14" customFormat="1" ht="10.5" customHeight="1">
      <c r="A2" s="4553" t="s">
        <v>1230</v>
      </c>
      <c r="B2" s="2972">
        <v>5.01</v>
      </c>
      <c r="C2" s="3312"/>
      <c r="D2" s="4554">
        <v>5.0199999999999996</v>
      </c>
      <c r="E2" s="4555"/>
      <c r="F2" s="4556">
        <v>5.03</v>
      </c>
      <c r="G2" s="4557"/>
      <c r="H2" s="4557"/>
      <c r="I2" s="4557"/>
      <c r="J2" s="4558"/>
      <c r="K2" s="4557">
        <v>5.04</v>
      </c>
      <c r="L2" s="4558"/>
      <c r="M2" s="3324">
        <v>5.05</v>
      </c>
      <c r="N2" s="3421"/>
      <c r="O2" s="3549"/>
      <c r="P2" s="326"/>
    </row>
    <row r="3" spans="1:18" s="13" customFormat="1" ht="12.75" customHeight="1">
      <c r="A3" s="4553"/>
      <c r="B3" s="4559" t="s">
        <v>1164</v>
      </c>
      <c r="C3" s="3313"/>
      <c r="D3" s="4561" t="s">
        <v>1768</v>
      </c>
      <c r="E3" s="4562"/>
      <c r="F3" s="4565" t="s">
        <v>1651</v>
      </c>
      <c r="G3" s="4566"/>
      <c r="H3" s="4566"/>
      <c r="I3" s="4566"/>
      <c r="J3" s="4567"/>
      <c r="K3" s="4570" t="s">
        <v>1769</v>
      </c>
      <c r="L3" s="4571"/>
      <c r="M3" s="4552" t="s">
        <v>1740</v>
      </c>
      <c r="N3" s="3419"/>
      <c r="O3" s="3428"/>
      <c r="P3" s="326"/>
    </row>
    <row r="4" spans="1:18" s="13" customFormat="1" ht="14.25" customHeight="1">
      <c r="A4" s="4553"/>
      <c r="B4" s="4560"/>
      <c r="C4" s="3314"/>
      <c r="D4" s="4563"/>
      <c r="E4" s="4564"/>
      <c r="F4" s="4568"/>
      <c r="G4" s="4568"/>
      <c r="H4" s="4568"/>
      <c r="I4" s="4568"/>
      <c r="J4" s="4569"/>
      <c r="K4" s="4572"/>
      <c r="L4" s="4573"/>
      <c r="M4" s="4552"/>
      <c r="N4" s="3261"/>
      <c r="O4" s="3326"/>
      <c r="P4" s="326"/>
    </row>
    <row r="5" spans="1:18" s="13" customFormat="1" ht="14.25" customHeight="1" thickBot="1">
      <c r="A5" s="4553"/>
      <c r="B5" s="4574" t="s">
        <v>1563</v>
      </c>
      <c r="C5" s="3315"/>
      <c r="D5" s="4563"/>
      <c r="E5" s="4564"/>
      <c r="F5" s="4568"/>
      <c r="G5" s="4568"/>
      <c r="H5" s="4568"/>
      <c r="I5" s="4568"/>
      <c r="J5" s="4569"/>
      <c r="K5" s="4572"/>
      <c r="L5" s="4573"/>
      <c r="M5" s="4552"/>
      <c r="N5" s="3261"/>
      <c r="O5" s="3429"/>
      <c r="P5" s="326"/>
    </row>
    <row r="6" spans="1:18" s="13" customFormat="1" ht="14.25" customHeight="1">
      <c r="A6" s="4553"/>
      <c r="B6" s="4574"/>
      <c r="C6" s="3315"/>
      <c r="D6" s="4563"/>
      <c r="E6" s="4564"/>
      <c r="F6" s="4568"/>
      <c r="G6" s="4568"/>
      <c r="H6" s="4568"/>
      <c r="I6" s="4568"/>
      <c r="J6" s="4569"/>
      <c r="K6" s="4572"/>
      <c r="L6" s="4573"/>
      <c r="M6" s="3483" t="s">
        <v>1805</v>
      </c>
      <c r="N6" s="3261"/>
      <c r="O6" s="16">
        <v>1</v>
      </c>
      <c r="P6" s="4547"/>
      <c r="Q6" s="347"/>
    </row>
    <row r="7" spans="1:18" s="13" customFormat="1" ht="15.75" customHeight="1" thickBot="1">
      <c r="A7" s="4553"/>
      <c r="B7" s="4574"/>
      <c r="C7" s="3315"/>
      <c r="D7" s="4563"/>
      <c r="E7" s="4564"/>
      <c r="F7" s="4568"/>
      <c r="G7" s="4568"/>
      <c r="H7" s="4568"/>
      <c r="I7" s="4568"/>
      <c r="J7" s="4569"/>
      <c r="K7" s="4572"/>
      <c r="L7" s="4573"/>
      <c r="M7" s="3483" t="s">
        <v>1804</v>
      </c>
      <c r="N7" s="3262"/>
      <c r="O7" s="15">
        <v>2</v>
      </c>
      <c r="P7" s="4548"/>
      <c r="Q7" s="347"/>
      <c r="R7" s="2856"/>
    </row>
    <row r="8" spans="1:18" s="13" customFormat="1" ht="11.25" customHeight="1">
      <c r="A8" s="4553"/>
      <c r="B8" s="3256" t="s">
        <v>974</v>
      </c>
      <c r="C8" s="3256"/>
      <c r="D8" s="4563"/>
      <c r="E8" s="4564"/>
      <c r="F8" s="4568"/>
      <c r="G8" s="4568"/>
      <c r="H8" s="4568"/>
      <c r="I8" s="4568"/>
      <c r="J8" s="4569"/>
      <c r="K8" s="4575" t="s">
        <v>974</v>
      </c>
      <c r="L8" s="4576"/>
      <c r="M8" s="3483" t="s">
        <v>1741</v>
      </c>
      <c r="N8" s="3262"/>
      <c r="O8" s="17">
        <v>3</v>
      </c>
      <c r="P8" s="326"/>
      <c r="Q8" s="2856"/>
    </row>
    <row r="9" spans="1:18" s="13" customFormat="1" ht="11.25" customHeight="1">
      <c r="A9" s="4553"/>
      <c r="B9" s="3257" t="s">
        <v>1382</v>
      </c>
      <c r="C9" s="3257"/>
      <c r="D9" s="3259"/>
      <c r="E9" s="3260"/>
      <c r="F9" s="83"/>
      <c r="G9" s="83"/>
      <c r="H9" s="83"/>
      <c r="I9" s="83"/>
      <c r="J9" s="84"/>
      <c r="K9" s="4577" t="s">
        <v>1382</v>
      </c>
      <c r="L9" s="4578"/>
      <c r="M9" s="3483" t="s">
        <v>1742</v>
      </c>
      <c r="N9" s="3262"/>
      <c r="O9" s="3418">
        <v>4</v>
      </c>
      <c r="P9" s="326"/>
    </row>
    <row r="10" spans="1:18" s="14" customFormat="1" ht="9.9499999999999993" customHeight="1">
      <c r="A10" s="4553"/>
      <c r="B10" s="3316" t="s">
        <v>44</v>
      </c>
      <c r="C10" s="3441"/>
      <c r="D10" s="4579" t="s">
        <v>24</v>
      </c>
      <c r="E10" s="4579"/>
      <c r="F10" s="4580" t="s">
        <v>219</v>
      </c>
      <c r="G10" s="4581"/>
      <c r="H10" s="4581"/>
      <c r="I10" s="4581"/>
      <c r="J10" s="4582"/>
      <c r="K10" s="539"/>
      <c r="L10" s="540"/>
      <c r="M10" s="3325"/>
      <c r="N10" s="2859"/>
      <c r="O10" s="3325"/>
      <c r="P10" s="326"/>
    </row>
    <row r="11" spans="1:18" s="13" customFormat="1" ht="12" customHeight="1">
      <c r="A11" s="2974">
        <v>1</v>
      </c>
      <c r="B11" s="1095" t="s">
        <v>542</v>
      </c>
      <c r="C11" s="3482"/>
      <c r="D11" s="16"/>
      <c r="E11" s="16"/>
      <c r="F11" s="15"/>
      <c r="G11" s="16"/>
      <c r="H11" s="16"/>
      <c r="I11" s="16"/>
      <c r="J11" s="17"/>
      <c r="K11" s="15"/>
      <c r="L11" s="17"/>
      <c r="M11" s="3326"/>
      <c r="N11" s="2856"/>
      <c r="O11" s="3327"/>
      <c r="P11" s="326"/>
      <c r="Q11" s="28"/>
    </row>
    <row r="12" spans="1:18" s="13" customFormat="1" ht="11.25" customHeight="1">
      <c r="A12" s="2974">
        <v>2</v>
      </c>
      <c r="B12" s="1095" t="s">
        <v>1597</v>
      </c>
      <c r="C12" s="3482"/>
      <c r="D12" s="173"/>
      <c r="E12" s="16"/>
      <c r="F12" s="15"/>
      <c r="G12" s="16"/>
      <c r="H12" s="16"/>
      <c r="I12" s="16"/>
      <c r="J12" s="17"/>
      <c r="K12" s="15"/>
      <c r="L12" s="17"/>
      <c r="M12" s="3326"/>
      <c r="N12" s="2856"/>
      <c r="O12" s="3326"/>
      <c r="P12" s="326"/>
      <c r="Q12" s="31"/>
    </row>
    <row r="13" spans="1:18" s="13" customFormat="1" ht="9.9499999999999993" customHeight="1">
      <c r="A13" s="2974">
        <v>3</v>
      </c>
      <c r="B13" s="1095" t="s">
        <v>543</v>
      </c>
      <c r="C13" s="3482"/>
      <c r="D13" s="173"/>
      <c r="E13" s="16"/>
      <c r="F13" s="15"/>
      <c r="G13" s="16"/>
      <c r="H13" s="16"/>
      <c r="I13" s="16"/>
      <c r="J13" s="17"/>
      <c r="K13" s="15"/>
      <c r="L13" s="17"/>
      <c r="M13" s="3329"/>
      <c r="N13" s="2856"/>
      <c r="O13" s="3326"/>
      <c r="P13" s="326"/>
      <c r="Q13" s="78"/>
    </row>
    <row r="14" spans="1:18" s="13" customFormat="1" ht="9.9499999999999993" customHeight="1">
      <c r="A14" s="2974">
        <v>4</v>
      </c>
      <c r="B14" s="1095" t="s">
        <v>517</v>
      </c>
      <c r="C14" s="3482"/>
      <c r="D14" s="173"/>
      <c r="E14" s="16"/>
      <c r="F14" s="15"/>
      <c r="G14" s="16"/>
      <c r="H14" s="16"/>
      <c r="I14" s="16"/>
      <c r="J14" s="17"/>
      <c r="K14" s="15"/>
      <c r="L14" s="17"/>
      <c r="M14" s="3329"/>
      <c r="N14" s="2856"/>
      <c r="O14" s="84"/>
      <c r="P14" s="326"/>
      <c r="Q14" s="30"/>
    </row>
    <row r="15" spans="1:18" s="13" customFormat="1" ht="14.25" customHeight="1">
      <c r="A15" s="2974">
        <v>5</v>
      </c>
      <c r="B15" s="1095" t="s">
        <v>32</v>
      </c>
      <c r="C15" s="3482"/>
      <c r="D15" s="173"/>
      <c r="E15" s="16"/>
      <c r="F15" s="15"/>
      <c r="G15" s="16"/>
      <c r="H15" s="16"/>
      <c r="I15" s="16"/>
      <c r="J15" s="17"/>
      <c r="K15" s="15"/>
      <c r="L15" s="17"/>
      <c r="M15" s="3326"/>
      <c r="N15" s="2856"/>
      <c r="O15" s="84"/>
      <c r="P15" s="326"/>
    </row>
    <row r="16" spans="1:18" s="13" customFormat="1" ht="11.25" customHeight="1">
      <c r="A16" s="2974">
        <v>6</v>
      </c>
      <c r="B16" s="1095" t="s">
        <v>444</v>
      </c>
      <c r="C16" s="3482"/>
      <c r="D16" s="173"/>
      <c r="E16" s="16"/>
      <c r="F16" s="15"/>
      <c r="G16" s="16"/>
      <c r="H16" s="16"/>
      <c r="I16" s="16"/>
      <c r="J16" s="17"/>
      <c r="K16" s="15"/>
      <c r="L16" s="17"/>
      <c r="M16" s="3326"/>
      <c r="N16" s="2856"/>
      <c r="O16" s="3326"/>
      <c r="P16" s="326"/>
    </row>
    <row r="17" spans="1:17" s="13" customFormat="1" ht="14.25" customHeight="1">
      <c r="A17" s="2974">
        <v>7</v>
      </c>
      <c r="B17" s="1095" t="s">
        <v>737</v>
      </c>
      <c r="C17" s="3482"/>
      <c r="D17" s="16"/>
      <c r="E17" s="16"/>
      <c r="F17" s="15"/>
      <c r="G17" s="16"/>
      <c r="H17" s="16"/>
      <c r="I17" s="16"/>
      <c r="J17" s="17"/>
      <c r="K17" s="15"/>
      <c r="L17" s="17"/>
      <c r="M17" s="3329"/>
      <c r="N17" s="2856"/>
      <c r="O17" s="3326"/>
      <c r="P17" s="326"/>
    </row>
    <row r="18" spans="1:17" s="13" customFormat="1" ht="15.75" customHeight="1">
      <c r="A18" s="2974">
        <v>8</v>
      </c>
      <c r="B18" s="1095" t="s">
        <v>446</v>
      </c>
      <c r="C18" s="3482"/>
      <c r="D18" s="16"/>
      <c r="E18" s="16"/>
      <c r="F18" s="15"/>
      <c r="G18" s="16"/>
      <c r="H18" s="16"/>
      <c r="I18" s="16"/>
      <c r="J18" s="17"/>
      <c r="K18" s="15"/>
      <c r="L18" s="17"/>
      <c r="M18" s="3326"/>
      <c r="N18" s="2856"/>
      <c r="O18" s="3326"/>
      <c r="P18" s="326"/>
    </row>
    <row r="19" spans="1:17" s="13" customFormat="1" ht="9.75" customHeight="1">
      <c r="A19" s="2974">
        <v>9</v>
      </c>
      <c r="B19" s="1095" t="s">
        <v>33</v>
      </c>
      <c r="C19" s="3482"/>
      <c r="D19" s="16"/>
      <c r="E19" s="16"/>
      <c r="F19" s="15"/>
      <c r="G19" s="16"/>
      <c r="H19" s="16"/>
      <c r="I19" s="16"/>
      <c r="J19" s="17"/>
      <c r="K19" s="15"/>
      <c r="L19" s="17"/>
      <c r="M19" s="3326"/>
      <c r="N19" s="2856"/>
      <c r="O19" s="3326"/>
      <c r="P19" s="1097"/>
    </row>
    <row r="20" spans="1:17" s="13" customFormat="1" ht="9.9499999999999993" customHeight="1">
      <c r="A20" s="2974">
        <v>10</v>
      </c>
      <c r="B20" s="1095" t="s">
        <v>445</v>
      </c>
      <c r="C20" s="3482"/>
      <c r="D20" s="16"/>
      <c r="E20" s="16"/>
      <c r="F20" s="15"/>
      <c r="G20" s="16"/>
      <c r="H20" s="16"/>
      <c r="I20" s="16"/>
      <c r="J20" s="17"/>
      <c r="K20" s="15"/>
      <c r="L20" s="17"/>
      <c r="M20" s="3326"/>
      <c r="N20" s="2856"/>
      <c r="O20" s="3326"/>
      <c r="P20" s="1097"/>
    </row>
    <row r="21" spans="1:17" s="13" customFormat="1" ht="9.9499999999999993" customHeight="1">
      <c r="A21" s="2974">
        <v>11</v>
      </c>
      <c r="B21" s="1095" t="s">
        <v>50</v>
      </c>
      <c r="C21" s="3482"/>
      <c r="D21" s="16"/>
      <c r="E21" s="16"/>
      <c r="F21" s="15"/>
      <c r="G21" s="16"/>
      <c r="H21" s="16"/>
      <c r="I21" s="16"/>
      <c r="J21" s="17"/>
      <c r="K21" s="15"/>
      <c r="L21" s="17"/>
      <c r="M21" s="3326"/>
      <c r="N21" s="2856"/>
      <c r="O21" s="3326"/>
      <c r="P21" s="1097"/>
    </row>
    <row r="22" spans="1:17" s="13" customFormat="1" ht="12" customHeight="1">
      <c r="A22" s="2974">
        <v>12</v>
      </c>
      <c r="B22" s="1096" t="s">
        <v>447</v>
      </c>
      <c r="C22" s="3483"/>
      <c r="D22" s="16"/>
      <c r="E22" s="16"/>
      <c r="F22" s="15"/>
      <c r="G22" s="16"/>
      <c r="H22" s="16"/>
      <c r="I22" s="16"/>
      <c r="J22" s="17"/>
      <c r="K22" s="15"/>
      <c r="L22" s="17"/>
      <c r="M22" s="3326"/>
      <c r="N22" s="2856"/>
      <c r="O22" s="3326"/>
      <c r="P22" s="1097"/>
    </row>
    <row r="23" spans="1:17" s="13" customFormat="1" ht="13.5" customHeight="1">
      <c r="A23" s="2974">
        <v>13</v>
      </c>
      <c r="B23" s="1095" t="s">
        <v>448</v>
      </c>
      <c r="C23" s="3482"/>
      <c r="D23" s="16"/>
      <c r="E23" s="16"/>
      <c r="F23" s="15"/>
      <c r="G23" s="16"/>
      <c r="H23" s="16"/>
      <c r="I23" s="16"/>
      <c r="J23" s="17"/>
      <c r="K23" s="15"/>
      <c r="L23" s="17"/>
      <c r="M23" s="3326"/>
      <c r="N23" s="2856"/>
      <c r="O23" s="3326"/>
      <c r="P23" s="1097"/>
    </row>
    <row r="24" spans="1:17" s="13" customFormat="1" ht="9.9499999999999993" customHeight="1">
      <c r="A24" s="2974">
        <v>14</v>
      </c>
      <c r="B24" s="1095" t="s">
        <v>515</v>
      </c>
      <c r="C24" s="3482"/>
      <c r="D24" s="16"/>
      <c r="E24" s="16"/>
      <c r="F24" s="15"/>
      <c r="G24" s="16"/>
      <c r="H24" s="173"/>
      <c r="I24" s="173"/>
      <c r="J24" s="1420"/>
      <c r="K24" s="15"/>
      <c r="L24" s="17"/>
      <c r="M24" s="3326"/>
      <c r="N24" s="2856"/>
      <c r="O24" s="3326"/>
      <c r="P24" s="1097"/>
    </row>
    <row r="25" spans="1:17" s="13" customFormat="1" ht="9.9499999999999993" customHeight="1">
      <c r="A25" s="2974">
        <v>15</v>
      </c>
      <c r="B25" s="1095" t="s">
        <v>449</v>
      </c>
      <c r="C25" s="3482"/>
      <c r="D25" s="16"/>
      <c r="E25" s="16"/>
      <c r="F25" s="15"/>
      <c r="G25" s="16"/>
      <c r="H25" s="173"/>
      <c r="I25" s="173"/>
      <c r="J25" s="1420"/>
      <c r="K25" s="15"/>
      <c r="L25" s="17"/>
      <c r="M25" s="3326"/>
      <c r="N25" s="2856"/>
      <c r="O25" s="3326"/>
      <c r="P25" s="1097"/>
      <c r="Q25" s="14"/>
    </row>
    <row r="26" spans="1:17" s="13" customFormat="1" ht="9.9499999999999993" customHeight="1">
      <c r="A26" s="2974">
        <v>16</v>
      </c>
      <c r="B26" s="1095" t="s">
        <v>450</v>
      </c>
      <c r="C26" s="3482"/>
      <c r="D26" s="16"/>
      <c r="E26" s="16"/>
      <c r="F26" s="15"/>
      <c r="G26" s="16"/>
      <c r="H26" s="173"/>
      <c r="I26" s="173"/>
      <c r="J26" s="1420"/>
      <c r="K26" s="15"/>
      <c r="L26" s="17"/>
      <c r="M26" s="3326"/>
      <c r="N26" s="2856"/>
      <c r="O26" s="3326"/>
      <c r="P26" s="1097"/>
      <c r="Q26" s="14"/>
    </row>
    <row r="27" spans="1:17" s="13" customFormat="1" ht="9.9499999999999993" customHeight="1">
      <c r="A27" s="2974">
        <v>17</v>
      </c>
      <c r="B27" s="1095" t="s">
        <v>1314</v>
      </c>
      <c r="C27" s="3482"/>
      <c r="D27" s="16"/>
      <c r="E27" s="16"/>
      <c r="F27" s="1419"/>
      <c r="G27" s="173"/>
      <c r="H27" s="173"/>
      <c r="I27" s="173"/>
      <c r="J27" s="1420"/>
      <c r="K27" s="15"/>
      <c r="L27" s="17"/>
      <c r="M27" s="3326"/>
      <c r="N27" s="2856"/>
      <c r="O27" s="3326"/>
      <c r="Q27" s="2856"/>
    </row>
    <row r="28" spans="1:17" s="13" customFormat="1" ht="9.9499999999999993" customHeight="1">
      <c r="A28" s="2974">
        <v>18</v>
      </c>
      <c r="B28" s="1095" t="s">
        <v>451</v>
      </c>
      <c r="C28" s="3482"/>
      <c r="D28" s="16"/>
      <c r="E28" s="16"/>
      <c r="F28" s="1419"/>
      <c r="G28" s="173"/>
      <c r="H28" s="173"/>
      <c r="I28" s="173"/>
      <c r="J28" s="1420"/>
      <c r="K28" s="15"/>
      <c r="L28" s="17"/>
      <c r="M28" s="3326"/>
      <c r="N28" s="2856"/>
      <c r="O28" s="3326"/>
    </row>
    <row r="29" spans="1:17" s="13" customFormat="1" ht="9.9499999999999993" customHeight="1">
      <c r="A29" s="2974">
        <v>19</v>
      </c>
      <c r="B29" s="1095" t="s">
        <v>1315</v>
      </c>
      <c r="C29" s="3482"/>
      <c r="D29" s="16"/>
      <c r="E29" s="16"/>
      <c r="F29" s="1419"/>
      <c r="G29" s="173"/>
      <c r="H29" s="173"/>
      <c r="I29" s="173"/>
      <c r="J29" s="1420"/>
      <c r="K29" s="15"/>
      <c r="L29" s="17"/>
      <c r="M29" s="3326"/>
      <c r="N29" s="2856"/>
      <c r="O29" s="3326"/>
    </row>
    <row r="30" spans="1:17" s="13" customFormat="1" ht="9.9499999999999993" customHeight="1">
      <c r="A30" s="2974">
        <v>20</v>
      </c>
      <c r="B30" s="1095" t="s">
        <v>452</v>
      </c>
      <c r="C30" s="3482"/>
      <c r="D30" s="16"/>
      <c r="E30" s="16"/>
      <c r="F30" s="15"/>
      <c r="G30" s="16"/>
      <c r="H30" s="173"/>
      <c r="I30" s="173"/>
      <c r="J30" s="1420"/>
      <c r="K30" s="15"/>
      <c r="L30" s="17"/>
      <c r="M30" s="3326"/>
      <c r="N30" s="2856"/>
      <c r="O30" s="3326"/>
    </row>
    <row r="31" spans="1:17" s="13" customFormat="1" ht="9.9499999999999993" customHeight="1">
      <c r="A31" s="2974">
        <v>21</v>
      </c>
      <c r="B31" s="1095" t="s">
        <v>453</v>
      </c>
      <c r="C31" s="3482"/>
      <c r="D31" s="16"/>
      <c r="E31" s="16"/>
      <c r="F31" s="15"/>
      <c r="G31" s="16"/>
      <c r="H31" s="16"/>
      <c r="I31" s="16"/>
      <c r="J31" s="17"/>
      <c r="K31" s="15"/>
      <c r="L31" s="17"/>
      <c r="M31" s="3326"/>
      <c r="N31" s="2856"/>
      <c r="O31" s="3326"/>
    </row>
    <row r="32" spans="1:17" s="13" customFormat="1" ht="11.25" customHeight="1">
      <c r="A32" s="2974">
        <v>22</v>
      </c>
      <c r="B32" s="3483" t="s">
        <v>1707</v>
      </c>
      <c r="C32" s="3482"/>
      <c r="D32" s="16"/>
      <c r="E32" s="16"/>
      <c r="F32" s="15"/>
      <c r="G32" s="16"/>
      <c r="H32" s="16"/>
      <c r="I32" s="16"/>
      <c r="J32" s="17"/>
      <c r="K32" s="15"/>
      <c r="L32" s="17"/>
      <c r="M32" s="3326"/>
      <c r="N32" s="2856"/>
      <c r="O32" s="3326"/>
    </row>
    <row r="33" spans="1:17" s="13" customFormat="1" ht="9.9499999999999993" customHeight="1">
      <c r="A33" s="2974">
        <v>23</v>
      </c>
      <c r="B33" s="1095" t="s">
        <v>454</v>
      </c>
      <c r="C33" s="3482"/>
      <c r="D33" s="16"/>
      <c r="E33" s="16"/>
      <c r="F33" s="15"/>
      <c r="G33" s="16"/>
      <c r="H33" s="16"/>
      <c r="I33" s="16"/>
      <c r="J33" s="17"/>
      <c r="K33" s="15"/>
      <c r="L33" s="17"/>
      <c r="M33" s="3326"/>
      <c r="N33" s="2856"/>
      <c r="O33" s="3326"/>
    </row>
    <row r="34" spans="1:17" s="13" customFormat="1" ht="9.9499999999999993" customHeight="1">
      <c r="A34" s="2974">
        <v>24</v>
      </c>
      <c r="B34" s="1095" t="s">
        <v>516</v>
      </c>
      <c r="C34" s="3482"/>
      <c r="D34" s="173"/>
      <c r="E34" s="173"/>
      <c r="F34" s="15"/>
      <c r="G34" s="16"/>
      <c r="H34" s="16"/>
      <c r="I34" s="16"/>
      <c r="J34" s="17"/>
      <c r="K34" s="15"/>
      <c r="L34" s="17"/>
      <c r="M34" s="3326"/>
      <c r="N34" s="2856"/>
      <c r="O34" s="3326"/>
    </row>
    <row r="35" spans="1:17" s="13" customFormat="1" ht="9.9499999999999993" customHeight="1">
      <c r="A35" s="2974">
        <v>25</v>
      </c>
      <c r="B35" s="1095" t="s">
        <v>832</v>
      </c>
      <c r="C35" s="3482"/>
      <c r="D35" s="173"/>
      <c r="E35" s="173"/>
      <c r="F35" s="15"/>
      <c r="G35" s="16"/>
      <c r="H35" s="16"/>
      <c r="I35" s="16"/>
      <c r="J35" s="17"/>
      <c r="K35" s="3651"/>
      <c r="L35" s="3652"/>
      <c r="M35" s="3327"/>
      <c r="N35" s="2857"/>
      <c r="O35" s="3326"/>
    </row>
    <row r="36" spans="1:17" s="13" customFormat="1" ht="9.9499999999999993" customHeight="1">
      <c r="A36" s="2974">
        <v>26</v>
      </c>
      <c r="B36" s="1095" t="s">
        <v>833</v>
      </c>
      <c r="C36" s="3482"/>
      <c r="D36" s="173"/>
      <c r="E36" s="173"/>
      <c r="F36" s="15"/>
      <c r="G36" s="16"/>
      <c r="H36" s="16"/>
      <c r="I36" s="16"/>
      <c r="J36" s="17"/>
      <c r="K36" s="3651"/>
      <c r="L36" s="3652"/>
      <c r="M36" s="3327"/>
      <c r="N36" s="2857"/>
      <c r="O36" s="3326"/>
    </row>
    <row r="37" spans="1:17" s="13" customFormat="1" ht="9.9499999999999993" customHeight="1">
      <c r="A37" s="2974">
        <v>27</v>
      </c>
      <c r="B37" s="1095" t="s">
        <v>738</v>
      </c>
      <c r="C37" s="3482"/>
      <c r="D37" s="173"/>
      <c r="E37" s="173"/>
      <c r="F37" s="15"/>
      <c r="G37" s="16"/>
      <c r="H37" s="16"/>
      <c r="I37" s="16"/>
      <c r="J37" s="17"/>
      <c r="K37" s="3651"/>
      <c r="L37" s="3652"/>
      <c r="M37" s="3327"/>
      <c r="N37" s="2857"/>
      <c r="O37" s="3326"/>
    </row>
    <row r="38" spans="1:17" s="13" customFormat="1" ht="9.9499999999999993" customHeight="1">
      <c r="A38" s="2974">
        <v>28</v>
      </c>
      <c r="B38" s="1095" t="s">
        <v>456</v>
      </c>
      <c r="C38" s="3482"/>
      <c r="D38" s="16"/>
      <c r="E38" s="16"/>
      <c r="F38" s="15"/>
      <c r="G38" s="16"/>
      <c r="H38" s="16"/>
      <c r="I38" s="16"/>
      <c r="J38" s="17"/>
      <c r="K38" s="15"/>
      <c r="L38" s="17"/>
      <c r="M38" s="3326"/>
      <c r="N38" s="2856"/>
      <c r="O38" s="3326"/>
    </row>
    <row r="39" spans="1:17" s="13" customFormat="1" ht="9.9499999999999993" customHeight="1">
      <c r="A39" s="2974">
        <v>29</v>
      </c>
      <c r="B39" s="1095" t="s">
        <v>457</v>
      </c>
      <c r="C39" s="3482"/>
      <c r="D39" s="16"/>
      <c r="E39" s="16"/>
      <c r="F39" s="15"/>
      <c r="G39" s="16"/>
      <c r="H39" s="16"/>
      <c r="I39" s="16"/>
      <c r="J39" s="17"/>
      <c r="K39" s="15"/>
      <c r="L39" s="17"/>
      <c r="M39" s="3326"/>
      <c r="N39" s="2856"/>
      <c r="O39" s="3326"/>
    </row>
    <row r="40" spans="1:17" s="13" customFormat="1" ht="9.9499999999999993" customHeight="1">
      <c r="A40" s="2974">
        <v>30</v>
      </c>
      <c r="B40" s="1095" t="s">
        <v>458</v>
      </c>
      <c r="C40" s="3482"/>
      <c r="D40" s="16"/>
      <c r="E40" s="16"/>
      <c r="F40" s="15"/>
      <c r="G40" s="16"/>
      <c r="H40" s="16"/>
      <c r="I40" s="16"/>
      <c r="J40" s="17"/>
      <c r="K40" s="15"/>
      <c r="L40" s="17"/>
      <c r="M40" s="3326"/>
      <c r="N40" s="2856"/>
      <c r="O40" s="3326"/>
    </row>
    <row r="41" spans="1:17" s="13" customFormat="1" ht="9.9499999999999993" customHeight="1">
      <c r="A41" s="2974">
        <v>31</v>
      </c>
      <c r="B41" s="1095" t="s">
        <v>459</v>
      </c>
      <c r="C41" s="3482"/>
      <c r="D41" s="16"/>
      <c r="E41" s="16"/>
      <c r="F41" s="15"/>
      <c r="G41" s="16"/>
      <c r="H41" s="16"/>
      <c r="I41" s="16"/>
      <c r="J41" s="17"/>
      <c r="K41" s="15"/>
      <c r="L41" s="17"/>
      <c r="M41" s="3326"/>
      <c r="N41" s="2856"/>
      <c r="O41" s="3326"/>
      <c r="Q41" s="2856"/>
    </row>
    <row r="42" spans="1:17" s="13" customFormat="1" ht="9.9499999999999993" customHeight="1">
      <c r="A42" s="2974">
        <v>32</v>
      </c>
      <c r="B42" s="1095" t="s">
        <v>460</v>
      </c>
      <c r="C42" s="3482"/>
      <c r="D42" s="16"/>
      <c r="E42" s="16"/>
      <c r="F42" s="15"/>
      <c r="G42" s="16"/>
      <c r="H42" s="16"/>
      <c r="I42" s="16"/>
      <c r="J42" s="17"/>
      <c r="K42" s="15"/>
      <c r="L42" s="17"/>
      <c r="M42" s="3326"/>
      <c r="N42" s="2856"/>
      <c r="O42" s="3326"/>
      <c r="Q42" s="2856"/>
    </row>
    <row r="43" spans="1:17" s="13" customFormat="1" ht="9.9499999999999993" customHeight="1">
      <c r="A43" s="2974">
        <v>33</v>
      </c>
      <c r="B43" s="1098" t="s">
        <v>51</v>
      </c>
      <c r="C43" s="1420"/>
      <c r="D43" s="16"/>
      <c r="E43" s="16"/>
      <c r="F43" s="15"/>
      <c r="G43" s="16"/>
      <c r="H43" s="16"/>
      <c r="I43" s="16"/>
      <c r="J43" s="17"/>
      <c r="K43" s="15"/>
      <c r="L43" s="17"/>
      <c r="M43" s="3326"/>
      <c r="N43" s="2856"/>
      <c r="O43" s="3326"/>
    </row>
    <row r="44" spans="1:17" s="13" customFormat="1" ht="9.9499999999999993" customHeight="1">
      <c r="A44" s="2974">
        <v>34</v>
      </c>
      <c r="B44" s="1098" t="s">
        <v>455</v>
      </c>
      <c r="C44" s="1420"/>
      <c r="D44" s="16"/>
      <c r="E44" s="16"/>
      <c r="F44" s="15"/>
      <c r="G44" s="16"/>
      <c r="H44" s="16"/>
      <c r="I44" s="16"/>
      <c r="J44" s="17"/>
      <c r="K44" s="15"/>
      <c r="L44" s="17"/>
      <c r="M44" s="3329"/>
      <c r="N44" s="2856"/>
      <c r="O44" s="3326"/>
    </row>
    <row r="45" spans="1:17" s="13" customFormat="1" ht="9.9499999999999993" customHeight="1">
      <c r="A45" s="2974">
        <v>35</v>
      </c>
      <c r="B45" s="1098" t="s">
        <v>719</v>
      </c>
      <c r="C45" s="1420"/>
      <c r="D45" s="16"/>
      <c r="E45" s="16"/>
      <c r="F45" s="15"/>
      <c r="G45" s="16"/>
      <c r="H45" s="16"/>
      <c r="I45" s="16"/>
      <c r="J45" s="17"/>
      <c r="K45" s="15"/>
      <c r="L45" s="17"/>
      <c r="M45" s="3326"/>
      <c r="N45" s="2856"/>
      <c r="O45" s="3326"/>
    </row>
    <row r="46" spans="1:17" s="13" customFormat="1" ht="9.9499999999999993" customHeight="1">
      <c r="A46" s="2974">
        <v>36</v>
      </c>
      <c r="B46" s="1098" t="s">
        <v>1316</v>
      </c>
      <c r="C46" s="3484"/>
      <c r="D46" s="1149"/>
      <c r="E46" s="1149"/>
      <c r="F46" s="1150"/>
      <c r="G46" s="1149"/>
      <c r="H46" s="1149"/>
      <c r="I46" s="1149"/>
      <c r="J46" s="1151"/>
      <c r="K46" s="1150"/>
      <c r="L46" s="1151"/>
      <c r="M46" s="3329"/>
      <c r="N46" s="2856"/>
      <c r="O46" s="3326"/>
    </row>
    <row r="47" spans="1:17" s="13" customFormat="1" ht="9.9499999999999993" customHeight="1">
      <c r="A47" s="2974">
        <v>37</v>
      </c>
      <c r="B47" s="1098" t="s">
        <v>720</v>
      </c>
      <c r="C47" s="3558"/>
      <c r="D47" s="16"/>
      <c r="E47" s="17"/>
      <c r="F47" s="16"/>
      <c r="G47" s="16"/>
      <c r="H47" s="16"/>
      <c r="I47" s="16"/>
      <c r="J47" s="17"/>
      <c r="K47" s="16"/>
      <c r="L47" s="17"/>
      <c r="M47" s="3326"/>
      <c r="N47" s="2856"/>
      <c r="O47" s="3326"/>
    </row>
    <row r="48" spans="1:17" s="13" customFormat="1" ht="9.75" customHeight="1" thickBot="1">
      <c r="A48" s="3258">
        <v>38</v>
      </c>
      <c r="B48" s="3264" t="s">
        <v>1661</v>
      </c>
      <c r="C48" s="3559"/>
      <c r="D48" s="3552"/>
      <c r="E48" s="3557"/>
      <c r="F48" s="2856"/>
      <c r="G48" s="2856"/>
      <c r="H48" s="2856"/>
      <c r="I48" s="2856"/>
      <c r="J48" s="3557"/>
      <c r="K48" s="3552"/>
      <c r="L48" s="3557"/>
      <c r="M48" s="3556"/>
      <c r="N48" s="3553"/>
      <c r="O48" s="3326"/>
    </row>
    <row r="49" spans="1:20" s="13" customFormat="1" ht="10.5" customHeight="1" thickBot="1">
      <c r="A49" s="3263">
        <v>39</v>
      </c>
      <c r="B49" s="3551" t="s">
        <v>1770</v>
      </c>
      <c r="C49" s="3485"/>
      <c r="D49" s="3554"/>
      <c r="E49" s="3552"/>
      <c r="F49" s="4549"/>
      <c r="G49" s="4550"/>
      <c r="H49" s="4550"/>
      <c r="I49" s="4550"/>
      <c r="J49" s="4551"/>
      <c r="K49" s="3555"/>
      <c r="L49" s="3552"/>
      <c r="M49" s="3556"/>
      <c r="O49" s="3429"/>
      <c r="P49" s="2856"/>
      <c r="T49" s="2856"/>
    </row>
    <row r="50" spans="1:20" s="13" customFormat="1" ht="18" customHeight="1">
      <c r="A50" s="2854"/>
      <c r="B50" s="2855"/>
      <c r="C50" s="2855"/>
      <c r="D50" s="2856"/>
      <c r="E50" s="2856"/>
      <c r="F50" s="2856"/>
      <c r="G50" s="2856"/>
      <c r="H50" s="2856"/>
      <c r="I50" s="2856"/>
      <c r="J50" s="2856"/>
      <c r="M50" s="3326"/>
      <c r="O50" s="1149"/>
      <c r="P50" s="2856"/>
    </row>
    <row r="51" spans="1:20" s="13" customFormat="1" ht="18" customHeight="1">
      <c r="A51" s="2854"/>
      <c r="B51" s="2855"/>
      <c r="C51" s="2855"/>
      <c r="D51" s="2856"/>
      <c r="E51" s="2856"/>
      <c r="F51" s="2856"/>
      <c r="G51" s="2856"/>
      <c r="H51" s="2856"/>
      <c r="I51" s="2856"/>
      <c r="J51" s="2856"/>
      <c r="M51" s="3326"/>
      <c r="O51" s="2856"/>
    </row>
    <row r="52" spans="1:20" s="13" customFormat="1">
      <c r="M52" s="3326"/>
      <c r="O52" s="2856"/>
      <c r="Q52" s="2856"/>
    </row>
    <row r="53" spans="1:20" s="13" customFormat="1">
      <c r="M53" s="3326"/>
      <c r="O53" s="2856"/>
    </row>
    <row r="54" spans="1:20" s="13" customFormat="1">
      <c r="B54" s="2856"/>
      <c r="C54" s="2856"/>
      <c r="L54" s="2856"/>
      <c r="M54" s="3326"/>
      <c r="O54" s="2856"/>
    </row>
    <row r="55" spans="1:20" s="13" customFormat="1">
      <c r="B55" s="2856"/>
      <c r="C55" s="2856"/>
      <c r="M55" s="3326"/>
      <c r="O55" s="2856"/>
    </row>
    <row r="56" spans="1:20" s="13" customFormat="1">
      <c r="M56" s="3326"/>
      <c r="O56" s="2856"/>
    </row>
    <row r="57" spans="1:20" s="13" customFormat="1">
      <c r="B57" s="2858"/>
      <c r="C57" s="2858"/>
      <c r="M57" s="3326"/>
      <c r="O57" s="2856"/>
    </row>
    <row r="58" spans="1:20" s="13" customFormat="1">
      <c r="B58" s="2856"/>
      <c r="M58" s="3326"/>
      <c r="O58" s="2856"/>
    </row>
    <row r="59" spans="1:20" s="13" customFormat="1">
      <c r="M59" s="3326"/>
      <c r="O59" s="2856"/>
    </row>
    <row r="60" spans="1:20" s="13" customFormat="1">
      <c r="M60" s="3326"/>
      <c r="O60" s="2856"/>
    </row>
    <row r="61" spans="1:20" s="13" customFormat="1">
      <c r="M61" s="3326"/>
      <c r="O61" s="2856"/>
    </row>
    <row r="62" spans="1:20" s="13" customFormat="1">
      <c r="M62" s="3326"/>
      <c r="O62" s="2856"/>
    </row>
    <row r="63" spans="1:20" s="13" customFormat="1">
      <c r="M63" s="3326"/>
      <c r="O63" s="2856"/>
    </row>
    <row r="64" spans="1:20" s="13" customFormat="1">
      <c r="M64" s="3326"/>
      <c r="O64" s="2856"/>
    </row>
    <row r="65" spans="13:15" s="13" customFormat="1">
      <c r="M65" s="3326"/>
      <c r="O65" s="2856"/>
    </row>
    <row r="66" spans="13:15" s="13" customFormat="1">
      <c r="M66" s="3326"/>
      <c r="O66" s="2856"/>
    </row>
    <row r="67" spans="13:15" s="13" customFormat="1">
      <c r="M67" s="3326"/>
      <c r="O67" s="2856"/>
    </row>
    <row r="68" spans="13:15" s="13" customFormat="1">
      <c r="M68" s="3326"/>
      <c r="O68" s="2856"/>
    </row>
    <row r="69" spans="13:15" s="13" customFormat="1">
      <c r="M69" s="3326"/>
      <c r="O69" s="2856"/>
    </row>
    <row r="70" spans="13:15" s="13" customFormat="1">
      <c r="M70" s="3326"/>
      <c r="O70" s="2856"/>
    </row>
    <row r="71" spans="13:15" s="13" customFormat="1">
      <c r="M71" s="3326"/>
      <c r="O71" s="2856"/>
    </row>
    <row r="72" spans="13:15" s="13" customFormat="1">
      <c r="M72" s="3326"/>
      <c r="O72" s="2856"/>
    </row>
    <row r="73" spans="13:15" s="13" customFormat="1">
      <c r="M73" s="3326"/>
      <c r="O73" s="2856"/>
    </row>
    <row r="74" spans="13:15" s="13" customFormat="1">
      <c r="M74" s="3326"/>
      <c r="O74" s="2856"/>
    </row>
    <row r="75" spans="13:15" s="13" customFormat="1">
      <c r="M75" s="3326"/>
      <c r="O75" s="2856"/>
    </row>
    <row r="76" spans="13:15" s="13" customFormat="1">
      <c r="M76" s="3326"/>
      <c r="O76" s="2856"/>
    </row>
    <row r="77" spans="13:15" s="13" customFormat="1">
      <c r="M77" s="3326"/>
      <c r="O77" s="2856"/>
    </row>
    <row r="78" spans="13:15" s="13" customFormat="1">
      <c r="M78" s="3326"/>
      <c r="O78" s="2856"/>
    </row>
    <row r="79" spans="13:15" s="13" customFormat="1">
      <c r="M79" s="3326"/>
      <c r="O79" s="2856"/>
    </row>
    <row r="80" spans="13:15" s="13" customFormat="1">
      <c r="M80" s="3326"/>
      <c r="O80" s="2856"/>
    </row>
    <row r="81" spans="13:15" s="13" customFormat="1">
      <c r="M81" s="3326"/>
      <c r="O81" s="2856"/>
    </row>
    <row r="82" spans="13:15" s="13" customFormat="1">
      <c r="M82" s="3326"/>
      <c r="O82" s="2856"/>
    </row>
    <row r="83" spans="13:15" s="13" customFormat="1">
      <c r="M83" s="3326"/>
      <c r="O83" s="2856"/>
    </row>
    <row r="84" spans="13:15" s="13" customFormat="1">
      <c r="M84" s="3326"/>
      <c r="O84" s="2856"/>
    </row>
    <row r="85" spans="13:15" s="13" customFormat="1">
      <c r="M85" s="3326"/>
      <c r="O85" s="2856"/>
    </row>
    <row r="86" spans="13:15" s="13" customFormat="1">
      <c r="M86" s="3326"/>
      <c r="O86" s="2856"/>
    </row>
    <row r="87" spans="13:15" s="13" customFormat="1">
      <c r="M87" s="3326"/>
      <c r="O87" s="2856"/>
    </row>
    <row r="88" spans="13:15" s="13" customFormat="1">
      <c r="M88" s="3326"/>
      <c r="O88" s="2856"/>
    </row>
    <row r="89" spans="13:15" s="13" customFormat="1">
      <c r="M89" s="3326"/>
      <c r="O89" s="2856"/>
    </row>
    <row r="90" spans="13:15" s="13" customFormat="1">
      <c r="M90" s="3326"/>
      <c r="O90" s="2856"/>
    </row>
    <row r="91" spans="13:15" s="13" customFormat="1">
      <c r="M91" s="3326"/>
      <c r="O91" s="2856"/>
    </row>
    <row r="92" spans="13:15" s="13" customFormat="1">
      <c r="M92" s="3326"/>
      <c r="O92" s="2856"/>
    </row>
    <row r="93" spans="13:15" s="13" customFormat="1">
      <c r="M93" s="3326"/>
      <c r="O93" s="2856"/>
    </row>
    <row r="94" spans="13:15" s="13" customFormat="1">
      <c r="M94" s="3326"/>
      <c r="O94" s="2856"/>
    </row>
    <row r="95" spans="13:15" s="13" customFormat="1">
      <c r="M95" s="3326"/>
      <c r="O95" s="2856"/>
    </row>
    <row r="96" spans="13:15" s="13" customFormat="1">
      <c r="M96" s="3326"/>
      <c r="O96" s="2856"/>
    </row>
    <row r="97" spans="13:15" s="13" customFormat="1">
      <c r="M97" s="3326"/>
      <c r="O97" s="2856"/>
    </row>
    <row r="98" spans="13:15" s="13" customFormat="1">
      <c r="M98" s="3326"/>
      <c r="O98" s="2856"/>
    </row>
    <row r="99" spans="13:15" s="13" customFormat="1">
      <c r="M99" s="3326"/>
      <c r="O99" s="2856"/>
    </row>
    <row r="100" spans="13:15" s="13" customFormat="1">
      <c r="M100" s="3326"/>
      <c r="O100" s="2856"/>
    </row>
    <row r="101" spans="13:15" s="13" customFormat="1">
      <c r="M101" s="3326"/>
      <c r="O101" s="2856"/>
    </row>
    <row r="102" spans="13:15" s="13" customFormat="1">
      <c r="M102" s="3326"/>
      <c r="O102" s="2856"/>
    </row>
    <row r="103" spans="13:15" s="13" customFormat="1">
      <c r="M103" s="3326"/>
      <c r="O103" s="2856"/>
    </row>
    <row r="104" spans="13:15" s="13" customFormat="1">
      <c r="M104" s="3326"/>
      <c r="O104" s="2856"/>
    </row>
    <row r="105" spans="13:15" s="13" customFormat="1">
      <c r="M105" s="3326"/>
      <c r="O105" s="2856"/>
    </row>
    <row r="106" spans="13:15" s="13" customFormat="1">
      <c r="M106" s="3326"/>
      <c r="O106" s="2856"/>
    </row>
    <row r="107" spans="13:15" s="13" customFormat="1">
      <c r="M107" s="3326"/>
      <c r="O107" s="2856"/>
    </row>
    <row r="108" spans="13:15" s="13" customFormat="1">
      <c r="M108" s="3326"/>
      <c r="O108" s="2856"/>
    </row>
    <row r="109" spans="13:15" s="13" customFormat="1">
      <c r="M109" s="3326"/>
      <c r="O109" s="2856"/>
    </row>
    <row r="110" spans="13:15" s="13" customFormat="1">
      <c r="M110" s="3326"/>
      <c r="O110" s="2856"/>
    </row>
    <row r="111" spans="13:15" s="13" customFormat="1">
      <c r="M111" s="3326"/>
      <c r="O111" s="2856"/>
    </row>
    <row r="112" spans="13:15" s="13" customFormat="1">
      <c r="M112" s="3326"/>
      <c r="O112" s="2856"/>
    </row>
    <row r="113" spans="1:15" s="13" customFormat="1">
      <c r="M113" s="3326"/>
      <c r="O113" s="2856"/>
    </row>
    <row r="114" spans="1:15" s="13" customFormat="1">
      <c r="M114" s="3326"/>
      <c r="O114" s="2856"/>
    </row>
    <row r="115" spans="1:15" s="13" customFormat="1">
      <c r="M115" s="3326"/>
      <c r="O115" s="2856"/>
    </row>
    <row r="116" spans="1:15" s="13" customFormat="1">
      <c r="M116" s="3326"/>
      <c r="O116" s="2856"/>
    </row>
    <row r="117" spans="1:15" s="13" customFormat="1">
      <c r="M117" s="3326"/>
      <c r="O117" s="2856"/>
    </row>
    <row r="118" spans="1:15" s="13" customFormat="1">
      <c r="M118" s="3326"/>
      <c r="O118" s="2856"/>
    </row>
    <row r="119" spans="1:15" s="13" customFormat="1" ht="13.5">
      <c r="A119" s="18"/>
      <c r="B119" s="18"/>
      <c r="C119" s="18"/>
      <c r="D119" s="18"/>
      <c r="E119" s="18"/>
      <c r="F119" s="18"/>
      <c r="G119" s="18"/>
      <c r="H119" s="18"/>
      <c r="I119" s="18"/>
      <c r="J119" s="18"/>
      <c r="K119" s="19"/>
      <c r="L119" s="19"/>
      <c r="M119" s="3328"/>
      <c r="N119" s="19"/>
      <c r="O119" s="2856"/>
    </row>
    <row r="120" spans="1:15" s="13" customFormat="1" ht="13.5">
      <c r="A120" s="18"/>
      <c r="B120" s="18"/>
      <c r="C120" s="18"/>
      <c r="D120" s="18"/>
      <c r="E120" s="18"/>
      <c r="F120" s="18"/>
      <c r="G120" s="18"/>
      <c r="H120" s="18"/>
      <c r="I120" s="18"/>
      <c r="J120" s="18"/>
      <c r="K120" s="19"/>
      <c r="L120" s="19"/>
      <c r="M120" s="3328"/>
      <c r="N120" s="19"/>
      <c r="O120" s="2856"/>
    </row>
    <row r="121" spans="1:15" s="13" customFormat="1" ht="13.5">
      <c r="A121" s="18"/>
      <c r="B121" s="18"/>
      <c r="C121" s="18"/>
      <c r="D121" s="18"/>
      <c r="E121" s="18"/>
      <c r="F121" s="18"/>
      <c r="G121" s="18"/>
      <c r="H121" s="18"/>
      <c r="I121" s="18"/>
      <c r="J121" s="18"/>
      <c r="K121" s="19"/>
      <c r="L121" s="19"/>
      <c r="M121" s="3328"/>
      <c r="N121" s="19"/>
      <c r="O121" s="2856"/>
    </row>
    <row r="122" spans="1:15">
      <c r="O122" s="3420"/>
    </row>
    <row r="123" spans="1:15">
      <c r="O123" s="3420"/>
    </row>
    <row r="124" spans="1:15">
      <c r="O124" s="3420"/>
    </row>
    <row r="125" spans="1:15">
      <c r="O125" s="3420"/>
    </row>
    <row r="126" spans="1:15">
      <c r="O126" s="3420"/>
    </row>
    <row r="127" spans="1:15">
      <c r="O127" s="3420"/>
    </row>
    <row r="128" spans="1:15">
      <c r="O128" s="3420"/>
    </row>
    <row r="129" spans="15:15">
      <c r="O129" s="3420"/>
    </row>
    <row r="130" spans="15:15">
      <c r="O130" s="3420"/>
    </row>
    <row r="131" spans="15:15">
      <c r="O131" s="3420"/>
    </row>
    <row r="132" spans="15:15">
      <c r="O132" s="3420"/>
    </row>
    <row r="133" spans="15:15">
      <c r="O133" s="3420"/>
    </row>
    <row r="134" spans="15:15">
      <c r="O134" s="3420"/>
    </row>
    <row r="135" spans="15:15">
      <c r="O135" s="3420"/>
    </row>
    <row r="136" spans="15:15">
      <c r="O136" s="3420"/>
    </row>
    <row r="137" spans="15:15">
      <c r="O137" s="3420"/>
    </row>
    <row r="138" spans="15:15">
      <c r="O138" s="3420"/>
    </row>
    <row r="139" spans="15:15">
      <c r="O139" s="3420"/>
    </row>
    <row r="140" spans="15:15">
      <c r="O140" s="3420"/>
    </row>
    <row r="141" spans="15:15">
      <c r="O141" s="3420"/>
    </row>
    <row r="142" spans="15:15">
      <c r="O142" s="3420"/>
    </row>
    <row r="143" spans="15:15">
      <c r="O143" s="3420"/>
    </row>
    <row r="144" spans="15:15">
      <c r="O144" s="3420"/>
    </row>
    <row r="145" spans="15:15">
      <c r="O145" s="3420"/>
    </row>
    <row r="146" spans="15:15">
      <c r="O146" s="3420"/>
    </row>
    <row r="147" spans="15:15">
      <c r="O147" s="3420"/>
    </row>
  </sheetData>
  <customSheetViews>
    <customSheetView guid="{BDF1A126-BD1D-4A5E-80B8-98941684E462}" showPageBreaks="1" showGridLines="0" printArea="1">
      <selection activeCell="G3" sqref="G3:K8"/>
      <pageMargins left="1.45" right="0.45" top="0.75" bottom="0.2" header="0" footer="0"/>
      <pageSetup paperSize="9" orientation="portrait" r:id="rId1"/>
      <headerFooter alignWithMargins="0"/>
    </customSheetView>
    <customSheetView guid="{04F0793E-5444-463D-A1D5-E52E08A4C249}" showPageBreaks="1" showGridLines="0" printArea="1">
      <selection activeCell="B1" sqref="B1"/>
      <rowBreaks count="1" manualBreakCount="1">
        <brk id="39" max="16383" man="1"/>
      </rowBreaks>
      <pageMargins left="0.2" right="0.2" top="0.2" bottom="0.2" header="0" footer="0"/>
      <pageSetup paperSize="166" orientation="portrait" r:id="rId2"/>
      <headerFooter alignWithMargins="0"/>
    </customSheetView>
    <customSheetView guid="{925F74B5-C2F5-4E55-AFE4-045C56169B44}" showPageBreaks="1" showGridLines="0" printArea="1" topLeftCell="A30">
      <selection activeCell="C49" sqref="C49"/>
      <pageMargins left="0.2" right="0.2" top="0.2" bottom="0.2" header="0" footer="0"/>
      <pageSetup paperSize="166" orientation="portrait" r:id="rId3"/>
      <headerFooter alignWithMargins="0"/>
    </customSheetView>
    <customSheetView guid="{1FF58891-F32F-4F97-9812-E2D02F4497AA}" showGridLines="0" topLeftCell="A18">
      <selection activeCell="A2" sqref="A2:B23"/>
      <pageMargins left="1.45" right="0.45" top="0.75" bottom="0.2" header="0" footer="0"/>
      <pageSetup paperSize="9" orientation="portrait" r:id="rId4"/>
      <headerFooter alignWithMargins="0"/>
    </customSheetView>
    <customSheetView guid="{2A6091F0-BAF4-46A2-BC20-0DE610E67601}" showPageBreaks="1" showGridLines="0" printArea="1">
      <selection activeCell="T17" sqref="T17"/>
      <pageMargins left="1.45" right="0.45" top="0.75" bottom="0.2" header="0" footer="0"/>
      <pageSetup paperSize="9" orientation="portrait" r:id="rId5"/>
      <headerFooter alignWithMargins="0"/>
    </customSheetView>
    <customSheetView guid="{5111FDC7-EEAC-46C3-8033-47A3563F0C00}" showPageBreaks="1" showGridLines="0" printArea="1">
      <selection activeCell="C5" sqref="C5:D7"/>
      <pageMargins left="1.45" right="0.45" top="0.75" bottom="0.2" header="0" footer="0"/>
      <pageSetup paperSize="9" orientation="portrait" r:id="rId6"/>
      <headerFooter alignWithMargins="0"/>
    </customSheetView>
    <customSheetView guid="{2A5E79E4-584C-4F65-A220-87928CEA02AF}" showPageBreaks="1" showGridLines="0" printArea="1" topLeftCell="A13">
      <selection activeCell="N13" sqref="N13"/>
      <pageMargins left="1.45" right="0.45" top="0.75" bottom="0.2" header="0" footer="0"/>
      <pageSetup paperSize="9" orientation="landscape" r:id="rId7"/>
      <headerFooter alignWithMargins="0"/>
    </customSheetView>
    <customSheetView guid="{66872EF1-41BD-4D4B-B603-B8B0D03DAD22}" showPageBreaks="1" showGridLines="0" printArea="1" topLeftCell="A2">
      <selection activeCell="M14" sqref="M14"/>
      <pageMargins left="1.45" right="0.45" top="0.75" bottom="0.2" header="0" footer="0"/>
      <pageSetup paperSize="9" orientation="landscape" r:id="rId8"/>
      <headerFooter alignWithMargins="0"/>
    </customSheetView>
    <customSheetView guid="{ACE56013-11B3-4BF4-BD0B-BF59142DAC13}" showPageBreaks="1" showGridLines="0" printArea="1">
      <selection activeCell="M7" sqref="M7"/>
      <pageMargins left="1.45" right="0.45" top="0.75" bottom="0.2" header="0" footer="0"/>
      <pageSetup paperSize="9" orientation="landscape" r:id="rId9"/>
      <headerFooter alignWithMargins="0"/>
    </customSheetView>
  </customSheetViews>
  <mergeCells count="16">
    <mergeCell ref="P6:P7"/>
    <mergeCell ref="F49:J49"/>
    <mergeCell ref="M3:M5"/>
    <mergeCell ref="A2:A10"/>
    <mergeCell ref="D2:E2"/>
    <mergeCell ref="F2:J2"/>
    <mergeCell ref="K2:L2"/>
    <mergeCell ref="B3:B4"/>
    <mergeCell ref="D3:E8"/>
    <mergeCell ref="F3:J8"/>
    <mergeCell ref="K3:L7"/>
    <mergeCell ref="B5:B7"/>
    <mergeCell ref="K8:L8"/>
    <mergeCell ref="K9:L9"/>
    <mergeCell ref="D10:E10"/>
    <mergeCell ref="F10:J10"/>
  </mergeCells>
  <pageMargins left="1.45" right="0.45" top="0.75" bottom="0.2" header="0" footer="0"/>
  <pageSetup paperSize="9" scale="88" orientation="landscape" r:id="rId10"/>
  <headerFooter alignWithMargins="0"/>
  <drawing r:id="rId11"/>
  <legacyDrawing r:id="rId1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V68"/>
  <sheetViews>
    <sheetView showGridLines="0" topLeftCell="AM1" zoomScaleNormal="100" zoomScaleSheetLayoutView="100" workbookViewId="0">
      <selection activeCell="BC34" sqref="BC34"/>
    </sheetView>
  </sheetViews>
  <sheetFormatPr defaultColWidth="9.140625" defaultRowHeight="13.5"/>
  <cols>
    <col min="1" max="1" width="6.28515625" style="278" customWidth="1"/>
    <col min="2" max="2" width="8.5703125" style="224" customWidth="1"/>
    <col min="3" max="3" width="3.42578125" style="224" customWidth="1"/>
    <col min="4" max="4" width="4.85546875" style="224" customWidth="1"/>
    <col min="5" max="5" width="4" style="224" customWidth="1"/>
    <col min="6" max="6" width="7.5703125" style="224" customWidth="1"/>
    <col min="7" max="7" width="6" style="224" customWidth="1"/>
    <col min="8" max="8" width="8" style="224" customWidth="1"/>
    <col min="9" max="9" width="3.5703125" style="224" bestFit="1" customWidth="1"/>
    <col min="10" max="10" width="2.28515625" style="224" bestFit="1" customWidth="1"/>
    <col min="11" max="11" width="1.5703125" style="224" customWidth="1"/>
    <col min="12" max="12" width="4" style="224" customWidth="1"/>
    <col min="13" max="13" width="13" style="224" customWidth="1"/>
    <col min="14" max="14" width="6.5703125" style="224" customWidth="1"/>
    <col min="15" max="15" width="2.7109375" style="178" customWidth="1"/>
    <col min="16" max="16" width="6" style="224" customWidth="1"/>
    <col min="17" max="17" width="1.5703125" style="224" customWidth="1"/>
    <col min="18" max="18" width="4" style="224" customWidth="1"/>
    <col min="19" max="19" width="2.28515625" style="224" bestFit="1" customWidth="1"/>
    <col min="20" max="20" width="6.28515625" style="224" customWidth="1"/>
    <col min="21" max="21" width="16.42578125" style="224" customWidth="1"/>
    <col min="22" max="22" width="2.85546875" style="224" customWidth="1"/>
    <col min="23" max="23" width="2.5703125" style="224" bestFit="1" customWidth="1"/>
    <col min="24" max="24" width="1.7109375" style="224" customWidth="1"/>
    <col min="25" max="25" width="3.5703125" style="224" bestFit="1" customWidth="1"/>
    <col min="26" max="26" width="1.7109375" style="224" bestFit="1" customWidth="1"/>
    <col min="27" max="27" width="3.42578125" style="224" customWidth="1"/>
    <col min="28" max="28" width="3.5703125" style="224" bestFit="1" customWidth="1"/>
    <col min="29" max="29" width="1.7109375" style="224" bestFit="1" customWidth="1"/>
    <col min="30" max="30" width="3.5703125" style="224" customWidth="1"/>
    <col min="31" max="31" width="4.140625" style="225" customWidth="1"/>
    <col min="32" max="32" width="4.42578125" style="225" customWidth="1"/>
    <col min="33" max="33" width="3.5703125" style="225" customWidth="1"/>
    <col min="34" max="34" width="4.42578125" style="225" customWidth="1"/>
    <col min="35" max="35" width="3.7109375" style="225" customWidth="1"/>
    <col min="36" max="36" width="4.7109375" style="225" customWidth="1"/>
    <col min="37" max="37" width="3.7109375" style="225" customWidth="1"/>
    <col min="38" max="38" width="4.7109375" style="225" customWidth="1"/>
    <col min="39" max="39" width="3.5703125" style="225" customWidth="1"/>
    <col min="40" max="40" width="5" style="225" customWidth="1"/>
    <col min="41" max="41" width="5.85546875" style="225" customWidth="1"/>
    <col min="42" max="42" width="5.7109375" style="225" customWidth="1"/>
    <col min="43" max="43" width="5" style="225" customWidth="1"/>
    <col min="44" max="44" width="13" style="224" customWidth="1"/>
    <col min="45" max="45" width="2.28515625" style="224" customWidth="1"/>
    <col min="46" max="46" width="3.5703125" style="224" customWidth="1"/>
    <col min="47" max="47" width="30.5703125" style="225" customWidth="1"/>
    <col min="48" max="48" width="2.85546875" style="839" customWidth="1"/>
    <col min="49" max="49" width="7.5703125" style="225" customWidth="1"/>
    <col min="50" max="16384" width="9.140625" style="225"/>
  </cols>
  <sheetData>
    <row r="1" spans="1:48" s="221" customFormat="1" ht="21.75" customHeight="1" thickBot="1">
      <c r="B1" s="2810" t="s">
        <v>1258</v>
      </c>
      <c r="C1" s="220"/>
      <c r="D1" s="220"/>
      <c r="O1" s="2329"/>
      <c r="P1" s="938"/>
      <c r="X1" s="2002" t="s">
        <v>1259</v>
      </c>
      <c r="Z1" s="2001"/>
      <c r="AB1" s="2000" t="s">
        <v>1258</v>
      </c>
      <c r="AD1" s="219"/>
      <c r="AG1" s="219"/>
      <c r="AH1" s="219"/>
      <c r="AP1" s="219"/>
      <c r="AR1" s="2099" t="s">
        <v>1260</v>
      </c>
      <c r="AT1" s="2329"/>
    </row>
    <row r="2" spans="1:48" s="222" customFormat="1" ht="6" customHeight="1">
      <c r="B2" s="223"/>
      <c r="C2" s="4583" t="s">
        <v>1262</v>
      </c>
      <c r="D2" s="4584"/>
      <c r="E2" s="4584"/>
      <c r="F2" s="4584"/>
      <c r="G2" s="4584"/>
      <c r="H2" s="4584"/>
      <c r="I2" s="4584"/>
      <c r="J2" s="4584"/>
      <c r="K2" s="4584"/>
      <c r="L2" s="4584"/>
      <c r="M2" s="4584"/>
      <c r="N2" s="4584"/>
      <c r="O2" s="4584"/>
      <c r="P2" s="4584"/>
      <c r="Q2" s="4584"/>
      <c r="R2" s="4584"/>
      <c r="S2" s="4584"/>
      <c r="T2" s="4584"/>
      <c r="U2" s="4584"/>
      <c r="V2" s="4584"/>
      <c r="W2" s="4584"/>
      <c r="X2" s="4584"/>
      <c r="Y2" s="4584"/>
      <c r="Z2" s="4584"/>
      <c r="AA2" s="4584"/>
      <c r="AB2" s="1263"/>
      <c r="AC2" s="1263"/>
      <c r="AD2" s="1263"/>
      <c r="AE2" s="4587" t="s">
        <v>1262</v>
      </c>
      <c r="AF2" s="4584"/>
      <c r="AG2" s="4584"/>
      <c r="AH2" s="4584"/>
      <c r="AI2" s="4584"/>
      <c r="AJ2" s="4584"/>
      <c r="AK2" s="4584"/>
      <c r="AL2" s="4584"/>
      <c r="AM2" s="4584"/>
      <c r="AN2" s="4584"/>
      <c r="AO2" s="4584"/>
      <c r="AP2" s="4584"/>
      <c r="AQ2" s="4584"/>
      <c r="AR2" s="4584"/>
      <c r="AS2" s="4584"/>
      <c r="AT2" s="4584"/>
      <c r="AU2" s="4584"/>
      <c r="AV2" s="4588"/>
    </row>
    <row r="3" spans="1:48" s="222" customFormat="1" ht="5.25" customHeight="1" thickBot="1">
      <c r="A3" s="178"/>
      <c r="B3" s="224"/>
      <c r="C3" s="4585"/>
      <c r="D3" s="4586"/>
      <c r="E3" s="4586"/>
      <c r="F3" s="4586"/>
      <c r="G3" s="4586"/>
      <c r="H3" s="4586"/>
      <c r="I3" s="4586"/>
      <c r="J3" s="4586"/>
      <c r="K3" s="4586"/>
      <c r="L3" s="4586"/>
      <c r="M3" s="4586"/>
      <c r="N3" s="4586"/>
      <c r="O3" s="4586"/>
      <c r="P3" s="4586"/>
      <c r="Q3" s="4586"/>
      <c r="R3" s="4586"/>
      <c r="S3" s="4586"/>
      <c r="T3" s="4586"/>
      <c r="U3" s="4586"/>
      <c r="V3" s="4586"/>
      <c r="W3" s="4586"/>
      <c r="X3" s="4586"/>
      <c r="Y3" s="4586"/>
      <c r="Z3" s="4586"/>
      <c r="AA3" s="4586"/>
      <c r="AB3" s="1264"/>
      <c r="AC3" s="1264"/>
      <c r="AD3" s="1264"/>
      <c r="AE3" s="4589"/>
      <c r="AF3" s="4590"/>
      <c r="AG3" s="4590"/>
      <c r="AH3" s="4590"/>
      <c r="AI3" s="4590"/>
      <c r="AJ3" s="4590"/>
      <c r="AK3" s="4590"/>
      <c r="AL3" s="4590"/>
      <c r="AM3" s="4590"/>
      <c r="AN3" s="4590"/>
      <c r="AO3" s="4590"/>
      <c r="AP3" s="4590"/>
      <c r="AQ3" s="4590"/>
      <c r="AR3" s="4590"/>
      <c r="AS3" s="4590"/>
      <c r="AT3" s="4590"/>
      <c r="AU3" s="4590"/>
      <c r="AV3" s="4591"/>
    </row>
    <row r="4" spans="1:48" s="1327" customFormat="1" ht="11.25" customHeight="1" thickBot="1">
      <c r="A4" s="2124"/>
      <c r="B4" s="2095">
        <v>6.01</v>
      </c>
      <c r="C4" s="4592">
        <f>B4+0.01</f>
        <v>6.02</v>
      </c>
      <c r="D4" s="4593"/>
      <c r="E4" s="4594">
        <f>C4+0.01</f>
        <v>6.0299999999999994</v>
      </c>
      <c r="F4" s="4595"/>
      <c r="G4" s="4596">
        <f>E4+0.01</f>
        <v>6.0399999999999991</v>
      </c>
      <c r="H4" s="4593"/>
      <c r="I4" s="4592">
        <f>G4+0.01</f>
        <v>6.0499999999999989</v>
      </c>
      <c r="J4" s="4595"/>
      <c r="K4" s="4595">
        <f t="shared" ref="K4" si="0">I4-0.01</f>
        <v>6.0399999999999991</v>
      </c>
      <c r="L4" s="4593"/>
      <c r="M4" s="4592">
        <f>I4+0.01</f>
        <v>6.0599999999999987</v>
      </c>
      <c r="N4" s="4595"/>
      <c r="O4" s="4593"/>
      <c r="P4" s="4592">
        <f>M4+0.01</f>
        <v>6.0699999999999985</v>
      </c>
      <c r="Q4" s="4597"/>
      <c r="R4" s="4592">
        <f>P4+0.01</f>
        <v>6.0799999999999983</v>
      </c>
      <c r="S4" s="4595"/>
      <c r="T4" s="4593"/>
      <c r="U4" s="4592">
        <f>R4+0.01</f>
        <v>6.0899999999999981</v>
      </c>
      <c r="V4" s="4595"/>
      <c r="W4" s="4595"/>
      <c r="X4" s="4593"/>
      <c r="Y4" s="4596">
        <f>U4+0.01</f>
        <v>6.0999999999999979</v>
      </c>
      <c r="Z4" s="4595"/>
      <c r="AA4" s="4593"/>
      <c r="AB4" s="4596">
        <f>Y4+0.01</f>
        <v>6.1099999999999977</v>
      </c>
      <c r="AC4" s="4595"/>
      <c r="AD4" s="4593"/>
      <c r="AE4" s="4595">
        <f>AB4+0.01</f>
        <v>6.1199999999999974</v>
      </c>
      <c r="AF4" s="4595"/>
      <c r="AG4" s="4601">
        <f>AE4+0.01</f>
        <v>6.1299999999999972</v>
      </c>
      <c r="AH4" s="4593"/>
      <c r="AI4" s="4602">
        <f>AG4+0.01</f>
        <v>6.139999999999997</v>
      </c>
      <c r="AJ4" s="4603"/>
      <c r="AK4" s="4603"/>
      <c r="AL4" s="4603"/>
      <c r="AM4" s="4603"/>
      <c r="AN4" s="4603"/>
      <c r="AO4" s="4604"/>
      <c r="AP4" s="4592">
        <f>AI4+0.01</f>
        <v>6.1499999999999968</v>
      </c>
      <c r="AQ4" s="4593"/>
      <c r="AR4" s="4592">
        <f>+AP4+0.01</f>
        <v>6.1599999999999966</v>
      </c>
      <c r="AS4" s="4598"/>
      <c r="AT4" s="4599"/>
      <c r="AU4" s="4592">
        <f>+AR4+0.01</f>
        <v>6.1699999999999964</v>
      </c>
      <c r="AV4" s="4600"/>
    </row>
    <row r="5" spans="1:48" ht="26.25" customHeight="1">
      <c r="A5" s="4605" t="s">
        <v>1426</v>
      </c>
      <c r="B5" s="4607" t="s">
        <v>668</v>
      </c>
      <c r="C5" s="4609" t="s">
        <v>1771</v>
      </c>
      <c r="D5" s="4610"/>
      <c r="E5" s="4613" t="s">
        <v>1632</v>
      </c>
      <c r="F5" s="4613"/>
      <c r="G5" s="4615" t="s">
        <v>1462</v>
      </c>
      <c r="H5" s="4616"/>
      <c r="I5" s="4609" t="s">
        <v>1772</v>
      </c>
      <c r="J5" s="4619"/>
      <c r="K5" s="4619"/>
      <c r="L5" s="4610"/>
      <c r="M5" s="4609" t="s">
        <v>1633</v>
      </c>
      <c r="N5" s="4619"/>
      <c r="O5" s="4610"/>
      <c r="P5" s="4609" t="s">
        <v>699</v>
      </c>
      <c r="Q5" s="4610"/>
      <c r="R5" s="4649" t="s">
        <v>1634</v>
      </c>
      <c r="S5" s="4650"/>
      <c r="T5" s="4651"/>
      <c r="U5" s="4609" t="s">
        <v>667</v>
      </c>
      <c r="V5" s="4619"/>
      <c r="W5" s="4619"/>
      <c r="X5" s="4610"/>
      <c r="Y5" s="4639" t="s">
        <v>1383</v>
      </c>
      <c r="Z5" s="4640"/>
      <c r="AA5" s="4641"/>
      <c r="AB5" s="4642" t="s">
        <v>1556</v>
      </c>
      <c r="AC5" s="4643"/>
      <c r="AD5" s="4644"/>
      <c r="AE5" s="4027" t="s">
        <v>1635</v>
      </c>
      <c r="AF5" s="4028"/>
      <c r="AG5" s="4025" t="s">
        <v>1636</v>
      </c>
      <c r="AH5" s="4029"/>
      <c r="AI5" s="4654" t="s">
        <v>703</v>
      </c>
      <c r="AJ5" s="4655"/>
      <c r="AK5" s="4655"/>
      <c r="AL5" s="4655"/>
      <c r="AM5" s="4655"/>
      <c r="AN5" s="4655"/>
      <c r="AO5" s="4656"/>
      <c r="AP5" s="4027" t="s">
        <v>1773</v>
      </c>
      <c r="AQ5" s="4028"/>
      <c r="AR5" s="4027" t="s">
        <v>677</v>
      </c>
      <c r="AS5" s="4663"/>
      <c r="AT5" s="4028"/>
      <c r="AU5" s="4664" t="s">
        <v>704</v>
      </c>
      <c r="AV5" s="4665"/>
    </row>
    <row r="6" spans="1:48" ht="14.25" customHeight="1">
      <c r="A6" s="4605"/>
      <c r="B6" s="4608"/>
      <c r="C6" s="4609"/>
      <c r="D6" s="4610"/>
      <c r="E6" s="4613"/>
      <c r="F6" s="4613"/>
      <c r="G6" s="4615"/>
      <c r="H6" s="4616"/>
      <c r="I6" s="4609"/>
      <c r="J6" s="4619"/>
      <c r="K6" s="4619"/>
      <c r="L6" s="4610"/>
      <c r="M6" s="4609"/>
      <c r="N6" s="4619"/>
      <c r="O6" s="4610"/>
      <c r="P6" s="4609"/>
      <c r="Q6" s="4610"/>
      <c r="R6" s="4609"/>
      <c r="S6" s="4619"/>
      <c r="T6" s="4610"/>
      <c r="U6" s="4609"/>
      <c r="V6" s="4619"/>
      <c r="W6" s="4619"/>
      <c r="X6" s="4610"/>
      <c r="Y6" s="4639"/>
      <c r="Z6" s="4640"/>
      <c r="AA6" s="4641"/>
      <c r="AB6" s="4639"/>
      <c r="AC6" s="4640"/>
      <c r="AD6" s="4641"/>
      <c r="AE6" s="4027"/>
      <c r="AF6" s="4028"/>
      <c r="AG6" s="4027"/>
      <c r="AH6" s="4030"/>
      <c r="AI6" s="293"/>
      <c r="AJ6" s="2365" t="s">
        <v>862</v>
      </c>
      <c r="AK6" s="2365">
        <v>1</v>
      </c>
      <c r="AL6" s="841"/>
      <c r="AM6" s="841"/>
      <c r="AN6" s="841"/>
      <c r="AO6" s="842"/>
      <c r="AP6" s="4027"/>
      <c r="AQ6" s="4028"/>
      <c r="AR6" s="4027"/>
      <c r="AS6" s="4663"/>
      <c r="AT6" s="4028"/>
      <c r="AU6" s="4666"/>
      <c r="AV6" s="4667"/>
    </row>
    <row r="7" spans="1:48" ht="11.25" customHeight="1">
      <c r="A7" s="4605"/>
      <c r="B7" s="4608"/>
      <c r="C7" s="4609"/>
      <c r="D7" s="4610"/>
      <c r="E7" s="4613"/>
      <c r="F7" s="4613"/>
      <c r="G7" s="4615"/>
      <c r="H7" s="4616"/>
      <c r="I7" s="4609"/>
      <c r="J7" s="4619"/>
      <c r="K7" s="4619"/>
      <c r="L7" s="4610"/>
      <c r="M7" s="4609"/>
      <c r="N7" s="4619"/>
      <c r="O7" s="4610"/>
      <c r="P7" s="4609"/>
      <c r="Q7" s="4610"/>
      <c r="R7" s="4609"/>
      <c r="S7" s="4619"/>
      <c r="T7" s="4610"/>
      <c r="U7" s="4609"/>
      <c r="V7" s="4619"/>
      <c r="W7" s="4619"/>
      <c r="X7" s="4610"/>
      <c r="Y7" s="4639"/>
      <c r="Z7" s="4640"/>
      <c r="AA7" s="4641"/>
      <c r="AB7" s="4639"/>
      <c r="AC7" s="4640"/>
      <c r="AD7" s="4641"/>
      <c r="AE7" s="4027"/>
      <c r="AF7" s="4028"/>
      <c r="AG7" s="4027"/>
      <c r="AH7" s="4030"/>
      <c r="AI7" s="843"/>
      <c r="AJ7" s="2366" t="s">
        <v>863</v>
      </c>
      <c r="AK7" s="2366">
        <v>2</v>
      </c>
      <c r="AL7" s="844"/>
      <c r="AM7" s="844"/>
      <c r="AN7" s="844"/>
      <c r="AO7" s="845"/>
      <c r="AP7" s="4027"/>
      <c r="AQ7" s="4028"/>
      <c r="AR7" s="4027"/>
      <c r="AS7" s="4663"/>
      <c r="AT7" s="4028"/>
      <c r="AU7" s="1932" t="s">
        <v>1196</v>
      </c>
      <c r="AV7" s="1480">
        <v>1</v>
      </c>
    </row>
    <row r="8" spans="1:48" ht="14.25" customHeight="1">
      <c r="A8" s="4605"/>
      <c r="B8" s="4608"/>
      <c r="C8" s="4609"/>
      <c r="D8" s="4610"/>
      <c r="E8" s="4613"/>
      <c r="F8" s="4613"/>
      <c r="G8" s="4615"/>
      <c r="H8" s="4616"/>
      <c r="I8" s="4609"/>
      <c r="J8" s="4619"/>
      <c r="K8" s="4619"/>
      <c r="L8" s="4610"/>
      <c r="M8" s="4611"/>
      <c r="N8" s="4620"/>
      <c r="O8" s="4612"/>
      <c r="P8" s="4609"/>
      <c r="Q8" s="4610"/>
      <c r="R8" s="4609"/>
      <c r="S8" s="4619"/>
      <c r="T8" s="4610"/>
      <c r="U8" s="4609"/>
      <c r="V8" s="4619"/>
      <c r="W8" s="4619"/>
      <c r="X8" s="4610"/>
      <c r="Y8" s="4639"/>
      <c r="Z8" s="4640"/>
      <c r="AA8" s="4641"/>
      <c r="AB8" s="4639"/>
      <c r="AC8" s="4640"/>
      <c r="AD8" s="4641"/>
      <c r="AE8" s="4027"/>
      <c r="AF8" s="4028"/>
      <c r="AG8" s="4027"/>
      <c r="AH8" s="4030"/>
      <c r="AI8" s="1947" t="s">
        <v>6</v>
      </c>
      <c r="AJ8" s="1948" t="s">
        <v>7</v>
      </c>
      <c r="AK8" s="1948" t="s">
        <v>8</v>
      </c>
      <c r="AL8" s="1948" t="s">
        <v>45</v>
      </c>
      <c r="AM8" s="1948" t="s">
        <v>46</v>
      </c>
      <c r="AN8" s="1948" t="s">
        <v>253</v>
      </c>
      <c r="AO8" s="1949" t="s">
        <v>254</v>
      </c>
      <c r="AP8" s="4027"/>
      <c r="AQ8" s="4028"/>
      <c r="AR8" s="4027"/>
      <c r="AS8" s="4663"/>
      <c r="AT8" s="4028"/>
      <c r="AU8" s="4647" t="s">
        <v>1197</v>
      </c>
      <c r="AV8" s="4657">
        <v>2</v>
      </c>
    </row>
    <row r="9" spans="1:48" ht="14.25" customHeight="1">
      <c r="A9" s="4605"/>
      <c r="B9" s="4608"/>
      <c r="C9" s="4609"/>
      <c r="D9" s="4610"/>
      <c r="E9" s="4613"/>
      <c r="F9" s="4613"/>
      <c r="G9" s="4615"/>
      <c r="H9" s="4616"/>
      <c r="I9" s="4609"/>
      <c r="J9" s="4619"/>
      <c r="K9" s="4619"/>
      <c r="L9" s="4610"/>
      <c r="M9" s="4668" t="s">
        <v>975</v>
      </c>
      <c r="N9" s="4669"/>
      <c r="O9" s="2330" t="s">
        <v>486</v>
      </c>
      <c r="P9" s="4609"/>
      <c r="Q9" s="4610"/>
      <c r="R9" s="4609"/>
      <c r="S9" s="4619"/>
      <c r="T9" s="4610"/>
      <c r="U9" s="4609"/>
      <c r="V9" s="4619"/>
      <c r="W9" s="4619"/>
      <c r="X9" s="4610"/>
      <c r="Y9" s="4639"/>
      <c r="Z9" s="4640"/>
      <c r="AA9" s="4641"/>
      <c r="AB9" s="4639"/>
      <c r="AC9" s="4640"/>
      <c r="AD9" s="4641"/>
      <c r="AE9" s="4027"/>
      <c r="AF9" s="4028"/>
      <c r="AG9" s="4027"/>
      <c r="AH9" s="4030"/>
      <c r="AI9" s="4670" t="s">
        <v>1177</v>
      </c>
      <c r="AJ9" s="4633" t="s">
        <v>990</v>
      </c>
      <c r="AK9" s="4633" t="s">
        <v>1178</v>
      </c>
      <c r="AL9" s="4633" t="s">
        <v>1179</v>
      </c>
      <c r="AM9" s="4633" t="s">
        <v>1180</v>
      </c>
      <c r="AN9" s="4633" t="s">
        <v>1210</v>
      </c>
      <c r="AO9" s="4635" t="s">
        <v>991</v>
      </c>
      <c r="AP9" s="4027"/>
      <c r="AQ9" s="4028"/>
      <c r="AR9" s="231"/>
      <c r="AT9" s="2340"/>
      <c r="AU9" s="4630"/>
      <c r="AV9" s="4658"/>
    </row>
    <row r="10" spans="1:48" ht="11.25" customHeight="1">
      <c r="A10" s="4605"/>
      <c r="B10" s="4608"/>
      <c r="C10" s="4609"/>
      <c r="D10" s="4610"/>
      <c r="E10" s="4613"/>
      <c r="F10" s="4613"/>
      <c r="G10" s="4615"/>
      <c r="H10" s="4616"/>
      <c r="I10" s="4609"/>
      <c r="J10" s="4619"/>
      <c r="K10" s="4619"/>
      <c r="L10" s="4610"/>
      <c r="M10" s="4637" t="s">
        <v>976</v>
      </c>
      <c r="N10" s="4638" t="s">
        <v>976</v>
      </c>
      <c r="O10" s="2330" t="s">
        <v>487</v>
      </c>
      <c r="P10" s="4609"/>
      <c r="Q10" s="4610"/>
      <c r="R10" s="4609"/>
      <c r="S10" s="4619"/>
      <c r="T10" s="4610"/>
      <c r="U10" s="4611"/>
      <c r="V10" s="4620"/>
      <c r="W10" s="4620"/>
      <c r="X10" s="4612"/>
      <c r="Y10" s="4639"/>
      <c r="Z10" s="4640"/>
      <c r="AA10" s="4641"/>
      <c r="AB10" s="4639"/>
      <c r="AC10" s="4640"/>
      <c r="AD10" s="4641"/>
      <c r="AE10" s="4027"/>
      <c r="AF10" s="4028"/>
      <c r="AG10" s="4027"/>
      <c r="AH10" s="4030"/>
      <c r="AI10" s="4671"/>
      <c r="AJ10" s="4634"/>
      <c r="AK10" s="4634"/>
      <c r="AL10" s="4634"/>
      <c r="AM10" s="4634"/>
      <c r="AN10" s="4634"/>
      <c r="AO10" s="4636"/>
      <c r="AP10" s="4027"/>
      <c r="AQ10" s="4028"/>
      <c r="AR10" s="231"/>
      <c r="AT10" s="2340"/>
      <c r="AU10" s="4629" t="s">
        <v>1188</v>
      </c>
      <c r="AV10" s="4657">
        <v>3</v>
      </c>
    </row>
    <row r="11" spans="1:48" ht="11.25" customHeight="1">
      <c r="A11" s="4605"/>
      <c r="B11" s="4608"/>
      <c r="C11" s="4609"/>
      <c r="D11" s="4610"/>
      <c r="E11" s="4613"/>
      <c r="F11" s="4613"/>
      <c r="G11" s="4615"/>
      <c r="H11" s="4616"/>
      <c r="I11" s="4609"/>
      <c r="J11" s="4619"/>
      <c r="K11" s="4619"/>
      <c r="L11" s="4610"/>
      <c r="M11" s="4621" t="s">
        <v>977</v>
      </c>
      <c r="N11" s="4622" t="s">
        <v>977</v>
      </c>
      <c r="O11" s="2330" t="s">
        <v>488</v>
      </c>
      <c r="P11" s="4609"/>
      <c r="Q11" s="4610"/>
      <c r="R11" s="4609"/>
      <c r="S11" s="4619"/>
      <c r="T11" s="4610"/>
      <c r="U11" s="4659" t="s">
        <v>1173</v>
      </c>
      <c r="V11" s="4661" t="s">
        <v>989</v>
      </c>
      <c r="W11" s="4662" t="s">
        <v>900</v>
      </c>
      <c r="X11" s="4648" t="s">
        <v>900</v>
      </c>
      <c r="Y11" s="4639"/>
      <c r="Z11" s="4640"/>
      <c r="AA11" s="4641"/>
      <c r="AB11" s="4639"/>
      <c r="AC11" s="4640"/>
      <c r="AD11" s="4641"/>
      <c r="AE11" s="4027"/>
      <c r="AF11" s="4028"/>
      <c r="AG11" s="4027"/>
      <c r="AH11" s="4030"/>
      <c r="AI11" s="4671"/>
      <c r="AJ11" s="4634"/>
      <c r="AK11" s="4634"/>
      <c r="AL11" s="4634"/>
      <c r="AM11" s="4634"/>
      <c r="AN11" s="4634"/>
      <c r="AO11" s="4636"/>
      <c r="AP11" s="4027"/>
      <c r="AQ11" s="4028"/>
      <c r="AR11" s="231"/>
      <c r="AT11" s="2340"/>
      <c r="AU11" s="4630"/>
      <c r="AV11" s="4658"/>
    </row>
    <row r="12" spans="1:48" ht="11.25" customHeight="1">
      <c r="A12" s="4605"/>
      <c r="B12" s="4608"/>
      <c r="C12" s="4609"/>
      <c r="D12" s="4610"/>
      <c r="E12" s="4613"/>
      <c r="F12" s="4613"/>
      <c r="G12" s="4615"/>
      <c r="H12" s="4616"/>
      <c r="I12" s="4609"/>
      <c r="J12" s="4619"/>
      <c r="K12" s="4619"/>
      <c r="L12" s="4610"/>
      <c r="M12" s="4621" t="s">
        <v>1165</v>
      </c>
      <c r="N12" s="4622" t="s">
        <v>978</v>
      </c>
      <c r="O12" s="2330" t="s">
        <v>489</v>
      </c>
      <c r="P12" s="4609"/>
      <c r="Q12" s="4610"/>
      <c r="R12" s="4609"/>
      <c r="S12" s="4619"/>
      <c r="T12" s="4610"/>
      <c r="U12" s="4660" t="s">
        <v>988</v>
      </c>
      <c r="V12" s="4662" t="s">
        <v>989</v>
      </c>
      <c r="W12" s="4662" t="s">
        <v>900</v>
      </c>
      <c r="X12" s="4648" t="s">
        <v>900</v>
      </c>
      <c r="Y12" s="4639"/>
      <c r="Z12" s="4640"/>
      <c r="AA12" s="4641"/>
      <c r="AB12" s="4639"/>
      <c r="AC12" s="4640"/>
      <c r="AD12" s="4641"/>
      <c r="AE12" s="4027"/>
      <c r="AF12" s="4028"/>
      <c r="AG12" s="4027"/>
      <c r="AH12" s="4030"/>
      <c r="AI12" s="4671"/>
      <c r="AJ12" s="4634"/>
      <c r="AK12" s="4634"/>
      <c r="AL12" s="4634"/>
      <c r="AM12" s="4634"/>
      <c r="AN12" s="4634"/>
      <c r="AO12" s="4636"/>
      <c r="AP12" s="4027"/>
      <c r="AQ12" s="4028"/>
      <c r="AR12" s="231"/>
      <c r="AT12" s="2340"/>
      <c r="AU12" s="1329" t="s">
        <v>1189</v>
      </c>
      <c r="AV12" s="1330">
        <v>4</v>
      </c>
    </row>
    <row r="13" spans="1:48" ht="11.25" customHeight="1">
      <c r="A13" s="4605"/>
      <c r="B13" s="4608"/>
      <c r="C13" s="4609"/>
      <c r="D13" s="4610"/>
      <c r="E13" s="4613"/>
      <c r="F13" s="4613"/>
      <c r="G13" s="4615"/>
      <c r="H13" s="4616"/>
      <c r="I13" s="4609"/>
      <c r="J13" s="4619"/>
      <c r="K13" s="4619"/>
      <c r="L13" s="4610"/>
      <c r="M13" s="4621" t="s">
        <v>979</v>
      </c>
      <c r="N13" s="4622" t="s">
        <v>979</v>
      </c>
      <c r="O13" s="2330" t="s">
        <v>490</v>
      </c>
      <c r="P13" s="4609"/>
      <c r="Q13" s="4610"/>
      <c r="R13" s="4609"/>
      <c r="S13" s="4619"/>
      <c r="T13" s="4619"/>
      <c r="U13" s="4623" t="s">
        <v>1206</v>
      </c>
      <c r="V13" s="4678">
        <v>2</v>
      </c>
      <c r="W13" s="4678"/>
      <c r="X13" s="4679"/>
      <c r="Y13" s="4639"/>
      <c r="Z13" s="4640"/>
      <c r="AA13" s="4641"/>
      <c r="AB13" s="4639"/>
      <c r="AC13" s="4640"/>
      <c r="AD13" s="4641"/>
      <c r="AE13" s="4027"/>
      <c r="AF13" s="4028"/>
      <c r="AG13" s="4027"/>
      <c r="AH13" s="4030"/>
      <c r="AI13" s="4671"/>
      <c r="AJ13" s="4634"/>
      <c r="AK13" s="4634"/>
      <c r="AL13" s="4634"/>
      <c r="AM13" s="4634"/>
      <c r="AN13" s="4634"/>
      <c r="AO13" s="4636"/>
      <c r="AP13" s="4027"/>
      <c r="AQ13" s="4028"/>
      <c r="AR13" s="4631" t="s">
        <v>1182</v>
      </c>
      <c r="AS13" s="4632" t="s">
        <v>992</v>
      </c>
      <c r="AT13" s="2020">
        <v>1</v>
      </c>
      <c r="AU13" s="1329" t="s">
        <v>1915</v>
      </c>
      <c r="AV13" s="1330">
        <v>5</v>
      </c>
    </row>
    <row r="14" spans="1:48" ht="11.25" customHeight="1">
      <c r="A14" s="4605"/>
      <c r="B14" s="2094"/>
      <c r="C14" s="4609"/>
      <c r="D14" s="4610"/>
      <c r="E14" s="4613"/>
      <c r="F14" s="4613"/>
      <c r="G14" s="4615"/>
      <c r="H14" s="4616"/>
      <c r="I14" s="4609"/>
      <c r="J14" s="4619"/>
      <c r="K14" s="4619"/>
      <c r="L14" s="4610"/>
      <c r="M14" s="4621" t="s">
        <v>1166</v>
      </c>
      <c r="N14" s="4622" t="s">
        <v>980</v>
      </c>
      <c r="O14" s="2330" t="s">
        <v>491</v>
      </c>
      <c r="P14" s="4609"/>
      <c r="Q14" s="4610"/>
      <c r="R14" s="4609"/>
      <c r="S14" s="4619"/>
      <c r="T14" s="4619"/>
      <c r="U14" s="4624"/>
      <c r="V14" s="4680"/>
      <c r="W14" s="4680"/>
      <c r="X14" s="4681"/>
      <c r="Y14" s="4639"/>
      <c r="Z14" s="4640"/>
      <c r="AA14" s="4641"/>
      <c r="AB14" s="4639"/>
      <c r="AC14" s="4640"/>
      <c r="AD14" s="4641"/>
      <c r="AE14" s="4027"/>
      <c r="AF14" s="4028"/>
      <c r="AG14" s="4027"/>
      <c r="AH14" s="4030"/>
      <c r="AI14" s="4671"/>
      <c r="AJ14" s="4634"/>
      <c r="AK14" s="4634"/>
      <c r="AL14" s="4634"/>
      <c r="AM14" s="4634"/>
      <c r="AN14" s="4634"/>
      <c r="AO14" s="4636"/>
      <c r="AP14" s="4027"/>
      <c r="AQ14" s="4028"/>
      <c r="AR14" s="4631" t="s">
        <v>1183</v>
      </c>
      <c r="AS14" s="4632" t="s">
        <v>993</v>
      </c>
      <c r="AT14" s="2020">
        <v>2</v>
      </c>
      <c r="AU14" s="1329" t="s">
        <v>1190</v>
      </c>
      <c r="AV14" s="1330">
        <v>6</v>
      </c>
    </row>
    <row r="15" spans="1:48" ht="11.25" customHeight="1">
      <c r="A15" s="4605"/>
      <c r="B15" s="2094"/>
      <c r="C15" s="4609"/>
      <c r="D15" s="4610"/>
      <c r="E15" s="4613"/>
      <c r="F15" s="4613"/>
      <c r="G15" s="4615"/>
      <c r="H15" s="4616"/>
      <c r="I15" s="4609"/>
      <c r="J15" s="4619"/>
      <c r="K15" s="4619"/>
      <c r="L15" s="4610"/>
      <c r="M15" s="4621" t="s">
        <v>1167</v>
      </c>
      <c r="N15" s="4622" t="s">
        <v>981</v>
      </c>
      <c r="O15" s="2330" t="s">
        <v>492</v>
      </c>
      <c r="P15" s="4609"/>
      <c r="Q15" s="4610"/>
      <c r="R15" s="4609"/>
      <c r="S15" s="4619"/>
      <c r="T15" s="4619"/>
      <c r="U15" s="4624"/>
      <c r="V15" s="4680"/>
      <c r="W15" s="4680"/>
      <c r="X15" s="4681"/>
      <c r="Y15" s="4639"/>
      <c r="Z15" s="4640"/>
      <c r="AA15" s="4641"/>
      <c r="AB15" s="4639"/>
      <c r="AC15" s="4640"/>
      <c r="AD15" s="4641"/>
      <c r="AE15" s="4027"/>
      <c r="AF15" s="4028"/>
      <c r="AG15" s="4027"/>
      <c r="AH15" s="4030"/>
      <c r="AI15" s="4671"/>
      <c r="AJ15" s="4634"/>
      <c r="AK15" s="4634"/>
      <c r="AL15" s="4634"/>
      <c r="AM15" s="4634"/>
      <c r="AN15" s="4634"/>
      <c r="AO15" s="4636"/>
      <c r="AP15" s="4027"/>
      <c r="AQ15" s="4028"/>
      <c r="AR15" s="4631" t="s">
        <v>1184</v>
      </c>
      <c r="AS15" s="4632" t="s">
        <v>994</v>
      </c>
      <c r="AT15" s="2020">
        <v>3</v>
      </c>
      <c r="AU15" s="1331" t="s">
        <v>1191</v>
      </c>
      <c r="AV15" s="1330">
        <v>7</v>
      </c>
    </row>
    <row r="16" spans="1:48" ht="11.25" customHeight="1">
      <c r="A16" s="4605"/>
      <c r="B16" s="2094"/>
      <c r="C16" s="4609"/>
      <c r="D16" s="4610"/>
      <c r="E16" s="4613"/>
      <c r="F16" s="4613"/>
      <c r="G16" s="4615"/>
      <c r="H16" s="4616"/>
      <c r="I16" s="4609"/>
      <c r="J16" s="4619"/>
      <c r="K16" s="4619"/>
      <c r="L16" s="4610"/>
      <c r="M16" s="4625" t="s">
        <v>1169</v>
      </c>
      <c r="N16" s="4626" t="s">
        <v>982</v>
      </c>
      <c r="O16" s="4627" t="s">
        <v>493</v>
      </c>
      <c r="P16" s="4609"/>
      <c r="Q16" s="4610"/>
      <c r="R16" s="4609"/>
      <c r="S16" s="4619"/>
      <c r="T16" s="4619"/>
      <c r="U16" s="4624"/>
      <c r="V16" s="4682"/>
      <c r="W16" s="4682"/>
      <c r="X16" s="4683"/>
      <c r="Y16" s="4639"/>
      <c r="Z16" s="4640"/>
      <c r="AA16" s="4641"/>
      <c r="AB16" s="4639"/>
      <c r="AC16" s="4640"/>
      <c r="AD16" s="4641"/>
      <c r="AE16" s="4645"/>
      <c r="AF16" s="4646"/>
      <c r="AG16" s="4027"/>
      <c r="AH16" s="4030"/>
      <c r="AI16" s="4671"/>
      <c r="AJ16" s="4634"/>
      <c r="AK16" s="4634"/>
      <c r="AL16" s="4634"/>
      <c r="AM16" s="4634"/>
      <c r="AN16" s="4634"/>
      <c r="AO16" s="4636"/>
      <c r="AP16" s="4027"/>
      <c r="AQ16" s="4028"/>
      <c r="AR16" s="4631" t="s">
        <v>1185</v>
      </c>
      <c r="AS16" s="4632" t="s">
        <v>995</v>
      </c>
      <c r="AT16" s="2020">
        <v>4</v>
      </c>
      <c r="AU16" s="1331" t="s">
        <v>927</v>
      </c>
      <c r="AV16" s="1330">
        <v>8</v>
      </c>
    </row>
    <row r="17" spans="1:48" ht="11.25" customHeight="1">
      <c r="A17" s="4605"/>
      <c r="B17" s="2094"/>
      <c r="C17" s="4609"/>
      <c r="D17" s="4610"/>
      <c r="E17" s="4613"/>
      <c r="F17" s="4613"/>
      <c r="G17" s="4615"/>
      <c r="H17" s="4616"/>
      <c r="I17" s="4609"/>
      <c r="J17" s="4619"/>
      <c r="K17" s="4619"/>
      <c r="L17" s="4610"/>
      <c r="M17" s="4672" t="s">
        <v>1168</v>
      </c>
      <c r="N17" s="4673" t="s">
        <v>983</v>
      </c>
      <c r="O17" s="4628"/>
      <c r="P17" s="1332"/>
      <c r="Q17" s="1333"/>
      <c r="R17" s="4609"/>
      <c r="S17" s="4619"/>
      <c r="T17" s="4619"/>
      <c r="U17" s="4674" t="s">
        <v>1174</v>
      </c>
      <c r="V17" s="4684" t="s">
        <v>1413</v>
      </c>
      <c r="W17" s="4684"/>
      <c r="X17" s="4685"/>
      <c r="Y17" s="4639"/>
      <c r="Z17" s="4640"/>
      <c r="AA17" s="4641"/>
      <c r="AB17" s="4639"/>
      <c r="AC17" s="4640"/>
      <c r="AD17" s="4641"/>
      <c r="AE17" s="2343" t="s">
        <v>862</v>
      </c>
      <c r="AF17" s="2346">
        <v>1</v>
      </c>
      <c r="AG17" s="4027"/>
      <c r="AH17" s="4030"/>
      <c r="AI17" s="4671"/>
      <c r="AJ17" s="4634"/>
      <c r="AK17" s="4634"/>
      <c r="AL17" s="4634"/>
      <c r="AM17" s="4634"/>
      <c r="AN17" s="4634"/>
      <c r="AO17" s="4636"/>
      <c r="AP17" s="2343" t="s">
        <v>862</v>
      </c>
      <c r="AQ17" s="2344">
        <v>1</v>
      </c>
      <c r="AR17" s="4631" t="s">
        <v>1186</v>
      </c>
      <c r="AS17" s="4632" t="s">
        <v>996</v>
      </c>
      <c r="AT17" s="2020">
        <v>5</v>
      </c>
      <c r="AU17" s="1331" t="s">
        <v>1192</v>
      </c>
      <c r="AV17" s="1330">
        <v>9</v>
      </c>
    </row>
    <row r="18" spans="1:48" ht="11.25" customHeight="1">
      <c r="A18" s="4605"/>
      <c r="B18" s="2094"/>
      <c r="C18" s="4609"/>
      <c r="D18" s="4610"/>
      <c r="E18" s="4613"/>
      <c r="F18" s="4613"/>
      <c r="G18" s="4615"/>
      <c r="H18" s="4616"/>
      <c r="I18" s="4609"/>
      <c r="J18" s="4619"/>
      <c r="K18" s="4619"/>
      <c r="L18" s="4610"/>
      <c r="M18" s="4625" t="s">
        <v>1170</v>
      </c>
      <c r="N18" s="4626" t="s">
        <v>984</v>
      </c>
      <c r="O18" s="4627" t="s">
        <v>698</v>
      </c>
      <c r="P18" s="2343" t="s">
        <v>862</v>
      </c>
      <c r="Q18" s="2362">
        <v>1</v>
      </c>
      <c r="R18" s="4652"/>
      <c r="S18" s="4620"/>
      <c r="T18" s="4653"/>
      <c r="U18" s="4674"/>
      <c r="V18" s="4686"/>
      <c r="W18" s="4686"/>
      <c r="X18" s="4687"/>
      <c r="Y18" s="4639"/>
      <c r="Z18" s="4640"/>
      <c r="AA18" s="4641"/>
      <c r="AB18" s="4639"/>
      <c r="AC18" s="4640"/>
      <c r="AD18" s="4641"/>
      <c r="AE18" s="2347" t="s">
        <v>12</v>
      </c>
      <c r="AF18" s="2348">
        <f>+AP4</f>
        <v>6.1499999999999968</v>
      </c>
      <c r="AG18" s="4690"/>
      <c r="AH18" s="4691"/>
      <c r="AI18" s="4671"/>
      <c r="AJ18" s="4634"/>
      <c r="AK18" s="4634"/>
      <c r="AL18" s="4634"/>
      <c r="AM18" s="4634"/>
      <c r="AN18" s="4634"/>
      <c r="AO18" s="4636"/>
      <c r="AP18" s="2345" t="s">
        <v>863</v>
      </c>
      <c r="AQ18" s="2346">
        <v>2</v>
      </c>
      <c r="AR18" s="4631" t="s">
        <v>1187</v>
      </c>
      <c r="AS18" s="4632" t="s">
        <v>997</v>
      </c>
      <c r="AT18" s="2020">
        <v>6</v>
      </c>
      <c r="AU18" s="1952" t="s">
        <v>1209</v>
      </c>
      <c r="AV18" s="1336">
        <v>10</v>
      </c>
    </row>
    <row r="19" spans="1:48" ht="11.25" customHeight="1">
      <c r="A19" s="4605"/>
      <c r="B19" s="2094"/>
      <c r="C19" s="4611"/>
      <c r="D19" s="4612"/>
      <c r="E19" s="4614"/>
      <c r="F19" s="4614"/>
      <c r="G19" s="4617"/>
      <c r="H19" s="4618"/>
      <c r="I19" s="4611"/>
      <c r="J19" s="4620"/>
      <c r="K19" s="4620"/>
      <c r="L19" s="4612"/>
      <c r="M19" s="4672" t="s">
        <v>1171</v>
      </c>
      <c r="N19" s="4673" t="s">
        <v>985</v>
      </c>
      <c r="O19" s="4628"/>
      <c r="P19" s="2363" t="s">
        <v>863</v>
      </c>
      <c r="Q19" s="2364">
        <v>2</v>
      </c>
      <c r="R19" s="2343" t="s">
        <v>862</v>
      </c>
      <c r="S19" s="2240">
        <v>1</v>
      </c>
      <c r="T19" s="2359"/>
      <c r="U19" s="4674"/>
      <c r="V19" s="4686"/>
      <c r="W19" s="4686"/>
      <c r="X19" s="4687"/>
      <c r="Y19" s="2343" t="s">
        <v>862</v>
      </c>
      <c r="Z19" s="2353"/>
      <c r="AA19" s="2354">
        <v>1</v>
      </c>
      <c r="AB19" s="2355" t="s">
        <v>862</v>
      </c>
      <c r="AC19" s="2356"/>
      <c r="AD19" s="2357">
        <v>1</v>
      </c>
      <c r="AE19" s="2358" t="s">
        <v>863</v>
      </c>
      <c r="AF19" s="2344">
        <v>2</v>
      </c>
      <c r="AG19" s="2343" t="s">
        <v>862</v>
      </c>
      <c r="AH19" s="2349">
        <v>1</v>
      </c>
      <c r="AI19" s="4671"/>
      <c r="AJ19" s="4634"/>
      <c r="AK19" s="4634"/>
      <c r="AL19" s="4634"/>
      <c r="AM19" s="4634"/>
      <c r="AN19" s="4634"/>
      <c r="AO19" s="4636"/>
      <c r="AP19" s="2347" t="s">
        <v>12</v>
      </c>
      <c r="AQ19" s="2348">
        <f>+AU4</f>
        <v>6.1699999999999964</v>
      </c>
      <c r="AR19" s="1340"/>
      <c r="AS19" s="1341"/>
      <c r="AT19" s="2341"/>
      <c r="AU19" s="1342" t="s">
        <v>1193</v>
      </c>
      <c r="AV19" s="1343">
        <v>11</v>
      </c>
    </row>
    <row r="20" spans="1:48" ht="11.25" customHeight="1">
      <c r="A20" s="4605"/>
      <c r="B20" s="2094"/>
      <c r="C20" s="1339" t="s">
        <v>862</v>
      </c>
      <c r="D20" s="1335">
        <v>1</v>
      </c>
      <c r="E20" s="1339" t="s">
        <v>862</v>
      </c>
      <c r="F20" s="1334">
        <v>1</v>
      </c>
      <c r="G20" s="1339" t="s">
        <v>862</v>
      </c>
      <c r="H20" s="1334">
        <v>1</v>
      </c>
      <c r="I20" s="1339" t="s">
        <v>862</v>
      </c>
      <c r="J20" s="1334">
        <v>1</v>
      </c>
      <c r="K20" s="1334"/>
      <c r="L20" s="1334"/>
      <c r="M20" s="4621" t="s">
        <v>1172</v>
      </c>
      <c r="N20" s="4622" t="s">
        <v>986</v>
      </c>
      <c r="O20" s="2331">
        <v>10</v>
      </c>
      <c r="P20" s="1334"/>
      <c r="Q20" s="1335"/>
      <c r="R20" s="2360" t="s">
        <v>863</v>
      </c>
      <c r="S20" s="2361">
        <v>2</v>
      </c>
      <c r="T20" s="2361"/>
      <c r="U20" s="4674"/>
      <c r="V20" s="4688"/>
      <c r="W20" s="4688"/>
      <c r="X20" s="4689"/>
      <c r="Y20" s="4675" t="s">
        <v>1176</v>
      </c>
      <c r="Z20" s="4676"/>
      <c r="AA20" s="4677"/>
      <c r="AB20" s="2355" t="s">
        <v>863</v>
      </c>
      <c r="AC20" s="2356"/>
      <c r="AD20" s="2357">
        <v>2</v>
      </c>
      <c r="AE20" s="228"/>
      <c r="AF20" s="228"/>
      <c r="AG20" s="2345" t="s">
        <v>863</v>
      </c>
      <c r="AH20" s="2350">
        <v>2</v>
      </c>
      <c r="AI20" s="4671"/>
      <c r="AJ20" s="4634"/>
      <c r="AK20" s="4634"/>
      <c r="AL20" s="4634"/>
      <c r="AM20" s="4634"/>
      <c r="AN20" s="4634"/>
      <c r="AO20" s="4636"/>
      <c r="AP20" s="870"/>
      <c r="AQ20" s="227"/>
      <c r="AR20" s="2811"/>
      <c r="AS20" s="2812" t="s">
        <v>12</v>
      </c>
      <c r="AT20" s="2813">
        <v>6.18</v>
      </c>
      <c r="AU20" s="1344" t="s">
        <v>998</v>
      </c>
      <c r="AV20" s="1336">
        <v>12</v>
      </c>
    </row>
    <row r="21" spans="1:48" ht="11.25" customHeight="1">
      <c r="A21" s="4605"/>
      <c r="B21" s="2094"/>
      <c r="C21" s="1414" t="s">
        <v>12</v>
      </c>
      <c r="D21" s="1415">
        <f>R4</f>
        <v>6.0799999999999983</v>
      </c>
      <c r="E21" s="1416" t="s">
        <v>12</v>
      </c>
      <c r="F21" s="1417">
        <f>+R4</f>
        <v>6.0799999999999983</v>
      </c>
      <c r="G21" s="1416" t="s">
        <v>12</v>
      </c>
      <c r="H21" s="1417">
        <f>R4</f>
        <v>6.0799999999999983</v>
      </c>
      <c r="I21" s="4709"/>
      <c r="J21" s="4710"/>
      <c r="K21" s="4710"/>
      <c r="L21" s="1345"/>
      <c r="M21" s="4621" t="s">
        <v>1044</v>
      </c>
      <c r="N21" s="4622" t="s">
        <v>987</v>
      </c>
      <c r="O21" s="2331">
        <v>11</v>
      </c>
      <c r="P21" s="808"/>
      <c r="Q21" s="829"/>
      <c r="R21" s="4705" t="s">
        <v>824</v>
      </c>
      <c r="S21" s="4708"/>
      <c r="T21" s="4707"/>
      <c r="U21" s="4711" t="s">
        <v>1175</v>
      </c>
      <c r="V21" s="4684" t="s">
        <v>1414</v>
      </c>
      <c r="W21" s="4684"/>
      <c r="X21" s="4685"/>
      <c r="Y21" s="1346" t="s">
        <v>863</v>
      </c>
      <c r="Z21" s="1337"/>
      <c r="AA21" s="1347">
        <v>2</v>
      </c>
      <c r="AB21" s="4705" t="s">
        <v>1181</v>
      </c>
      <c r="AC21" s="4706"/>
      <c r="AD21" s="4707"/>
      <c r="AE21" s="230"/>
      <c r="AF21" s="230"/>
      <c r="AG21" s="2351" t="s">
        <v>12</v>
      </c>
      <c r="AH21" s="2352">
        <v>6.15</v>
      </c>
      <c r="AI21" s="4671"/>
      <c r="AJ21" s="4634"/>
      <c r="AK21" s="4634"/>
      <c r="AL21" s="4634"/>
      <c r="AM21" s="4634"/>
      <c r="AN21" s="4634"/>
      <c r="AO21" s="4636"/>
      <c r="AP21" s="871"/>
      <c r="AQ21" s="226"/>
      <c r="AR21" s="4692"/>
      <c r="AS21" s="4693"/>
      <c r="AT21" s="4694"/>
      <c r="AU21" s="1331" t="s">
        <v>1194</v>
      </c>
      <c r="AV21" s="1336">
        <v>13</v>
      </c>
    </row>
    <row r="22" spans="1:48" ht="11.25" customHeight="1">
      <c r="A22" s="4605"/>
      <c r="B22" s="2122"/>
      <c r="C22" s="1346" t="s">
        <v>863</v>
      </c>
      <c r="D22" s="1338">
        <v>2</v>
      </c>
      <c r="E22" s="1346" t="s">
        <v>863</v>
      </c>
      <c r="F22" s="1337">
        <v>2</v>
      </c>
      <c r="G22" s="1346" t="s">
        <v>863</v>
      </c>
      <c r="H22" s="1337">
        <v>2</v>
      </c>
      <c r="I22" s="1346" t="s">
        <v>863</v>
      </c>
      <c r="J22" s="1337">
        <v>2</v>
      </c>
      <c r="K22" s="4695" t="s">
        <v>823</v>
      </c>
      <c r="L22" s="4695"/>
      <c r="M22" s="840"/>
      <c r="N22" s="826"/>
      <c r="O22" s="2332"/>
      <c r="P22" s="233"/>
      <c r="Q22" s="830"/>
      <c r="R22" s="231"/>
      <c r="U22" s="4712"/>
      <c r="V22" s="4713"/>
      <c r="W22" s="4713"/>
      <c r="X22" s="4714"/>
      <c r="Y22" s="232"/>
      <c r="Z22" s="233"/>
      <c r="AA22" s="828"/>
      <c r="AB22" s="232"/>
      <c r="AC22" s="233"/>
      <c r="AD22" s="828"/>
      <c r="AE22" s="235"/>
      <c r="AF22" s="235"/>
      <c r="AG22" s="872"/>
      <c r="AH22" s="940"/>
      <c r="AI22" s="4671"/>
      <c r="AJ22" s="4634"/>
      <c r="AK22" s="4634"/>
      <c r="AL22" s="4634"/>
      <c r="AM22" s="4634"/>
      <c r="AN22" s="4634"/>
      <c r="AO22" s="4636"/>
      <c r="AP22" s="872"/>
      <c r="AQ22" s="234"/>
      <c r="AR22" s="840"/>
      <c r="AS22" s="826"/>
      <c r="AT22" s="2342"/>
      <c r="AU22" s="1329" t="s">
        <v>1195</v>
      </c>
      <c r="AV22" s="1336">
        <v>14</v>
      </c>
    </row>
    <row r="23" spans="1:48" ht="11.25" customHeight="1" thickBot="1">
      <c r="A23" s="4606"/>
      <c r="B23" s="2123" t="s">
        <v>669</v>
      </c>
      <c r="C23" s="237"/>
      <c r="D23" s="238"/>
      <c r="E23" s="239"/>
      <c r="F23" s="239"/>
      <c r="G23" s="237"/>
      <c r="H23" s="238"/>
      <c r="I23" s="237"/>
      <c r="J23" s="236"/>
      <c r="K23" s="236"/>
      <c r="L23" s="236"/>
      <c r="M23" s="237"/>
      <c r="N23" s="236"/>
      <c r="O23" s="238"/>
      <c r="P23" s="236"/>
      <c r="Q23" s="238"/>
      <c r="R23" s="237"/>
      <c r="S23" s="236"/>
      <c r="T23" s="238"/>
      <c r="U23" s="240"/>
      <c r="V23" s="241"/>
      <c r="W23" s="2328"/>
      <c r="X23" s="1931"/>
      <c r="Y23" s="237"/>
      <c r="Z23" s="236"/>
      <c r="AA23" s="238"/>
      <c r="AB23" s="2121"/>
      <c r="AC23" s="236"/>
      <c r="AD23" s="238"/>
      <c r="AE23" s="242"/>
      <c r="AF23" s="242"/>
      <c r="AG23" s="244"/>
      <c r="AH23" s="245"/>
      <c r="AI23" s="4671"/>
      <c r="AJ23" s="4634"/>
      <c r="AK23" s="4634"/>
      <c r="AL23" s="4634"/>
      <c r="AM23" s="4634"/>
      <c r="AN23" s="4634"/>
      <c r="AO23" s="4636"/>
      <c r="AP23" s="244"/>
      <c r="AQ23" s="243"/>
      <c r="AR23" s="237"/>
      <c r="AS23" s="236"/>
      <c r="AT23" s="238"/>
      <c r="AU23" s="1951" t="s">
        <v>1261</v>
      </c>
      <c r="AV23" s="939">
        <v>15</v>
      </c>
    </row>
    <row r="24" spans="1:48" ht="7.5" customHeight="1" thickBot="1">
      <c r="A24" s="178"/>
      <c r="AE24" s="57"/>
      <c r="AF24" s="57"/>
      <c r="AG24" s="57"/>
      <c r="AH24" s="57"/>
      <c r="AI24" s="1950"/>
      <c r="AJ24" s="1950"/>
      <c r="AK24" s="1950"/>
      <c r="AL24" s="1950"/>
      <c r="AM24" s="1950"/>
      <c r="AN24" s="1950"/>
      <c r="AO24" s="1950"/>
      <c r="AP24" s="57"/>
      <c r="AQ24" s="57"/>
      <c r="AU24" s="57"/>
      <c r="AV24" s="831"/>
    </row>
    <row r="25" spans="1:48" ht="17.25" customHeight="1">
      <c r="A25" s="1558">
        <v>1</v>
      </c>
      <c r="B25" s="1266"/>
      <c r="C25" s="1221"/>
      <c r="D25" s="246"/>
      <c r="E25" s="1265"/>
      <c r="F25" s="1266"/>
      <c r="G25" s="1221"/>
      <c r="H25" s="246"/>
      <c r="I25" s="1221"/>
      <c r="J25" s="246"/>
      <c r="K25" s="246"/>
      <c r="L25" s="246"/>
      <c r="M25" s="1221"/>
      <c r="N25" s="246"/>
      <c r="O25" s="2333"/>
      <c r="P25" s="1265"/>
      <c r="Q25" s="1267"/>
      <c r="R25" s="246"/>
      <c r="S25" s="246"/>
      <c r="T25" s="246"/>
      <c r="U25" s="4696"/>
      <c r="V25" s="4697"/>
      <c r="W25" s="4697"/>
      <c r="X25" s="4698"/>
      <c r="Y25" s="246"/>
      <c r="Z25" s="246"/>
      <c r="AA25" s="1409"/>
      <c r="AB25" s="1221"/>
      <c r="AC25" s="246"/>
      <c r="AD25" s="1409"/>
      <c r="AE25" s="249"/>
      <c r="AF25" s="248"/>
      <c r="AG25" s="249"/>
      <c r="AH25" s="248"/>
      <c r="AI25" s="846"/>
      <c r="AJ25" s="847"/>
      <c r="AK25" s="847"/>
      <c r="AL25" s="847"/>
      <c r="AM25" s="847"/>
      <c r="AN25" s="847"/>
      <c r="AO25" s="848"/>
      <c r="AP25" s="247"/>
      <c r="AQ25" s="1348"/>
      <c r="AR25" s="246"/>
      <c r="AS25" s="246"/>
      <c r="AT25" s="2242"/>
      <c r="AU25" s="249"/>
      <c r="AV25" s="832"/>
    </row>
    <row r="26" spans="1:48" ht="17.25" customHeight="1">
      <c r="A26" s="1559">
        <v>2</v>
      </c>
      <c r="B26" s="1269"/>
      <c r="C26" s="1222"/>
      <c r="D26" s="250"/>
      <c r="E26" s="1268"/>
      <c r="F26" s="1270"/>
      <c r="G26" s="1269"/>
      <c r="H26" s="1269"/>
      <c r="I26" s="1222"/>
      <c r="J26" s="250"/>
      <c r="K26" s="250"/>
      <c r="L26" s="250"/>
      <c r="M26" s="1222"/>
      <c r="N26" s="250"/>
      <c r="O26" s="2334"/>
      <c r="P26" s="1268"/>
      <c r="Q26" s="1270"/>
      <c r="R26" s="250"/>
      <c r="S26" s="250"/>
      <c r="T26" s="250"/>
      <c r="U26" s="4699" t="str">
        <f t="shared" ref="U26:X26" si="1">PROPER(U9)</f>
        <v/>
      </c>
      <c r="V26" s="4700" t="str">
        <f t="shared" si="1"/>
        <v/>
      </c>
      <c r="W26" s="4700" t="str">
        <f t="shared" si="1"/>
        <v/>
      </c>
      <c r="X26" s="4701" t="str">
        <f t="shared" si="1"/>
        <v/>
      </c>
      <c r="Y26" s="250"/>
      <c r="Z26" s="250"/>
      <c r="AA26" s="1410"/>
      <c r="AB26" s="1222"/>
      <c r="AC26" s="250"/>
      <c r="AD26" s="1410"/>
      <c r="AE26" s="253"/>
      <c r="AF26" s="252"/>
      <c r="AG26" s="253"/>
      <c r="AH26" s="252"/>
      <c r="AI26" s="849"/>
      <c r="AJ26" s="850"/>
      <c r="AK26" s="850"/>
      <c r="AL26" s="850"/>
      <c r="AM26" s="850"/>
      <c r="AN26" s="850"/>
      <c r="AO26" s="851"/>
      <c r="AP26" s="251"/>
      <c r="AQ26" s="1349"/>
      <c r="AR26" s="250"/>
      <c r="AS26" s="250"/>
      <c r="AT26" s="2243"/>
      <c r="AU26" s="253"/>
      <c r="AV26" s="833"/>
    </row>
    <row r="27" spans="1:48" ht="17.25" customHeight="1" thickBot="1">
      <c r="A27" s="1559">
        <v>3</v>
      </c>
      <c r="B27" s="1220"/>
      <c r="C27" s="1223"/>
      <c r="D27" s="1224"/>
      <c r="E27" s="1350"/>
      <c r="F27" s="1351"/>
      <c r="G27" s="1220"/>
      <c r="H27" s="1220"/>
      <c r="I27" s="1223"/>
      <c r="J27" s="1224"/>
      <c r="K27" s="1224"/>
      <c r="L27" s="1224"/>
      <c r="M27" s="1222"/>
      <c r="N27" s="1224"/>
      <c r="O27" s="2335"/>
      <c r="P27" s="1350"/>
      <c r="Q27" s="1351"/>
      <c r="R27" s="1224"/>
      <c r="S27" s="1224"/>
      <c r="T27" s="1224"/>
      <c r="U27" s="4702" t="str">
        <f t="shared" ref="U27:X27" si="2">PROPER(U10)</f>
        <v/>
      </c>
      <c r="V27" s="4703" t="str">
        <f t="shared" si="2"/>
        <v/>
      </c>
      <c r="W27" s="4703" t="str">
        <f t="shared" si="2"/>
        <v/>
      </c>
      <c r="X27" s="4704" t="str">
        <f t="shared" si="2"/>
        <v/>
      </c>
      <c r="Y27" s="1224"/>
      <c r="Z27" s="1224"/>
      <c r="AA27" s="1411"/>
      <c r="AB27" s="1223"/>
      <c r="AC27" s="1224"/>
      <c r="AD27" s="1411"/>
      <c r="AE27" s="1352"/>
      <c r="AF27" s="1353"/>
      <c r="AG27" s="1352"/>
      <c r="AH27" s="1353"/>
      <c r="AI27" s="852"/>
      <c r="AJ27" s="853"/>
      <c r="AK27" s="853"/>
      <c r="AL27" s="853"/>
      <c r="AM27" s="853"/>
      <c r="AN27" s="853"/>
      <c r="AO27" s="854"/>
      <c r="AP27" s="254"/>
      <c r="AQ27" s="1354"/>
      <c r="AR27" s="1224"/>
      <c r="AS27" s="1224"/>
      <c r="AT27" s="2244"/>
      <c r="AU27" s="1352"/>
      <c r="AV27" s="1355"/>
    </row>
    <row r="28" spans="1:48" ht="17.25" customHeight="1" thickTop="1">
      <c r="A28" s="1560">
        <v>4</v>
      </c>
      <c r="B28" s="1275"/>
      <c r="C28" s="1225"/>
      <c r="D28" s="255"/>
      <c r="E28" s="1274"/>
      <c r="F28" s="1276"/>
      <c r="G28" s="1275"/>
      <c r="H28" s="1275"/>
      <c r="I28" s="1274"/>
      <c r="J28" s="1275"/>
      <c r="K28" s="1275"/>
      <c r="L28" s="1275"/>
      <c r="M28" s="1478"/>
      <c r="N28" s="1275"/>
      <c r="O28" s="2336"/>
      <c r="P28" s="1274"/>
      <c r="Q28" s="1276"/>
      <c r="R28" s="1275"/>
      <c r="S28" s="1275"/>
      <c r="T28" s="1275"/>
      <c r="U28" s="4724"/>
      <c r="V28" s="4725"/>
      <c r="W28" s="4725"/>
      <c r="X28" s="4726"/>
      <c r="Y28" s="1275"/>
      <c r="Z28" s="1275"/>
      <c r="AA28" s="2090"/>
      <c r="AB28" s="1274"/>
      <c r="AC28" s="1275"/>
      <c r="AD28" s="1276"/>
      <c r="AE28" s="258"/>
      <c r="AF28" s="257"/>
      <c r="AG28" s="258"/>
      <c r="AH28" s="257"/>
      <c r="AI28" s="855"/>
      <c r="AJ28" s="856"/>
      <c r="AK28" s="856"/>
      <c r="AL28" s="856"/>
      <c r="AM28" s="856"/>
      <c r="AN28" s="856"/>
      <c r="AO28" s="857"/>
      <c r="AP28" s="256"/>
      <c r="AQ28" s="1356"/>
      <c r="AR28" s="1275"/>
      <c r="AS28" s="1275"/>
      <c r="AT28" s="2247"/>
      <c r="AU28" s="258"/>
      <c r="AV28" s="834"/>
    </row>
    <row r="29" spans="1:48" ht="17.25" customHeight="1">
      <c r="A29" s="1560">
        <v>5</v>
      </c>
      <c r="B29" s="1269"/>
      <c r="C29" s="1222"/>
      <c r="D29" s="250"/>
      <c r="E29" s="1268"/>
      <c r="F29" s="1270"/>
      <c r="G29" s="1269"/>
      <c r="H29" s="1269"/>
      <c r="I29" s="1268"/>
      <c r="J29" s="1269"/>
      <c r="K29" s="1269"/>
      <c r="L29" s="1269"/>
      <c r="M29" s="1477"/>
      <c r="N29" s="1269"/>
      <c r="O29" s="2334"/>
      <c r="P29" s="1268"/>
      <c r="Q29" s="1270"/>
      <c r="R29" s="1269"/>
      <c r="S29" s="1269"/>
      <c r="T29" s="1269"/>
      <c r="U29" s="4699"/>
      <c r="V29" s="4700"/>
      <c r="W29" s="4700"/>
      <c r="X29" s="4701"/>
      <c r="Y29" s="1269"/>
      <c r="Z29" s="1269"/>
      <c r="AA29" s="2091"/>
      <c r="AB29" s="1268"/>
      <c r="AC29" s="1269"/>
      <c r="AD29" s="1270"/>
      <c r="AE29" s="253"/>
      <c r="AF29" s="252"/>
      <c r="AG29" s="253"/>
      <c r="AH29" s="252"/>
      <c r="AI29" s="849"/>
      <c r="AJ29" s="850"/>
      <c r="AK29" s="850"/>
      <c r="AL29" s="850"/>
      <c r="AM29" s="850"/>
      <c r="AN29" s="850"/>
      <c r="AO29" s="851"/>
      <c r="AP29" s="251"/>
      <c r="AQ29" s="1349"/>
      <c r="AR29" s="1269"/>
      <c r="AS29" s="1269"/>
      <c r="AT29" s="2243"/>
      <c r="AU29" s="253"/>
      <c r="AV29" s="833"/>
    </row>
    <row r="30" spans="1:48" ht="17.25" customHeight="1" thickBot="1">
      <c r="A30" s="1560">
        <v>6</v>
      </c>
      <c r="B30" s="1272"/>
      <c r="C30" s="1226"/>
      <c r="D30" s="259"/>
      <c r="E30" s="1271"/>
      <c r="F30" s="1273"/>
      <c r="G30" s="1272"/>
      <c r="H30" s="1272"/>
      <c r="I30" s="1271"/>
      <c r="J30" s="1272"/>
      <c r="K30" s="1272"/>
      <c r="L30" s="1272"/>
      <c r="M30" s="1479"/>
      <c r="N30" s="1272"/>
      <c r="O30" s="2337"/>
      <c r="P30" s="1271"/>
      <c r="Q30" s="1273"/>
      <c r="R30" s="1272"/>
      <c r="S30" s="1272"/>
      <c r="T30" s="1272"/>
      <c r="U30" s="4721"/>
      <c r="V30" s="4722"/>
      <c r="W30" s="4722"/>
      <c r="X30" s="4723"/>
      <c r="Y30" s="1272"/>
      <c r="Z30" s="1272"/>
      <c r="AA30" s="2092"/>
      <c r="AB30" s="1271"/>
      <c r="AC30" s="1272"/>
      <c r="AD30" s="1273"/>
      <c r="AE30" s="262"/>
      <c r="AF30" s="261"/>
      <c r="AG30" s="262"/>
      <c r="AH30" s="261"/>
      <c r="AI30" s="858"/>
      <c r="AJ30" s="859"/>
      <c r="AK30" s="859"/>
      <c r="AL30" s="859"/>
      <c r="AM30" s="859"/>
      <c r="AN30" s="859"/>
      <c r="AO30" s="860"/>
      <c r="AP30" s="260"/>
      <c r="AQ30" s="1357"/>
      <c r="AR30" s="1272"/>
      <c r="AS30" s="1272"/>
      <c r="AT30" s="2246"/>
      <c r="AU30" s="262"/>
      <c r="AV30" s="835"/>
    </row>
    <row r="31" spans="1:48" ht="17.25" customHeight="1" thickTop="1">
      <c r="A31" s="1559">
        <v>7</v>
      </c>
      <c r="B31" s="1275"/>
      <c r="C31" s="1225"/>
      <c r="D31" s="255"/>
      <c r="E31" s="1274"/>
      <c r="F31" s="1276"/>
      <c r="G31" s="1275"/>
      <c r="H31" s="1275"/>
      <c r="I31" s="1225"/>
      <c r="J31" s="255"/>
      <c r="K31" s="255"/>
      <c r="L31" s="255"/>
      <c r="M31" s="1478"/>
      <c r="N31" s="255"/>
      <c r="O31" s="2336"/>
      <c r="P31" s="1274"/>
      <c r="Q31" s="1276"/>
      <c r="R31" s="255"/>
      <c r="S31" s="255"/>
      <c r="T31" s="255"/>
      <c r="U31" s="4724"/>
      <c r="V31" s="4725"/>
      <c r="W31" s="4725"/>
      <c r="X31" s="4726"/>
      <c r="Y31" s="255"/>
      <c r="Z31" s="255"/>
      <c r="AA31" s="1412"/>
      <c r="AB31" s="1225"/>
      <c r="AC31" s="255"/>
      <c r="AD31" s="1412"/>
      <c r="AE31" s="258"/>
      <c r="AF31" s="257"/>
      <c r="AG31" s="258"/>
      <c r="AH31" s="257"/>
      <c r="AI31" s="855"/>
      <c r="AJ31" s="856"/>
      <c r="AK31" s="856"/>
      <c r="AL31" s="856"/>
      <c r="AM31" s="856"/>
      <c r="AN31" s="856"/>
      <c r="AO31" s="857"/>
      <c r="AP31" s="256"/>
      <c r="AQ31" s="1356"/>
      <c r="AR31" s="255"/>
      <c r="AS31" s="255"/>
      <c r="AT31" s="2247"/>
      <c r="AU31" s="258"/>
      <c r="AV31" s="834"/>
    </row>
    <row r="32" spans="1:48" ht="17.25" customHeight="1">
      <c r="A32" s="1559">
        <v>8</v>
      </c>
      <c r="B32" s="1269"/>
      <c r="C32" s="1222"/>
      <c r="D32" s="250"/>
      <c r="E32" s="1268"/>
      <c r="F32" s="1270"/>
      <c r="G32" s="1269"/>
      <c r="H32" s="1269"/>
      <c r="I32" s="1222"/>
      <c r="J32" s="250"/>
      <c r="K32" s="250"/>
      <c r="L32" s="250"/>
      <c r="M32" s="1477"/>
      <c r="N32" s="250"/>
      <c r="O32" s="2334"/>
      <c r="P32" s="1268"/>
      <c r="Q32" s="1270"/>
      <c r="R32" s="250"/>
      <c r="S32" s="250"/>
      <c r="T32" s="250"/>
      <c r="U32" s="4699"/>
      <c r="V32" s="4700"/>
      <c r="W32" s="4700"/>
      <c r="X32" s="4701"/>
      <c r="Y32" s="250"/>
      <c r="Z32" s="250"/>
      <c r="AA32" s="1410"/>
      <c r="AB32" s="1222"/>
      <c r="AC32" s="250"/>
      <c r="AD32" s="1410"/>
      <c r="AE32" s="253"/>
      <c r="AF32" s="252"/>
      <c r="AG32" s="253"/>
      <c r="AH32" s="252"/>
      <c r="AI32" s="849"/>
      <c r="AJ32" s="850"/>
      <c r="AK32" s="850"/>
      <c r="AL32" s="850"/>
      <c r="AM32" s="850"/>
      <c r="AN32" s="850"/>
      <c r="AO32" s="851"/>
      <c r="AP32" s="251"/>
      <c r="AQ32" s="1349"/>
      <c r="AR32" s="250"/>
      <c r="AS32" s="250"/>
      <c r="AT32" s="2243"/>
      <c r="AU32" s="253"/>
      <c r="AV32" s="833"/>
    </row>
    <row r="33" spans="1:48" ht="17.25" customHeight="1" thickBot="1">
      <c r="A33" s="1559">
        <v>9</v>
      </c>
      <c r="B33" s="1272"/>
      <c r="C33" s="1226"/>
      <c r="D33" s="259"/>
      <c r="E33" s="1271"/>
      <c r="F33" s="1273"/>
      <c r="G33" s="1272"/>
      <c r="H33" s="1272"/>
      <c r="I33" s="1226"/>
      <c r="J33" s="259"/>
      <c r="K33" s="259"/>
      <c r="L33" s="259"/>
      <c r="M33" s="1479"/>
      <c r="N33" s="259"/>
      <c r="O33" s="2337"/>
      <c r="P33" s="1271"/>
      <c r="Q33" s="1273"/>
      <c r="R33" s="259"/>
      <c r="S33" s="259"/>
      <c r="T33" s="259"/>
      <c r="U33" s="4721"/>
      <c r="V33" s="4722"/>
      <c r="W33" s="4722"/>
      <c r="X33" s="4723"/>
      <c r="Y33" s="259"/>
      <c r="Z33" s="259"/>
      <c r="AA33" s="1413"/>
      <c r="AB33" s="1226"/>
      <c r="AC33" s="259"/>
      <c r="AD33" s="1413"/>
      <c r="AE33" s="262"/>
      <c r="AF33" s="261"/>
      <c r="AG33" s="262"/>
      <c r="AH33" s="261"/>
      <c r="AI33" s="858"/>
      <c r="AJ33" s="859"/>
      <c r="AK33" s="859"/>
      <c r="AL33" s="859"/>
      <c r="AM33" s="859"/>
      <c r="AN33" s="859"/>
      <c r="AO33" s="860"/>
      <c r="AP33" s="260"/>
      <c r="AQ33" s="1357"/>
      <c r="AR33" s="259"/>
      <c r="AS33" s="259"/>
      <c r="AT33" s="2246"/>
      <c r="AU33" s="262"/>
      <c r="AV33" s="835"/>
    </row>
    <row r="34" spans="1:48" ht="17.25" customHeight="1" thickTop="1">
      <c r="A34" s="1560">
        <v>10</v>
      </c>
      <c r="B34" s="266"/>
      <c r="C34" s="1358"/>
      <c r="D34" s="264"/>
      <c r="E34" s="265"/>
      <c r="F34" s="263"/>
      <c r="G34" s="266"/>
      <c r="H34" s="266"/>
      <c r="I34" s="265"/>
      <c r="J34" s="266"/>
      <c r="K34" s="266"/>
      <c r="L34" s="266"/>
      <c r="M34" s="1478"/>
      <c r="N34" s="266"/>
      <c r="O34" s="2338"/>
      <c r="P34" s="265"/>
      <c r="Q34" s="263"/>
      <c r="R34" s="1275"/>
      <c r="S34" s="266"/>
      <c r="T34" s="266"/>
      <c r="U34" s="4724"/>
      <c r="V34" s="4725"/>
      <c r="W34" s="4725"/>
      <c r="X34" s="4726"/>
      <c r="Y34" s="266"/>
      <c r="Z34" s="266"/>
      <c r="AA34" s="2093"/>
      <c r="AB34" s="265"/>
      <c r="AC34" s="266"/>
      <c r="AD34" s="263"/>
      <c r="AE34" s="269"/>
      <c r="AF34" s="268"/>
      <c r="AG34" s="269"/>
      <c r="AH34" s="268"/>
      <c r="AI34" s="861"/>
      <c r="AJ34" s="862"/>
      <c r="AK34" s="862"/>
      <c r="AL34" s="862"/>
      <c r="AM34" s="862"/>
      <c r="AN34" s="862"/>
      <c r="AO34" s="863"/>
      <c r="AP34" s="267"/>
      <c r="AQ34" s="1359"/>
      <c r="AR34" s="266"/>
      <c r="AS34" s="266"/>
      <c r="AT34" s="2245"/>
      <c r="AU34" s="269"/>
      <c r="AV34" s="836"/>
    </row>
    <row r="35" spans="1:48" ht="17.25" customHeight="1">
      <c r="A35" s="1560">
        <v>11</v>
      </c>
      <c r="B35" s="1269"/>
      <c r="C35" s="1222"/>
      <c r="D35" s="250"/>
      <c r="E35" s="1268"/>
      <c r="F35" s="1270"/>
      <c r="G35" s="1269"/>
      <c r="H35" s="1269"/>
      <c r="I35" s="1268"/>
      <c r="J35" s="1269"/>
      <c r="K35" s="1269"/>
      <c r="L35" s="1269"/>
      <c r="M35" s="1477"/>
      <c r="N35" s="1269"/>
      <c r="O35" s="2334"/>
      <c r="P35" s="1268"/>
      <c r="Q35" s="1270"/>
      <c r="R35" s="1269"/>
      <c r="S35" s="1269"/>
      <c r="T35" s="1269"/>
      <c r="U35" s="4699"/>
      <c r="V35" s="4700"/>
      <c r="W35" s="4700"/>
      <c r="X35" s="4701"/>
      <c r="Y35" s="1269"/>
      <c r="Z35" s="1269"/>
      <c r="AA35" s="2091"/>
      <c r="AB35" s="1268"/>
      <c r="AC35" s="1269"/>
      <c r="AD35" s="1270"/>
      <c r="AE35" s="272"/>
      <c r="AF35" s="271"/>
      <c r="AG35" s="272"/>
      <c r="AH35" s="271"/>
      <c r="AI35" s="864"/>
      <c r="AJ35" s="865"/>
      <c r="AK35" s="865"/>
      <c r="AL35" s="865"/>
      <c r="AM35" s="865"/>
      <c r="AN35" s="865"/>
      <c r="AO35" s="866"/>
      <c r="AP35" s="270"/>
      <c r="AQ35" s="1360"/>
      <c r="AR35" s="1269"/>
      <c r="AS35" s="1269"/>
      <c r="AT35" s="2243"/>
      <c r="AU35" s="272"/>
      <c r="AV35" s="837"/>
    </row>
    <row r="36" spans="1:48" ht="17.25" customHeight="1" thickBot="1">
      <c r="A36" s="1560">
        <v>12</v>
      </c>
      <c r="B36" s="1278"/>
      <c r="C36" s="1227"/>
      <c r="D36" s="273"/>
      <c r="E36" s="1277"/>
      <c r="F36" s="1279"/>
      <c r="G36" s="1278"/>
      <c r="H36" s="1278"/>
      <c r="I36" s="1277"/>
      <c r="J36" s="1278"/>
      <c r="K36" s="1278"/>
      <c r="L36" s="1278"/>
      <c r="M36" s="1479"/>
      <c r="N36" s="1278"/>
      <c r="O36" s="2339"/>
      <c r="P36" s="1277"/>
      <c r="Q36" s="1279"/>
      <c r="R36" s="1278"/>
      <c r="S36" s="1278"/>
      <c r="T36" s="1278"/>
      <c r="U36" s="4721"/>
      <c r="V36" s="4722"/>
      <c r="W36" s="4722"/>
      <c r="X36" s="4723"/>
      <c r="Y36" s="1278"/>
      <c r="Z36" s="1278"/>
      <c r="AA36" s="1279"/>
      <c r="AB36" s="1277"/>
      <c r="AC36" s="1278"/>
      <c r="AD36" s="1279"/>
      <c r="AE36" s="276"/>
      <c r="AF36" s="275"/>
      <c r="AG36" s="276"/>
      <c r="AH36" s="275"/>
      <c r="AI36" s="867"/>
      <c r="AJ36" s="868"/>
      <c r="AK36" s="868"/>
      <c r="AL36" s="868"/>
      <c r="AM36" s="868"/>
      <c r="AN36" s="868"/>
      <c r="AO36" s="869"/>
      <c r="AP36" s="274"/>
      <c r="AQ36" s="1361"/>
      <c r="AR36" s="1278"/>
      <c r="AS36" s="1278"/>
      <c r="AT36" s="1278"/>
      <c r="AU36" s="276"/>
      <c r="AV36" s="838"/>
    </row>
    <row r="37" spans="1:48" ht="17.25" customHeight="1" thickTop="1">
      <c r="A37" s="1559">
        <v>13</v>
      </c>
      <c r="B37" s="1275"/>
      <c r="C37" s="1225"/>
      <c r="D37" s="255"/>
      <c r="E37" s="1274"/>
      <c r="F37" s="1276"/>
      <c r="G37" s="1275"/>
      <c r="H37" s="1275"/>
      <c r="I37" s="1225"/>
      <c r="J37" s="255"/>
      <c r="K37" s="255"/>
      <c r="L37" s="255"/>
      <c r="M37" s="1478"/>
      <c r="N37" s="255"/>
      <c r="O37" s="2336"/>
      <c r="P37" s="1274"/>
      <c r="Q37" s="1276"/>
      <c r="R37" s="255"/>
      <c r="S37" s="255"/>
      <c r="T37" s="255"/>
      <c r="U37" s="4715"/>
      <c r="V37" s="4716"/>
      <c r="W37" s="4716"/>
      <c r="X37" s="4717"/>
      <c r="Y37" s="255"/>
      <c r="Z37" s="255"/>
      <c r="AA37" s="1412"/>
      <c r="AB37" s="1225"/>
      <c r="AC37" s="255"/>
      <c r="AD37" s="1412"/>
      <c r="AE37" s="258"/>
      <c r="AF37" s="257"/>
      <c r="AG37" s="258"/>
      <c r="AH37" s="257"/>
      <c r="AI37" s="855"/>
      <c r="AJ37" s="856"/>
      <c r="AK37" s="856"/>
      <c r="AL37" s="856"/>
      <c r="AM37" s="856"/>
      <c r="AN37" s="856"/>
      <c r="AO37" s="857"/>
      <c r="AP37" s="256"/>
      <c r="AQ37" s="1356"/>
      <c r="AR37" s="255"/>
      <c r="AS37" s="255"/>
      <c r="AT37" s="2247"/>
      <c r="AU37" s="258"/>
      <c r="AV37" s="834"/>
    </row>
    <row r="38" spans="1:48" ht="17.25" customHeight="1">
      <c r="A38" s="1559">
        <v>14</v>
      </c>
      <c r="B38" s="1269"/>
      <c r="C38" s="1222"/>
      <c r="D38" s="250"/>
      <c r="E38" s="1268"/>
      <c r="F38" s="1270"/>
      <c r="G38" s="1269"/>
      <c r="H38" s="1269"/>
      <c r="I38" s="1222"/>
      <c r="J38" s="250"/>
      <c r="K38" s="250"/>
      <c r="L38" s="250"/>
      <c r="M38" s="1477"/>
      <c r="N38" s="250"/>
      <c r="O38" s="2334"/>
      <c r="P38" s="1268"/>
      <c r="Q38" s="1270"/>
      <c r="R38" s="250"/>
      <c r="S38" s="250"/>
      <c r="T38" s="250"/>
      <c r="U38" s="4699"/>
      <c r="V38" s="4700"/>
      <c r="W38" s="4700"/>
      <c r="X38" s="4701"/>
      <c r="Y38" s="250"/>
      <c r="Z38" s="250"/>
      <c r="AA38" s="1410"/>
      <c r="AB38" s="1222"/>
      <c r="AC38" s="250"/>
      <c r="AD38" s="1410"/>
      <c r="AE38" s="253"/>
      <c r="AF38" s="252"/>
      <c r="AG38" s="253"/>
      <c r="AH38" s="252"/>
      <c r="AI38" s="849"/>
      <c r="AJ38" s="850"/>
      <c r="AK38" s="850"/>
      <c r="AL38" s="850"/>
      <c r="AM38" s="850"/>
      <c r="AN38" s="850"/>
      <c r="AO38" s="851"/>
      <c r="AP38" s="251"/>
      <c r="AQ38" s="1349"/>
      <c r="AR38" s="250"/>
      <c r="AS38" s="250"/>
      <c r="AT38" s="2243"/>
      <c r="AU38" s="253"/>
      <c r="AV38" s="833"/>
    </row>
    <row r="39" spans="1:48" ht="17.25" customHeight="1" thickBot="1">
      <c r="A39" s="1561">
        <v>15</v>
      </c>
      <c r="B39" s="1277"/>
      <c r="C39" s="1227"/>
      <c r="D39" s="273"/>
      <c r="E39" s="1277"/>
      <c r="F39" s="1279"/>
      <c r="G39" s="1278"/>
      <c r="H39" s="1278"/>
      <c r="I39" s="1227"/>
      <c r="J39" s="273"/>
      <c r="K39" s="273"/>
      <c r="L39" s="273"/>
      <c r="M39" s="1277" t="str">
        <f t="shared" ref="M39" si="3">PROPER(M22)</f>
        <v/>
      </c>
      <c r="N39" s="273"/>
      <c r="O39" s="2339"/>
      <c r="P39" s="1277"/>
      <c r="Q39" s="1279"/>
      <c r="R39" s="273"/>
      <c r="S39" s="273"/>
      <c r="T39" s="273"/>
      <c r="U39" s="4718"/>
      <c r="V39" s="4719"/>
      <c r="W39" s="4719"/>
      <c r="X39" s="4720"/>
      <c r="Y39" s="273"/>
      <c r="Z39" s="273"/>
      <c r="AA39" s="2492"/>
      <c r="AB39" s="1227"/>
      <c r="AC39" s="273"/>
      <c r="AD39" s="2492"/>
      <c r="AE39" s="2493"/>
      <c r="AF39" s="2494"/>
      <c r="AG39" s="2493"/>
      <c r="AH39" s="2494"/>
      <c r="AI39" s="2495"/>
      <c r="AJ39" s="2496"/>
      <c r="AK39" s="2496"/>
      <c r="AL39" s="2496"/>
      <c r="AM39" s="2496"/>
      <c r="AN39" s="2496"/>
      <c r="AO39" s="2497"/>
      <c r="AP39" s="2498"/>
      <c r="AQ39" s="2499"/>
      <c r="AR39" s="273"/>
      <c r="AS39" s="273"/>
      <c r="AT39" s="1278"/>
      <c r="AU39" s="2493"/>
      <c r="AV39" s="2500"/>
    </row>
    <row r="40" spans="1:48" ht="11.25" customHeight="1">
      <c r="A40" s="277"/>
    </row>
    <row r="41" spans="1:48" ht="17.25">
      <c r="A41" s="277"/>
    </row>
    <row r="58" spans="21:24">
      <c r="U58" s="225"/>
      <c r="V58" s="225"/>
      <c r="W58" s="225"/>
      <c r="X58" s="225"/>
    </row>
    <row r="59" spans="21:24">
      <c r="U59" s="225"/>
      <c r="V59" s="225"/>
      <c r="W59" s="225"/>
      <c r="X59" s="225"/>
    </row>
    <row r="60" spans="21:24">
      <c r="U60" s="225"/>
      <c r="V60" s="225"/>
      <c r="W60" s="225"/>
      <c r="X60" s="225"/>
    </row>
    <row r="61" spans="21:24">
      <c r="U61" s="225"/>
      <c r="V61" s="225"/>
      <c r="W61" s="225"/>
      <c r="X61" s="225"/>
    </row>
    <row r="62" spans="21:24">
      <c r="U62" s="225"/>
      <c r="V62" s="225"/>
      <c r="W62" s="225"/>
      <c r="X62" s="225"/>
    </row>
    <row r="63" spans="21:24">
      <c r="U63" s="225"/>
      <c r="V63" s="225"/>
      <c r="W63" s="225"/>
      <c r="X63" s="225"/>
    </row>
    <row r="64" spans="21:24">
      <c r="U64" s="225"/>
      <c r="V64" s="225"/>
      <c r="W64" s="225"/>
      <c r="X64" s="225"/>
    </row>
    <row r="65" spans="21:24">
      <c r="U65" s="225"/>
      <c r="V65" s="225"/>
      <c r="W65" s="225"/>
      <c r="X65" s="225"/>
    </row>
    <row r="66" spans="21:24">
      <c r="U66" s="225"/>
      <c r="V66" s="225"/>
      <c r="W66" s="225"/>
      <c r="X66" s="225"/>
    </row>
    <row r="67" spans="21:24">
      <c r="U67" s="225"/>
      <c r="V67" s="225"/>
      <c r="W67" s="225"/>
      <c r="X67" s="225"/>
    </row>
    <row r="68" spans="21:24">
      <c r="U68" s="225"/>
      <c r="V68" s="225"/>
      <c r="W68" s="225"/>
      <c r="X68" s="225"/>
    </row>
  </sheetData>
  <customSheetViews>
    <customSheetView guid="{BDF1A126-BD1D-4A5E-80B8-98941684E462}" showPageBreaks="1" showGridLines="0" topLeftCell="V1">
      <selection activeCell="AY10" sqref="AY10"/>
      <colBreaks count="1" manualBreakCount="1">
        <brk id="27" max="1048575" man="1"/>
      </colBreaks>
      <pageMargins left="0.5" right="0.5" top="0.38" bottom="0" header="0" footer="0"/>
      <pageSetup paperSize="9" orientation="landscape" r:id="rId1"/>
      <headerFooter alignWithMargins="0">
        <oddFooter>&amp;L&amp;"Arial Narrow,Regular"&amp;8&amp;D&amp;C&amp;"Arial Narrow,Regular"&amp;8&amp;F</oddFooter>
      </headerFooter>
    </customSheetView>
    <customSheetView guid="{04F0793E-5444-463D-A1D5-E52E08A4C249}" scale="75" showPageBreaks="1" showGridLines="0" view="pageBreakPreview">
      <selection activeCell="AL8" sqref="AL8"/>
      <colBreaks count="1" manualBreakCount="1">
        <brk id="27" max="1048575" man="1"/>
      </colBreaks>
      <pageMargins left="0.5" right="0.5" top="0.5" bottom="0" header="0" footer="0"/>
      <pageSetup paperSize="9" orientation="landscape" r:id="rId2"/>
      <headerFooter alignWithMargins="0">
        <oddFooter>&amp;L&amp;"Arial Narrow,Regular"&amp;8&amp;D&amp;C&amp;"Arial Narrow,Regular"&amp;8&amp;F</oddFooter>
      </headerFooter>
    </customSheetView>
    <customSheetView guid="{925F74B5-C2F5-4E55-AFE4-045C56169B44}" showPageBreaks="1" showGridLines="0" topLeftCell="V1">
      <selection activeCell="AU23" sqref="AU23"/>
      <colBreaks count="1" manualBreakCount="1">
        <brk id="27" max="1048575" man="1"/>
      </colBreaks>
      <pageMargins left="0.5" right="0.5" top="0.5" bottom="0" header="0" footer="0"/>
      <pageSetup paperSize="9" orientation="landscape" r:id="rId3"/>
      <headerFooter alignWithMargins="0">
        <oddFooter>&amp;L&amp;"Arial Narrow,Regular"&amp;8&amp;D&amp;C&amp;"Arial Narrow,Regular"&amp;8&amp;F</oddFooter>
      </headerFooter>
    </customSheetView>
    <customSheetView guid="{1FF58891-F32F-4F97-9812-E2D02F4497AA}" showGridLines="0" topLeftCell="V1">
      <selection activeCell="B5" sqref="B5:B23"/>
      <colBreaks count="1" manualBreakCount="1">
        <brk id="27" max="1048575" man="1"/>
      </colBreaks>
      <pageMargins left="0.5" right="0.5" top="0.38" bottom="0" header="0" footer="0"/>
      <pageSetup paperSize="9" orientation="landscape" r:id="rId4"/>
      <headerFooter alignWithMargins="0">
        <oddFooter>&amp;L&amp;"Arial Narrow,Regular"&amp;8&amp;D&amp;C&amp;"Arial Narrow,Regular"&amp;8&amp;F</oddFooter>
      </headerFooter>
    </customSheetView>
    <customSheetView guid="{2A6091F0-BAF4-46A2-BC20-0DE610E67601}" showPageBreaks="1" showGridLines="0" topLeftCell="V1">
      <selection activeCell="AY10" sqref="AY10"/>
      <colBreaks count="1" manualBreakCount="1">
        <brk id="27" max="1048575" man="1"/>
      </colBreaks>
      <pageMargins left="0.5" right="0.5" top="0.38" bottom="0" header="0" footer="0"/>
      <pageSetup paperSize="9" orientation="landscape" r:id="rId5"/>
      <headerFooter alignWithMargins="0">
        <oddFooter>&amp;L&amp;"Arial Narrow,Regular"&amp;8&amp;D&amp;C&amp;"Arial Narrow,Regular"&amp;8&amp;F</oddFooter>
      </headerFooter>
    </customSheetView>
    <customSheetView guid="{5111FDC7-EEAC-46C3-8033-47A3563F0C00}" showPageBreaks="1" showGridLines="0" topLeftCell="I1">
      <selection activeCell="AR22" sqref="AR22"/>
      <colBreaks count="1" manualBreakCount="1">
        <brk id="27" max="1048575" man="1"/>
      </colBreaks>
      <pageMargins left="0.5" right="0.5" top="0.38" bottom="0" header="0" footer="0"/>
      <pageSetup paperSize="9" orientation="landscape" r:id="rId6"/>
      <headerFooter alignWithMargins="0">
        <oddFooter>&amp;L&amp;"Arial Narrow,Regular"&amp;8&amp;D&amp;C&amp;"Arial Narrow,Regular"&amp;8&amp;F</oddFooter>
      </headerFooter>
    </customSheetView>
    <customSheetView guid="{2A5E79E4-584C-4F65-A220-87928CEA02AF}" showPageBreaks="1" showGridLines="0" topLeftCell="O1">
      <selection activeCell="AU8" sqref="AU8:AU9"/>
      <colBreaks count="1" manualBreakCount="1">
        <brk id="27" max="1048575" man="1"/>
      </colBreaks>
      <pageMargins left="0.5" right="0.5" top="0.38" bottom="0" header="0" footer="0"/>
      <pageSetup paperSize="9" orientation="landscape" r:id="rId7"/>
      <headerFooter alignWithMargins="0">
        <oddFooter>&amp;L&amp;"Arial Narrow,Regular"&amp;8&amp;D&amp;C&amp;"Arial Narrow,Regular"&amp;8&amp;F</oddFooter>
      </headerFooter>
    </customSheetView>
    <customSheetView guid="{66872EF1-41BD-4D4B-B603-B8B0D03DAD22}" showPageBreaks="1" showGridLines="0" topLeftCell="Q1">
      <selection activeCell="C5" sqref="C5:D19"/>
      <colBreaks count="1" manualBreakCount="1">
        <brk id="27" max="1048575" man="1"/>
      </colBreaks>
      <pageMargins left="0.5" right="0.5" top="0.38" bottom="0" header="0" footer="0"/>
      <pageSetup paperSize="9" orientation="landscape" r:id="rId8"/>
      <headerFooter alignWithMargins="0">
        <oddFooter>&amp;L&amp;"Arial Narrow,Regular"&amp;8&amp;D&amp;C&amp;"Arial Narrow,Regular"&amp;8&amp;F</oddFooter>
      </headerFooter>
    </customSheetView>
    <customSheetView guid="{ACE56013-11B3-4BF4-BD0B-BF59142DAC13}" showPageBreaks="1" showGridLines="0" topLeftCell="AF1">
      <selection activeCell="BE10" sqref="BE10"/>
      <colBreaks count="1" manualBreakCount="1">
        <brk id="27" max="1048575" man="1"/>
      </colBreaks>
      <pageMargins left="0.5" right="0.5" top="0.38" bottom="0" header="0" footer="0"/>
      <pageSetup paperSize="9" orientation="landscape" r:id="rId9"/>
      <headerFooter alignWithMargins="0">
        <oddFooter>&amp;L&amp;"Arial Narrow,Regular"&amp;8&amp;D&amp;C&amp;"Arial Narrow,Regular"&amp;8&amp;F</oddFooter>
      </headerFooter>
    </customSheetView>
  </customSheetViews>
  <mergeCells count="99">
    <mergeCell ref="U28:X28"/>
    <mergeCell ref="U29:X29"/>
    <mergeCell ref="U30:X30"/>
    <mergeCell ref="U31:X31"/>
    <mergeCell ref="U32:X32"/>
    <mergeCell ref="U37:X37"/>
    <mergeCell ref="U38:X38"/>
    <mergeCell ref="U39:X39"/>
    <mergeCell ref="U33:X33"/>
    <mergeCell ref="U34:X34"/>
    <mergeCell ref="U35:X35"/>
    <mergeCell ref="U36:X36"/>
    <mergeCell ref="AR21:AT21"/>
    <mergeCell ref="K22:L22"/>
    <mergeCell ref="U25:X25"/>
    <mergeCell ref="U26:X26"/>
    <mergeCell ref="U27:X27"/>
    <mergeCell ref="AB21:AD21"/>
    <mergeCell ref="R21:T21"/>
    <mergeCell ref="I21:K21"/>
    <mergeCell ref="M21:N21"/>
    <mergeCell ref="U21:U22"/>
    <mergeCell ref="V21:X22"/>
    <mergeCell ref="AR16:AS16"/>
    <mergeCell ref="M17:N17"/>
    <mergeCell ref="U17:U20"/>
    <mergeCell ref="AR17:AS17"/>
    <mergeCell ref="M18:N18"/>
    <mergeCell ref="O18:O19"/>
    <mergeCell ref="AR18:AS18"/>
    <mergeCell ref="M19:N19"/>
    <mergeCell ref="M20:N20"/>
    <mergeCell ref="Y20:AA20"/>
    <mergeCell ref="V13:X16"/>
    <mergeCell ref="V17:X20"/>
    <mergeCell ref="AG5:AH18"/>
    <mergeCell ref="AV10:AV11"/>
    <mergeCell ref="M11:N11"/>
    <mergeCell ref="U11:U12"/>
    <mergeCell ref="V11:V12"/>
    <mergeCell ref="W11:W12"/>
    <mergeCell ref="AP5:AQ16"/>
    <mergeCell ref="AR5:AT8"/>
    <mergeCell ref="AU5:AV6"/>
    <mergeCell ref="AV8:AV9"/>
    <mergeCell ref="M9:N9"/>
    <mergeCell ref="AI9:AI23"/>
    <mergeCell ref="AJ9:AJ23"/>
    <mergeCell ref="AK9:AK23"/>
    <mergeCell ref="AL9:AL23"/>
    <mergeCell ref="AR13:AS13"/>
    <mergeCell ref="M14:N14"/>
    <mergeCell ref="AU10:AU11"/>
    <mergeCell ref="AR14:AS14"/>
    <mergeCell ref="M15:N15"/>
    <mergeCell ref="AR15:AS15"/>
    <mergeCell ref="AM9:AM23"/>
    <mergeCell ref="AN9:AN23"/>
    <mergeCell ref="AO9:AO23"/>
    <mergeCell ref="M10:N10"/>
    <mergeCell ref="U5:X10"/>
    <mergeCell ref="Y5:AA18"/>
    <mergeCell ref="AB5:AD18"/>
    <mergeCell ref="AE5:AF16"/>
    <mergeCell ref="AU8:AU9"/>
    <mergeCell ref="X11:X12"/>
    <mergeCell ref="R5:T18"/>
    <mergeCell ref="AI5:AO5"/>
    <mergeCell ref="I5:L19"/>
    <mergeCell ref="M5:O8"/>
    <mergeCell ref="P5:Q16"/>
    <mergeCell ref="Y4:AA4"/>
    <mergeCell ref="AB4:AD4"/>
    <mergeCell ref="M12:N12"/>
    <mergeCell ref="M13:N13"/>
    <mergeCell ref="U13:U16"/>
    <mergeCell ref="M16:N16"/>
    <mergeCell ref="O16:O17"/>
    <mergeCell ref="A5:A23"/>
    <mergeCell ref="B5:B13"/>
    <mergeCell ref="C5:D19"/>
    <mergeCell ref="E5:F19"/>
    <mergeCell ref="G5:H19"/>
    <mergeCell ref="C2:AA3"/>
    <mergeCell ref="AE2:AV3"/>
    <mergeCell ref="C4:D4"/>
    <mergeCell ref="E4:F4"/>
    <mergeCell ref="G4:H4"/>
    <mergeCell ref="I4:L4"/>
    <mergeCell ref="M4:O4"/>
    <mergeCell ref="P4:Q4"/>
    <mergeCell ref="R4:T4"/>
    <mergeCell ref="U4:X4"/>
    <mergeCell ref="AR4:AT4"/>
    <mergeCell ref="AU4:AV4"/>
    <mergeCell ref="AE4:AF4"/>
    <mergeCell ref="AG4:AH4"/>
    <mergeCell ref="AI4:AO4"/>
    <mergeCell ref="AP4:AQ4"/>
  </mergeCells>
  <pageMargins left="0.5" right="0.5" top="0.38" bottom="0" header="0" footer="0"/>
  <pageSetup paperSize="9" orientation="landscape" r:id="rId10"/>
  <headerFooter alignWithMargins="0">
    <oddFooter>&amp;L&amp;"Arial Narrow,Regular"&amp;8&amp;D&amp;C&amp;"Arial Narrow,Regular"&amp;8&amp;F</oddFooter>
  </headerFooter>
  <colBreaks count="1" manualBreakCount="1">
    <brk id="27" max="1048575" man="1"/>
  </colBreaks>
  <drawing r:id="rId11"/>
  <legacyDrawing r:id="rId1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86"/>
  <sheetViews>
    <sheetView showGridLines="0" view="pageBreakPreview" zoomScale="120" zoomScaleNormal="100" zoomScaleSheetLayoutView="120" workbookViewId="0">
      <selection activeCell="T17" sqref="T17:T18"/>
    </sheetView>
  </sheetViews>
  <sheetFormatPr defaultColWidth="9.140625" defaultRowHeight="12.75"/>
  <cols>
    <col min="1" max="1" width="6" style="325" customWidth="1"/>
    <col min="2" max="2" width="2.42578125" style="325" customWidth="1"/>
    <col min="3" max="3" width="1.42578125" style="325" customWidth="1"/>
    <col min="4" max="6" width="3" style="325" customWidth="1"/>
    <col min="7" max="7" width="0.42578125" style="325" customWidth="1"/>
    <col min="8" max="8" width="2.85546875" style="325" customWidth="1"/>
    <col min="9" max="9" width="1" style="325" customWidth="1"/>
    <col min="10" max="11" width="3" style="325" customWidth="1"/>
    <col min="12" max="12" width="0.7109375" style="325" customWidth="1"/>
    <col min="13" max="13" width="2.7109375" style="325" customWidth="1"/>
    <col min="14" max="14" width="1.42578125" style="325" customWidth="1"/>
    <col min="15" max="15" width="2.28515625" style="325" customWidth="1"/>
    <col min="16" max="16" width="1" style="325" customWidth="1"/>
    <col min="17" max="17" width="3.85546875" style="325" customWidth="1"/>
    <col min="18" max="18" width="4.28515625" style="325" customWidth="1"/>
    <col min="19" max="19" width="1.140625" style="325" customWidth="1"/>
    <col min="20" max="20" width="23.28515625" style="325" customWidth="1"/>
    <col min="21" max="21" width="3" style="1965" customWidth="1"/>
    <col min="22" max="22" width="9.140625" style="325" customWidth="1"/>
    <col min="23" max="23" width="7.85546875" style="325" customWidth="1"/>
    <col min="24" max="31" width="3" style="325" customWidth="1"/>
    <col min="32" max="32" width="8.85546875" style="1965" customWidth="1"/>
    <col min="33" max="33" width="5.28515625" style="325" customWidth="1"/>
    <col min="34" max="34" width="12.7109375" style="1965" customWidth="1"/>
    <col min="35" max="35" width="10.7109375" style="325" customWidth="1"/>
    <col min="36" max="16384" width="9.140625" style="325"/>
  </cols>
  <sheetData>
    <row r="1" spans="1:34" s="283" customFormat="1" ht="20.100000000000001" customHeight="1">
      <c r="A1" s="2000" t="s">
        <v>1258</v>
      </c>
      <c r="U1" s="576"/>
      <c r="AF1" s="576"/>
      <c r="AG1" s="2003" t="s">
        <v>1263</v>
      </c>
      <c r="AH1" s="2003"/>
    </row>
    <row r="2" spans="1:34" s="286" customFormat="1" ht="11.25" customHeight="1">
      <c r="A2" s="285" t="s">
        <v>1318</v>
      </c>
      <c r="U2" s="576"/>
      <c r="AD2" s="288"/>
      <c r="AF2" s="576"/>
      <c r="AH2" s="576"/>
    </row>
    <row r="3" spans="1:34" s="286" customFormat="1" ht="5.25" customHeight="1" thickBot="1">
      <c r="B3" s="289"/>
      <c r="U3" s="576"/>
      <c r="AA3" s="290"/>
      <c r="AB3" s="290"/>
      <c r="AC3" s="290"/>
      <c r="AD3" s="291"/>
      <c r="AF3" s="576"/>
      <c r="AH3" s="576"/>
    </row>
    <row r="4" spans="1:34" s="292" customFormat="1" ht="15" customHeight="1" thickBot="1">
      <c r="A4" s="4729" t="s">
        <v>122</v>
      </c>
      <c r="B4" s="4729" t="s">
        <v>22</v>
      </c>
      <c r="C4" s="4601">
        <v>6.18</v>
      </c>
      <c r="D4" s="4595"/>
      <c r="E4" s="4595"/>
      <c r="F4" s="4595"/>
      <c r="G4" s="4595"/>
      <c r="H4" s="4595"/>
      <c r="I4" s="4595"/>
      <c r="J4" s="4595"/>
      <c r="K4" s="4595"/>
      <c r="L4" s="4595"/>
      <c r="M4" s="4595"/>
      <c r="N4" s="4595"/>
      <c r="O4" s="4595"/>
      <c r="P4" s="4595"/>
      <c r="Q4" s="4595"/>
      <c r="R4" s="4734"/>
      <c r="S4" s="4601">
        <f>+C4+0.01</f>
        <v>6.1899999999999995</v>
      </c>
      <c r="T4" s="4595"/>
      <c r="U4" s="4734"/>
      <c r="V4" s="1953">
        <f>+S4+0.01</f>
        <v>6.1999999999999993</v>
      </c>
      <c r="W4" s="1365">
        <f>+V4+0.01</f>
        <v>6.2099999999999991</v>
      </c>
      <c r="X4" s="4735">
        <f>+W4+0.01</f>
        <v>6.2199999999999989</v>
      </c>
      <c r="Y4" s="4736"/>
      <c r="Z4" s="4736"/>
      <c r="AA4" s="4736"/>
      <c r="AB4" s="4736"/>
      <c r="AC4" s="4736"/>
      <c r="AD4" s="4737"/>
      <c r="AE4" s="4735">
        <v>6.23</v>
      </c>
      <c r="AF4" s="4737"/>
      <c r="AG4" s="4735">
        <v>6.24</v>
      </c>
      <c r="AH4" s="4737"/>
    </row>
    <row r="5" spans="1:34" s="294" customFormat="1" ht="12" customHeight="1">
      <c r="A5" s="4730"/>
      <c r="B5" s="4731"/>
      <c r="C5" s="4401" t="s">
        <v>1775</v>
      </c>
      <c r="D5" s="3883"/>
      <c r="E5" s="3883"/>
      <c r="F5" s="3883"/>
      <c r="G5" s="3883"/>
      <c r="H5" s="3883"/>
      <c r="I5" s="3883"/>
      <c r="J5" s="3883"/>
      <c r="K5" s="3883"/>
      <c r="L5" s="3883"/>
      <c r="M5" s="3883"/>
      <c r="N5" s="3883"/>
      <c r="O5" s="3883"/>
      <c r="P5" s="3883"/>
      <c r="Q5" s="3883"/>
      <c r="R5" s="4445"/>
      <c r="S5" s="4738" t="s">
        <v>1317</v>
      </c>
      <c r="T5" s="3919"/>
      <c r="U5" s="4739"/>
      <c r="V5" s="4861" t="s">
        <v>1698</v>
      </c>
      <c r="W5" s="4740" t="s">
        <v>1699</v>
      </c>
      <c r="X5" s="3782" t="s">
        <v>1739</v>
      </c>
      <c r="Y5" s="3782"/>
      <c r="Z5" s="3782"/>
      <c r="AA5" s="3782"/>
      <c r="AB5" s="3782"/>
      <c r="AC5" s="3782"/>
      <c r="AD5" s="4742"/>
      <c r="AE5" s="4839" t="s">
        <v>1697</v>
      </c>
      <c r="AF5" s="4840"/>
      <c r="AG5" s="4831" t="s">
        <v>1385</v>
      </c>
      <c r="AH5" s="4832"/>
    </row>
    <row r="6" spans="1:34" s="294" customFormat="1" ht="12" customHeight="1">
      <c r="A6" s="4730"/>
      <c r="B6" s="4731"/>
      <c r="C6" s="4402"/>
      <c r="D6" s="3884"/>
      <c r="E6" s="3884"/>
      <c r="F6" s="3884"/>
      <c r="G6" s="3884"/>
      <c r="H6" s="3884"/>
      <c r="I6" s="3884"/>
      <c r="J6" s="3884"/>
      <c r="K6" s="3884"/>
      <c r="L6" s="3884"/>
      <c r="M6" s="3884"/>
      <c r="N6" s="3884"/>
      <c r="O6" s="3884"/>
      <c r="P6" s="3884"/>
      <c r="Q6" s="3884"/>
      <c r="R6" s="3981"/>
      <c r="S6" s="2081" t="s">
        <v>1737</v>
      </c>
      <c r="T6" s="418"/>
      <c r="U6" s="1977"/>
      <c r="V6" s="4862"/>
      <c r="W6" s="4741"/>
      <c r="X6" s="3782"/>
      <c r="Y6" s="3782"/>
      <c r="Z6" s="3782"/>
      <c r="AA6" s="3782"/>
      <c r="AB6" s="3782"/>
      <c r="AC6" s="3782"/>
      <c r="AD6" s="4742"/>
      <c r="AE6" s="4841"/>
      <c r="AF6" s="4742"/>
      <c r="AG6" s="4833"/>
      <c r="AH6" s="4834"/>
    </row>
    <row r="7" spans="1:34" s="294" customFormat="1" ht="12" customHeight="1">
      <c r="A7" s="4730"/>
      <c r="B7" s="4731"/>
      <c r="C7" s="4402"/>
      <c r="D7" s="3884"/>
      <c r="E7" s="3884"/>
      <c r="F7" s="3884"/>
      <c r="G7" s="3884"/>
      <c r="H7" s="3884"/>
      <c r="I7" s="3884"/>
      <c r="J7" s="3884"/>
      <c r="K7" s="3884"/>
      <c r="L7" s="3884"/>
      <c r="M7" s="3884"/>
      <c r="N7" s="3884"/>
      <c r="O7" s="3884"/>
      <c r="P7" s="3884"/>
      <c r="Q7" s="3884"/>
      <c r="R7" s="3981"/>
      <c r="S7" s="416"/>
      <c r="T7" s="2214" t="s">
        <v>1207</v>
      </c>
      <c r="U7" s="1978">
        <v>1</v>
      </c>
      <c r="V7" s="4862"/>
      <c r="W7" s="4741"/>
      <c r="X7" s="4743"/>
      <c r="Y7" s="4743"/>
      <c r="Z7" s="4743"/>
      <c r="AA7" s="4743"/>
      <c r="AB7" s="4743"/>
      <c r="AC7" s="4743"/>
      <c r="AD7" s="4744"/>
      <c r="AE7" s="4841"/>
      <c r="AF7" s="4742"/>
      <c r="AG7" s="4833"/>
      <c r="AH7" s="4834"/>
    </row>
    <row r="8" spans="1:34" s="294" customFormat="1" ht="13.5" customHeight="1">
      <c r="A8" s="4730"/>
      <c r="B8" s="4731"/>
      <c r="C8" s="4402"/>
      <c r="D8" s="3884"/>
      <c r="E8" s="3884"/>
      <c r="F8" s="3884"/>
      <c r="G8" s="3884"/>
      <c r="H8" s="3884"/>
      <c r="I8" s="3884"/>
      <c r="J8" s="3884"/>
      <c r="K8" s="3884"/>
      <c r="L8" s="3884"/>
      <c r="M8" s="3884"/>
      <c r="N8" s="3884"/>
      <c r="O8" s="3884"/>
      <c r="P8" s="3884"/>
      <c r="Q8" s="3884"/>
      <c r="R8" s="3981"/>
      <c r="S8" s="416"/>
      <c r="T8" s="2214" t="s">
        <v>999</v>
      </c>
      <c r="U8" s="1978">
        <v>2</v>
      </c>
      <c r="V8" s="4862"/>
      <c r="W8" s="4741"/>
      <c r="X8" s="4743"/>
      <c r="Y8" s="4743"/>
      <c r="Z8" s="4743"/>
      <c r="AA8" s="4743"/>
      <c r="AB8" s="4743"/>
      <c r="AC8" s="4743"/>
      <c r="AD8" s="4744"/>
      <c r="AE8" s="4841"/>
      <c r="AF8" s="4742"/>
      <c r="AG8" s="4833"/>
      <c r="AH8" s="4834"/>
    </row>
    <row r="9" spans="1:34" s="294" customFormat="1" ht="3.75" customHeight="1">
      <c r="A9" s="4730"/>
      <c r="B9" s="4731"/>
      <c r="C9" s="4745" t="s">
        <v>1774</v>
      </c>
      <c r="D9" s="4746"/>
      <c r="E9" s="4746"/>
      <c r="F9" s="4746"/>
      <c r="G9" s="4746"/>
      <c r="H9" s="4746"/>
      <c r="I9" s="4746"/>
      <c r="J9" s="4746"/>
      <c r="K9" s="4746"/>
      <c r="L9" s="4746"/>
      <c r="M9" s="4746"/>
      <c r="N9" s="4746"/>
      <c r="O9" s="4746"/>
      <c r="P9" s="4746"/>
      <c r="Q9" s="4746"/>
      <c r="R9" s="4746"/>
      <c r="T9" s="3486"/>
      <c r="U9" s="1958"/>
      <c r="V9" s="4862"/>
      <c r="W9" s="4741"/>
      <c r="X9" s="952"/>
      <c r="Y9" s="952"/>
      <c r="Z9" s="952"/>
      <c r="AA9" s="952"/>
      <c r="AB9" s="952"/>
      <c r="AC9" s="952"/>
      <c r="AD9" s="953"/>
      <c r="AE9" s="4841"/>
      <c r="AF9" s="4742"/>
      <c r="AG9" s="4833"/>
      <c r="AH9" s="4834"/>
    </row>
    <row r="10" spans="1:34" s="294" customFormat="1" ht="12.75" customHeight="1">
      <c r="A10" s="1282"/>
      <c r="B10" s="4731"/>
      <c r="C10" s="4745"/>
      <c r="D10" s="4746"/>
      <c r="E10" s="4746"/>
      <c r="F10" s="4746"/>
      <c r="G10" s="4746"/>
      <c r="H10" s="4746"/>
      <c r="I10" s="4746"/>
      <c r="J10" s="4746"/>
      <c r="K10" s="4746"/>
      <c r="L10" s="4746"/>
      <c r="M10" s="4746"/>
      <c r="N10" s="4746"/>
      <c r="O10" s="4746"/>
      <c r="P10" s="4746"/>
      <c r="Q10" s="4746"/>
      <c r="R10" s="4746"/>
      <c r="S10" s="4727" t="s">
        <v>1809</v>
      </c>
      <c r="T10" s="4728"/>
      <c r="U10" s="902"/>
      <c r="V10" s="4862"/>
      <c r="W10" s="4741"/>
      <c r="X10" s="952"/>
      <c r="Y10" s="952"/>
      <c r="Z10" s="952"/>
      <c r="AA10" s="952"/>
      <c r="AB10" s="952"/>
      <c r="AC10" s="952"/>
      <c r="AD10" s="953"/>
      <c r="AE10" s="4841"/>
      <c r="AF10" s="4742"/>
      <c r="AG10" s="4833"/>
      <c r="AH10" s="4834"/>
    </row>
    <row r="11" spans="1:34" s="294" customFormat="1" ht="12.75" customHeight="1">
      <c r="A11" s="1282"/>
      <c r="B11" s="4731"/>
      <c r="C11" s="4745"/>
      <c r="D11" s="4746"/>
      <c r="E11" s="4746"/>
      <c r="F11" s="4746"/>
      <c r="G11" s="4746"/>
      <c r="H11" s="4746"/>
      <c r="I11" s="4746"/>
      <c r="J11" s="4746"/>
      <c r="K11" s="4746"/>
      <c r="L11" s="4746"/>
      <c r="M11" s="4746"/>
      <c r="N11" s="4746"/>
      <c r="O11" s="4746"/>
      <c r="P11" s="4746"/>
      <c r="Q11" s="4746"/>
      <c r="R11" s="4746"/>
      <c r="S11" s="1972"/>
      <c r="T11" s="4747" t="s">
        <v>1000</v>
      </c>
      <c r="U11" s="1979">
        <v>3</v>
      </c>
      <c r="V11" s="4862"/>
      <c r="W11" s="4741"/>
      <c r="X11" s="952"/>
      <c r="Y11" s="952"/>
      <c r="Z11" s="952"/>
      <c r="AA11" s="952"/>
      <c r="AB11" s="952"/>
      <c r="AC11" s="952"/>
      <c r="AD11" s="953"/>
      <c r="AE11" s="1986"/>
      <c r="AF11" s="1984"/>
      <c r="AG11" s="1987" t="s">
        <v>1265</v>
      </c>
      <c r="AH11" s="2058" t="s">
        <v>1469</v>
      </c>
    </row>
    <row r="12" spans="1:34" s="294" customFormat="1" ht="12.75" customHeight="1">
      <c r="A12" s="4749" t="s">
        <v>1267</v>
      </c>
      <c r="B12" s="4731"/>
      <c r="C12" s="4745"/>
      <c r="D12" s="4746"/>
      <c r="E12" s="4746"/>
      <c r="F12" s="4746"/>
      <c r="G12" s="4746"/>
      <c r="H12" s="4746"/>
      <c r="I12" s="4746"/>
      <c r="J12" s="4746"/>
      <c r="K12" s="4746"/>
      <c r="L12" s="4746"/>
      <c r="M12" s="4746"/>
      <c r="N12" s="4746"/>
      <c r="O12" s="4746"/>
      <c r="P12" s="4746"/>
      <c r="Q12" s="4746"/>
      <c r="R12" s="4746"/>
      <c r="S12" s="1973"/>
      <c r="T12" s="4748"/>
      <c r="U12" s="1980"/>
      <c r="V12" s="4862"/>
      <c r="W12" s="956"/>
      <c r="X12" s="4752" t="s">
        <v>228</v>
      </c>
      <c r="Y12" s="4752"/>
      <c r="Z12" s="4752"/>
      <c r="AA12" s="4752"/>
      <c r="AB12" s="4752"/>
      <c r="AC12" s="4752"/>
      <c r="AD12" s="4753"/>
      <c r="AE12" s="1992"/>
      <c r="AF12" s="1985"/>
      <c r="AG12" s="1987" t="s">
        <v>1271</v>
      </c>
      <c r="AH12" s="4844" t="s">
        <v>1470</v>
      </c>
    </row>
    <row r="13" spans="1:34" s="294" customFormat="1" ht="12.75" customHeight="1">
      <c r="A13" s="4749"/>
      <c r="B13" s="4731"/>
      <c r="C13" s="4754" t="s">
        <v>229</v>
      </c>
      <c r="D13" s="4755"/>
      <c r="E13" s="4755"/>
      <c r="F13" s="4755"/>
      <c r="G13" s="4755"/>
      <c r="H13" s="4755"/>
      <c r="I13" s="4755"/>
      <c r="J13" s="4755"/>
      <c r="K13" s="4755"/>
      <c r="L13" s="4755"/>
      <c r="M13" s="4755"/>
      <c r="N13" s="4755"/>
      <c r="O13" s="4755"/>
      <c r="P13" s="4755"/>
      <c r="Q13" s="4755"/>
      <c r="R13" s="4755"/>
      <c r="S13" s="1513"/>
      <c r="T13" s="2215" t="s">
        <v>1911</v>
      </c>
      <c r="U13" s="1981">
        <v>4</v>
      </c>
      <c r="V13" s="4862"/>
      <c r="W13" s="1983" t="s">
        <v>1265</v>
      </c>
      <c r="X13" s="4756"/>
      <c r="Y13" s="4757"/>
      <c r="Z13" s="4757"/>
      <c r="AA13" s="4757"/>
      <c r="AB13" s="4757"/>
      <c r="AC13" s="4757"/>
      <c r="AD13" s="4758"/>
      <c r="AE13" s="1992"/>
      <c r="AF13" s="1985"/>
      <c r="AG13" s="1988"/>
      <c r="AH13" s="4845"/>
    </row>
    <row r="14" spans="1:34" s="294" customFormat="1" ht="7.5" customHeight="1">
      <c r="A14" s="4749"/>
      <c r="B14" s="4731"/>
      <c r="C14" s="4754"/>
      <c r="D14" s="4755"/>
      <c r="E14" s="4755"/>
      <c r="F14" s="4755"/>
      <c r="G14" s="4755"/>
      <c r="H14" s="4755"/>
      <c r="I14" s="4755"/>
      <c r="J14" s="4755"/>
      <c r="K14" s="4755"/>
      <c r="L14" s="4755"/>
      <c r="M14" s="4755"/>
      <c r="N14" s="4755"/>
      <c r="O14" s="4755"/>
      <c r="P14" s="4755"/>
      <c r="Q14" s="4755"/>
      <c r="R14" s="4755"/>
      <c r="S14" s="1514"/>
      <c r="T14" s="1974"/>
      <c r="U14" s="1982"/>
      <c r="V14" s="4862"/>
      <c r="W14" s="4824" t="s">
        <v>1384</v>
      </c>
      <c r="X14" s="1283"/>
      <c r="Y14" s="1283"/>
      <c r="Z14" s="1283"/>
      <c r="AA14" s="1283"/>
      <c r="AB14" s="1283"/>
      <c r="AC14" s="1283"/>
      <c r="AD14" s="1284"/>
      <c r="AE14" s="4821" t="s">
        <v>862</v>
      </c>
      <c r="AF14" s="4842" t="s">
        <v>1471</v>
      </c>
      <c r="AG14" s="4821" t="s">
        <v>1468</v>
      </c>
      <c r="AH14" s="4835"/>
    </row>
    <row r="15" spans="1:34" s="294" customFormat="1" ht="16.5" customHeight="1">
      <c r="A15" s="4750"/>
      <c r="B15" s="4731"/>
      <c r="C15" s="1110"/>
      <c r="D15" s="1362" t="s">
        <v>223</v>
      </c>
      <c r="E15" s="1362"/>
      <c r="F15" s="1362"/>
      <c r="G15" s="1362"/>
      <c r="H15" s="1362">
        <v>13</v>
      </c>
      <c r="I15" s="1111"/>
      <c r="J15" s="1362" t="s">
        <v>225</v>
      </c>
      <c r="K15" s="1362"/>
      <c r="L15" s="1362"/>
      <c r="M15" s="1362"/>
      <c r="N15" s="1362"/>
      <c r="O15" s="1363">
        <v>16</v>
      </c>
      <c r="P15" s="1364"/>
      <c r="Q15" s="4759" t="s">
        <v>1776</v>
      </c>
      <c r="R15" s="4760"/>
      <c r="S15" s="1975"/>
      <c r="T15" s="4763" t="s">
        <v>1002</v>
      </c>
      <c r="U15" s="4776">
        <v>5</v>
      </c>
      <c r="V15" s="4862"/>
      <c r="W15" s="4825"/>
      <c r="X15" s="954"/>
      <c r="Y15" s="954"/>
      <c r="Z15" s="954"/>
      <c r="AA15" s="954"/>
      <c r="AB15" s="954"/>
      <c r="AC15" s="954"/>
      <c r="AD15" s="955"/>
      <c r="AE15" s="4823"/>
      <c r="AF15" s="4843"/>
      <c r="AG15" s="4822"/>
      <c r="AH15" s="4836"/>
    </row>
    <row r="16" spans="1:34" s="294" customFormat="1" ht="18.75" customHeight="1">
      <c r="A16" s="4750"/>
      <c r="B16" s="4732"/>
      <c r="C16" s="1110"/>
      <c r="D16" s="1362" t="s">
        <v>224</v>
      </c>
      <c r="E16" s="1362"/>
      <c r="F16" s="1362"/>
      <c r="G16" s="1362"/>
      <c r="H16" s="1362">
        <v>14</v>
      </c>
      <c r="I16" s="1111"/>
      <c r="J16" s="1362" t="s">
        <v>226</v>
      </c>
      <c r="K16" s="1362"/>
      <c r="L16" s="1362"/>
      <c r="M16" s="1362"/>
      <c r="N16" s="1362"/>
      <c r="O16" s="1363">
        <v>17</v>
      </c>
      <c r="P16" s="1364"/>
      <c r="Q16" s="4761"/>
      <c r="R16" s="4762"/>
      <c r="S16" s="1976"/>
      <c r="T16" s="4764"/>
      <c r="U16" s="4780"/>
      <c r="V16" s="4862"/>
      <c r="W16" s="1971"/>
      <c r="X16" s="4826" t="s">
        <v>230</v>
      </c>
      <c r="Y16" s="4765" t="s">
        <v>231</v>
      </c>
      <c r="Z16" s="4765" t="s">
        <v>232</v>
      </c>
      <c r="AA16" s="4765" t="s">
        <v>233</v>
      </c>
      <c r="AB16" s="4765" t="s">
        <v>234</v>
      </c>
      <c r="AC16" s="4765" t="s">
        <v>235</v>
      </c>
      <c r="AD16" s="4768" t="s">
        <v>236</v>
      </c>
      <c r="AE16" s="1987" t="s">
        <v>863</v>
      </c>
      <c r="AF16" s="1989">
        <v>2</v>
      </c>
      <c r="AG16" s="4822"/>
      <c r="AH16" s="4836"/>
    </row>
    <row r="17" spans="1:34" s="294" customFormat="1" ht="12.75" customHeight="1">
      <c r="A17" s="4750"/>
      <c r="B17" s="4732"/>
      <c r="C17" s="1113"/>
      <c r="D17" s="1362" t="s">
        <v>23</v>
      </c>
      <c r="E17" s="1362"/>
      <c r="F17" s="1362"/>
      <c r="G17" s="1362"/>
      <c r="H17" s="1362">
        <v>15</v>
      </c>
      <c r="I17" s="1363"/>
      <c r="J17" s="1363"/>
      <c r="K17" s="1114"/>
      <c r="L17" s="1114"/>
      <c r="M17" s="1114"/>
      <c r="N17" s="1114"/>
      <c r="O17" s="1115"/>
      <c r="P17" s="4771" t="s">
        <v>237</v>
      </c>
      <c r="Q17" s="4772"/>
      <c r="R17" s="4772"/>
      <c r="S17" s="1975"/>
      <c r="T17" s="4763" t="s">
        <v>1912</v>
      </c>
      <c r="U17" s="4776">
        <v>6</v>
      </c>
      <c r="V17" s="4862"/>
      <c r="W17" s="1971"/>
      <c r="X17" s="4827"/>
      <c r="Y17" s="4766"/>
      <c r="Z17" s="4766"/>
      <c r="AA17" s="4766"/>
      <c r="AB17" s="4829"/>
      <c r="AC17" s="4766"/>
      <c r="AD17" s="4769"/>
      <c r="AE17" s="2059"/>
      <c r="AF17" s="1989"/>
      <c r="AG17" s="4822"/>
      <c r="AH17" s="4836"/>
    </row>
    <row r="18" spans="1:34" s="294" customFormat="1" ht="12.75" customHeight="1" thickBot="1">
      <c r="A18" s="4751"/>
      <c r="B18" s="4733"/>
      <c r="C18" s="4778" t="s">
        <v>44</v>
      </c>
      <c r="D18" s="4779"/>
      <c r="E18" s="4779"/>
      <c r="F18" s="4779"/>
      <c r="G18" s="4779"/>
      <c r="H18" s="4779"/>
      <c r="I18" s="4779"/>
      <c r="J18" s="4779"/>
      <c r="K18" s="4779"/>
      <c r="L18" s="4779"/>
      <c r="M18" s="4779"/>
      <c r="N18" s="4779"/>
      <c r="O18" s="4779"/>
      <c r="P18" s="4773"/>
      <c r="Q18" s="4774"/>
      <c r="R18" s="4774"/>
      <c r="S18" s="880"/>
      <c r="T18" s="4775"/>
      <c r="U18" s="4777"/>
      <c r="V18" s="1116"/>
      <c r="W18" s="1280"/>
      <c r="X18" s="4828"/>
      <c r="Y18" s="4767"/>
      <c r="Z18" s="4767"/>
      <c r="AA18" s="4767"/>
      <c r="AB18" s="4830"/>
      <c r="AC18" s="4767"/>
      <c r="AD18" s="4770"/>
      <c r="AE18" s="1990"/>
      <c r="AF18" s="1991"/>
      <c r="AG18" s="4837"/>
      <c r="AH18" s="4838"/>
    </row>
    <row r="19" spans="1:34" s="294" customFormat="1" ht="15" customHeight="1">
      <c r="A19" s="4781"/>
      <c r="B19" s="882">
        <v>1</v>
      </c>
      <c r="C19" s="4784"/>
      <c r="D19" s="4785"/>
      <c r="E19" s="299"/>
      <c r="F19" s="299"/>
      <c r="G19" s="299"/>
      <c r="H19" s="299"/>
      <c r="I19" s="299"/>
      <c r="J19" s="299"/>
      <c r="K19" s="299"/>
      <c r="L19" s="299"/>
      <c r="M19" s="299"/>
      <c r="N19" s="299"/>
      <c r="O19" s="299"/>
      <c r="P19" s="4786"/>
      <c r="Q19" s="4787"/>
      <c r="R19" s="4787"/>
      <c r="S19" s="4784"/>
      <c r="T19" s="4785"/>
      <c r="U19" s="1961"/>
      <c r="V19" s="881"/>
      <c r="W19" s="881"/>
      <c r="X19" s="881"/>
      <c r="Y19" s="873"/>
      <c r="Z19" s="873"/>
      <c r="AA19" s="873"/>
      <c r="AB19" s="873"/>
      <c r="AC19" s="873"/>
      <c r="AD19" s="883"/>
      <c r="AE19" s="4814"/>
      <c r="AF19" s="4815"/>
      <c r="AG19" s="4814"/>
      <c r="AH19" s="4815"/>
    </row>
    <row r="20" spans="1:34" s="294" customFormat="1" ht="15" customHeight="1">
      <c r="A20" s="4782"/>
      <c r="B20" s="303">
        <v>2</v>
      </c>
      <c r="C20" s="4788"/>
      <c r="D20" s="4789"/>
      <c r="E20" s="304"/>
      <c r="F20" s="304"/>
      <c r="G20" s="304"/>
      <c r="H20" s="304"/>
      <c r="I20" s="304"/>
      <c r="J20" s="304"/>
      <c r="K20" s="304"/>
      <c r="L20" s="304"/>
      <c r="M20" s="304"/>
      <c r="N20" s="304"/>
      <c r="O20" s="304"/>
      <c r="P20" s="4790"/>
      <c r="Q20" s="4791"/>
      <c r="R20" s="4791"/>
      <c r="S20" s="4788"/>
      <c r="T20" s="4789"/>
      <c r="U20" s="1962"/>
      <c r="V20" s="306"/>
      <c r="W20" s="306"/>
      <c r="X20" s="306"/>
      <c r="Y20" s="305"/>
      <c r="Z20" s="305"/>
      <c r="AA20" s="305"/>
      <c r="AB20" s="305"/>
      <c r="AC20" s="305"/>
      <c r="AD20" s="307"/>
      <c r="AE20" s="4808"/>
      <c r="AF20" s="4809"/>
      <c r="AG20" s="4808"/>
      <c r="AH20" s="4809"/>
    </row>
    <row r="21" spans="1:34" s="294" customFormat="1" ht="15" customHeight="1">
      <c r="A21" s="4782"/>
      <c r="B21" s="303">
        <v>3</v>
      </c>
      <c r="C21" s="4788"/>
      <c r="D21" s="4789"/>
      <c r="E21" s="304"/>
      <c r="F21" s="304"/>
      <c r="G21" s="304"/>
      <c r="H21" s="304"/>
      <c r="I21" s="304"/>
      <c r="J21" s="304"/>
      <c r="K21" s="304"/>
      <c r="L21" s="304"/>
      <c r="M21" s="304"/>
      <c r="N21" s="304"/>
      <c r="O21" s="304"/>
      <c r="P21" s="4790"/>
      <c r="Q21" s="4791"/>
      <c r="R21" s="4791"/>
      <c r="S21" s="4788"/>
      <c r="T21" s="4789"/>
      <c r="U21" s="1962"/>
      <c r="V21" s="306"/>
      <c r="W21" s="306"/>
      <c r="X21" s="306"/>
      <c r="Y21" s="305"/>
      <c r="Z21" s="305"/>
      <c r="AA21" s="305"/>
      <c r="AB21" s="305"/>
      <c r="AC21" s="305"/>
      <c r="AD21" s="307"/>
      <c r="AE21" s="4808"/>
      <c r="AF21" s="4809"/>
      <c r="AG21" s="4808"/>
      <c r="AH21" s="4809"/>
    </row>
    <row r="22" spans="1:34" s="294" customFormat="1" ht="15" customHeight="1" thickBot="1">
      <c r="A22" s="4783"/>
      <c r="B22" s="308">
        <v>4</v>
      </c>
      <c r="C22" s="4792"/>
      <c r="D22" s="4793"/>
      <c r="E22" s="309"/>
      <c r="F22" s="309"/>
      <c r="G22" s="309"/>
      <c r="H22" s="309"/>
      <c r="I22" s="309"/>
      <c r="J22" s="309"/>
      <c r="K22" s="309"/>
      <c r="L22" s="309"/>
      <c r="M22" s="309"/>
      <c r="N22" s="309"/>
      <c r="O22" s="309"/>
      <c r="P22" s="4794"/>
      <c r="Q22" s="4795"/>
      <c r="R22" s="4795"/>
      <c r="S22" s="4792"/>
      <c r="T22" s="4793"/>
      <c r="U22" s="1963"/>
      <c r="V22" s="311"/>
      <c r="W22" s="311"/>
      <c r="X22" s="311"/>
      <c r="Y22" s="310"/>
      <c r="Z22" s="310"/>
      <c r="AA22" s="310"/>
      <c r="AB22" s="310"/>
      <c r="AC22" s="310"/>
      <c r="AD22" s="312"/>
      <c r="AE22" s="4810"/>
      <c r="AF22" s="4811"/>
      <c r="AG22" s="4810"/>
      <c r="AH22" s="4811"/>
    </row>
    <row r="23" spans="1:34" s="294" customFormat="1" ht="5.0999999999999996" customHeight="1" thickBot="1">
      <c r="A23" s="313"/>
      <c r="B23" s="314"/>
      <c r="C23" s="315"/>
      <c r="D23" s="315"/>
      <c r="E23" s="315"/>
      <c r="F23" s="315"/>
      <c r="G23" s="315"/>
      <c r="H23" s="316"/>
      <c r="I23" s="316"/>
      <c r="J23" s="316"/>
      <c r="K23" s="316"/>
      <c r="L23" s="316"/>
      <c r="M23" s="316"/>
      <c r="N23" s="316"/>
      <c r="O23" s="316"/>
      <c r="P23" s="316"/>
      <c r="Q23" s="316"/>
      <c r="R23" s="316"/>
      <c r="S23" s="878"/>
      <c r="T23" s="315"/>
      <c r="U23" s="1959"/>
      <c r="V23" s="317"/>
      <c r="W23" s="317"/>
      <c r="X23" s="317"/>
      <c r="Y23" s="317"/>
      <c r="Z23" s="317"/>
      <c r="AA23" s="317"/>
      <c r="AB23" s="317"/>
      <c r="AC23" s="317"/>
      <c r="AD23" s="317"/>
      <c r="AE23" s="315"/>
      <c r="AF23" s="1959"/>
      <c r="AG23" s="315"/>
      <c r="AH23" s="1959"/>
    </row>
    <row r="24" spans="1:34" s="294" customFormat="1" ht="15" customHeight="1">
      <c r="A24" s="4799"/>
      <c r="B24" s="298">
        <v>1</v>
      </c>
      <c r="C24" s="4800"/>
      <c r="D24" s="4785"/>
      <c r="E24" s="299"/>
      <c r="F24" s="299"/>
      <c r="G24" s="299"/>
      <c r="H24" s="299"/>
      <c r="I24" s="299"/>
      <c r="J24" s="299"/>
      <c r="K24" s="299"/>
      <c r="L24" s="299"/>
      <c r="M24" s="299"/>
      <c r="N24" s="299"/>
      <c r="O24" s="299"/>
      <c r="P24" s="4796"/>
      <c r="Q24" s="4797"/>
      <c r="R24" s="4797"/>
      <c r="S24" s="4784"/>
      <c r="T24" s="4785"/>
      <c r="U24" s="1961"/>
      <c r="V24" s="301"/>
      <c r="W24" s="301"/>
      <c r="X24" s="300"/>
      <c r="Y24" s="300"/>
      <c r="Z24" s="300"/>
      <c r="AA24" s="300"/>
      <c r="AB24" s="300"/>
      <c r="AC24" s="300"/>
      <c r="AD24" s="302"/>
      <c r="AE24" s="4814"/>
      <c r="AF24" s="4815"/>
      <c r="AG24" s="4814"/>
      <c r="AH24" s="4815"/>
    </row>
    <row r="25" spans="1:34" s="294" customFormat="1" ht="15" customHeight="1">
      <c r="A25" s="4782"/>
      <c r="B25" s="303">
        <v>2</v>
      </c>
      <c r="C25" s="4798"/>
      <c r="D25" s="4789"/>
      <c r="E25" s="304"/>
      <c r="F25" s="304"/>
      <c r="G25" s="304"/>
      <c r="H25" s="304"/>
      <c r="I25" s="304"/>
      <c r="J25" s="304"/>
      <c r="K25" s="304"/>
      <c r="L25" s="304"/>
      <c r="M25" s="304"/>
      <c r="N25" s="304"/>
      <c r="O25" s="304"/>
      <c r="P25" s="4790"/>
      <c r="Q25" s="4791"/>
      <c r="R25" s="4791"/>
      <c r="S25" s="4788"/>
      <c r="T25" s="4789"/>
      <c r="U25" s="1962"/>
      <c r="V25" s="306"/>
      <c r="W25" s="306"/>
      <c r="X25" s="305"/>
      <c r="Y25" s="305"/>
      <c r="Z25" s="305"/>
      <c r="AA25" s="305"/>
      <c r="AB25" s="305"/>
      <c r="AC25" s="305"/>
      <c r="AD25" s="307"/>
      <c r="AE25" s="4808"/>
      <c r="AF25" s="4809"/>
      <c r="AG25" s="4808"/>
      <c r="AH25" s="4809"/>
    </row>
    <row r="26" spans="1:34" s="294" customFormat="1" ht="15" customHeight="1">
      <c r="A26" s="4782"/>
      <c r="B26" s="303">
        <v>3</v>
      </c>
      <c r="C26" s="4798"/>
      <c r="D26" s="4789"/>
      <c r="E26" s="304"/>
      <c r="F26" s="304"/>
      <c r="G26" s="304"/>
      <c r="H26" s="304"/>
      <c r="I26" s="304"/>
      <c r="J26" s="304"/>
      <c r="K26" s="304"/>
      <c r="L26" s="304"/>
      <c r="M26" s="304"/>
      <c r="N26" s="304"/>
      <c r="O26" s="304"/>
      <c r="P26" s="4790"/>
      <c r="Q26" s="4791"/>
      <c r="R26" s="4791"/>
      <c r="S26" s="4788"/>
      <c r="T26" s="4789"/>
      <c r="U26" s="1962"/>
      <c r="V26" s="306"/>
      <c r="W26" s="306"/>
      <c r="X26" s="305"/>
      <c r="Y26" s="305"/>
      <c r="Z26" s="305"/>
      <c r="AA26" s="305"/>
      <c r="AB26" s="305"/>
      <c r="AC26" s="305"/>
      <c r="AD26" s="307"/>
      <c r="AE26" s="4808"/>
      <c r="AF26" s="4809"/>
      <c r="AG26" s="4808"/>
      <c r="AH26" s="4809"/>
    </row>
    <row r="27" spans="1:34" s="294" customFormat="1" ht="15" customHeight="1" thickBot="1">
      <c r="A27" s="4783"/>
      <c r="B27" s="308">
        <v>4</v>
      </c>
      <c r="C27" s="4801"/>
      <c r="D27" s="4793"/>
      <c r="E27" s="309"/>
      <c r="F27" s="309"/>
      <c r="G27" s="309"/>
      <c r="H27" s="309"/>
      <c r="I27" s="309"/>
      <c r="J27" s="309"/>
      <c r="K27" s="309"/>
      <c r="L27" s="309"/>
      <c r="M27" s="309"/>
      <c r="N27" s="309"/>
      <c r="O27" s="309"/>
      <c r="P27" s="4794"/>
      <c r="Q27" s="4795"/>
      <c r="R27" s="4795"/>
      <c r="S27" s="4792"/>
      <c r="T27" s="4793"/>
      <c r="U27" s="1963"/>
      <c r="V27" s="311"/>
      <c r="W27" s="311"/>
      <c r="X27" s="310"/>
      <c r="Y27" s="310"/>
      <c r="Z27" s="310"/>
      <c r="AA27" s="310"/>
      <c r="AB27" s="310"/>
      <c r="AC27" s="310"/>
      <c r="AD27" s="312"/>
      <c r="AE27" s="4810"/>
      <c r="AF27" s="4811"/>
      <c r="AG27" s="4810"/>
      <c r="AH27" s="4811"/>
    </row>
    <row r="28" spans="1:34" s="294" customFormat="1" ht="5.0999999999999996" customHeight="1" thickBot="1">
      <c r="A28" s="313"/>
      <c r="B28" s="314"/>
      <c r="C28" s="315"/>
      <c r="D28" s="315"/>
      <c r="E28" s="315"/>
      <c r="F28" s="315"/>
      <c r="G28" s="315"/>
      <c r="H28" s="316"/>
      <c r="I28" s="316"/>
      <c r="J28" s="316"/>
      <c r="K28" s="316"/>
      <c r="L28" s="316"/>
      <c r="M28" s="316"/>
      <c r="N28" s="316"/>
      <c r="O28" s="316"/>
      <c r="P28" s="316"/>
      <c r="Q28" s="316"/>
      <c r="R28" s="316"/>
      <c r="S28" s="878"/>
      <c r="T28" s="315"/>
      <c r="U28" s="1959"/>
      <c r="V28" s="317"/>
      <c r="W28" s="317"/>
      <c r="X28" s="317"/>
      <c r="Y28" s="317"/>
      <c r="Z28" s="317"/>
      <c r="AA28" s="317"/>
      <c r="AB28" s="317"/>
      <c r="AC28" s="317"/>
      <c r="AD28" s="317"/>
      <c r="AE28" s="315"/>
      <c r="AF28" s="1959"/>
      <c r="AG28" s="315"/>
      <c r="AH28" s="1959"/>
    </row>
    <row r="29" spans="1:34" s="294" customFormat="1" ht="15" customHeight="1">
      <c r="A29" s="4799"/>
      <c r="B29" s="298">
        <v>1</v>
      </c>
      <c r="C29" s="4800"/>
      <c r="D29" s="4785"/>
      <c r="E29" s="299"/>
      <c r="F29" s="299"/>
      <c r="G29" s="299"/>
      <c r="H29" s="299"/>
      <c r="I29" s="299"/>
      <c r="J29" s="299"/>
      <c r="K29" s="299"/>
      <c r="L29" s="299"/>
      <c r="M29" s="299"/>
      <c r="N29" s="299"/>
      <c r="O29" s="299"/>
      <c r="P29" s="4796"/>
      <c r="Q29" s="4797"/>
      <c r="R29" s="4797"/>
      <c r="S29" s="4784"/>
      <c r="T29" s="4785"/>
      <c r="U29" s="1961"/>
      <c r="V29" s="300"/>
      <c r="W29" s="300"/>
      <c r="X29" s="300"/>
      <c r="Y29" s="300"/>
      <c r="Z29" s="300"/>
      <c r="AA29" s="300"/>
      <c r="AB29" s="300"/>
      <c r="AC29" s="300"/>
      <c r="AD29" s="302"/>
      <c r="AE29" s="4814"/>
      <c r="AF29" s="4815"/>
      <c r="AG29" s="4814"/>
      <c r="AH29" s="4815"/>
    </row>
    <row r="30" spans="1:34" s="294" customFormat="1" ht="15" customHeight="1">
      <c r="A30" s="4782"/>
      <c r="B30" s="303">
        <v>2</v>
      </c>
      <c r="C30" s="4798"/>
      <c r="D30" s="4789"/>
      <c r="E30" s="304"/>
      <c r="F30" s="304"/>
      <c r="G30" s="304"/>
      <c r="H30" s="304"/>
      <c r="I30" s="304"/>
      <c r="J30" s="304"/>
      <c r="K30" s="304"/>
      <c r="L30" s="304"/>
      <c r="M30" s="304"/>
      <c r="N30" s="304"/>
      <c r="O30" s="304"/>
      <c r="P30" s="4790"/>
      <c r="Q30" s="4791"/>
      <c r="R30" s="4791"/>
      <c r="S30" s="4788"/>
      <c r="T30" s="4789"/>
      <c r="U30" s="1962"/>
      <c r="V30" s="305"/>
      <c r="W30" s="305"/>
      <c r="X30" s="305"/>
      <c r="Y30" s="305"/>
      <c r="Z30" s="305"/>
      <c r="AA30" s="305"/>
      <c r="AB30" s="305"/>
      <c r="AC30" s="305"/>
      <c r="AD30" s="307"/>
      <c r="AE30" s="4808"/>
      <c r="AF30" s="4809"/>
      <c r="AG30" s="4808"/>
      <c r="AH30" s="4809"/>
    </row>
    <row r="31" spans="1:34" s="294" customFormat="1" ht="15" customHeight="1">
      <c r="A31" s="4782"/>
      <c r="B31" s="303">
        <v>3</v>
      </c>
      <c r="C31" s="4798"/>
      <c r="D31" s="4789"/>
      <c r="E31" s="304"/>
      <c r="F31" s="304"/>
      <c r="G31" s="304"/>
      <c r="H31" s="304"/>
      <c r="I31" s="304"/>
      <c r="J31" s="304"/>
      <c r="K31" s="304"/>
      <c r="L31" s="304"/>
      <c r="M31" s="304"/>
      <c r="N31" s="304"/>
      <c r="O31" s="304"/>
      <c r="P31" s="4790"/>
      <c r="Q31" s="4791"/>
      <c r="R31" s="4791"/>
      <c r="S31" s="4788"/>
      <c r="T31" s="4789"/>
      <c r="U31" s="1962"/>
      <c r="V31" s="305"/>
      <c r="W31" s="305"/>
      <c r="X31" s="305"/>
      <c r="Y31" s="305"/>
      <c r="Z31" s="305"/>
      <c r="AA31" s="305"/>
      <c r="AB31" s="305"/>
      <c r="AC31" s="305"/>
      <c r="AD31" s="307"/>
      <c r="AE31" s="4808"/>
      <c r="AF31" s="4809"/>
      <c r="AG31" s="4808"/>
      <c r="AH31" s="4809"/>
    </row>
    <row r="32" spans="1:34" s="294" customFormat="1" ht="15" customHeight="1" thickBot="1">
      <c r="A32" s="4783"/>
      <c r="B32" s="308">
        <v>4</v>
      </c>
      <c r="C32" s="4801"/>
      <c r="D32" s="4793"/>
      <c r="E32" s="309"/>
      <c r="F32" s="309"/>
      <c r="G32" s="309"/>
      <c r="H32" s="309"/>
      <c r="I32" s="309"/>
      <c r="J32" s="309"/>
      <c r="K32" s="309"/>
      <c r="L32" s="309"/>
      <c r="M32" s="309"/>
      <c r="N32" s="309"/>
      <c r="O32" s="309"/>
      <c r="P32" s="4794"/>
      <c r="Q32" s="4795"/>
      <c r="R32" s="4795"/>
      <c r="S32" s="4792"/>
      <c r="T32" s="4793"/>
      <c r="U32" s="1963"/>
      <c r="V32" s="310"/>
      <c r="W32" s="310"/>
      <c r="X32" s="310"/>
      <c r="Y32" s="310"/>
      <c r="Z32" s="310"/>
      <c r="AA32" s="310"/>
      <c r="AB32" s="310"/>
      <c r="AC32" s="310"/>
      <c r="AD32" s="312"/>
      <c r="AE32" s="4810"/>
      <c r="AF32" s="4811"/>
      <c r="AG32" s="4810"/>
      <c r="AH32" s="4811"/>
    </row>
    <row r="33" spans="1:34" s="294" customFormat="1" ht="5.0999999999999996" customHeight="1" thickBot="1">
      <c r="A33" s="313"/>
      <c r="B33" s="314"/>
      <c r="C33" s="318"/>
      <c r="D33" s="318"/>
      <c r="E33" s="318"/>
      <c r="F33" s="318"/>
      <c r="G33" s="318"/>
      <c r="H33" s="319"/>
      <c r="I33" s="319"/>
      <c r="J33" s="319"/>
      <c r="K33" s="319"/>
      <c r="L33" s="319"/>
      <c r="M33" s="319"/>
      <c r="N33" s="319"/>
      <c r="O33" s="319"/>
      <c r="P33" s="319"/>
      <c r="Q33" s="319"/>
      <c r="R33" s="319"/>
      <c r="S33" s="879"/>
      <c r="T33" s="318"/>
      <c r="U33" s="1960"/>
      <c r="V33" s="317"/>
      <c r="W33" s="317"/>
      <c r="X33" s="317"/>
      <c r="Y33" s="317"/>
      <c r="Z33" s="317"/>
      <c r="AA33" s="317"/>
      <c r="AB33" s="317"/>
      <c r="AC33" s="317"/>
      <c r="AD33" s="317"/>
      <c r="AE33" s="318"/>
      <c r="AF33" s="1960"/>
      <c r="AG33" s="318"/>
      <c r="AH33" s="1960"/>
    </row>
    <row r="34" spans="1:34" s="294" customFormat="1" ht="15" customHeight="1">
      <c r="A34" s="4799"/>
      <c r="B34" s="320">
        <v>1</v>
      </c>
      <c r="C34" s="4807"/>
      <c r="D34" s="4806"/>
      <c r="E34" s="321"/>
      <c r="F34" s="321"/>
      <c r="G34" s="321"/>
      <c r="H34" s="321"/>
      <c r="I34" s="321"/>
      <c r="J34" s="321"/>
      <c r="K34" s="321"/>
      <c r="L34" s="321"/>
      <c r="M34" s="321"/>
      <c r="N34" s="321"/>
      <c r="O34" s="321"/>
      <c r="P34" s="4796"/>
      <c r="Q34" s="4797"/>
      <c r="R34" s="4797"/>
      <c r="S34" s="4805"/>
      <c r="T34" s="4806"/>
      <c r="U34" s="1964"/>
      <c r="V34" s="300"/>
      <c r="W34" s="300"/>
      <c r="X34" s="300"/>
      <c r="Y34" s="300"/>
      <c r="Z34" s="300"/>
      <c r="AA34" s="300"/>
      <c r="AB34" s="300"/>
      <c r="AC34" s="300"/>
      <c r="AD34" s="302"/>
      <c r="AE34" s="4814"/>
      <c r="AF34" s="4815"/>
      <c r="AG34" s="4814"/>
      <c r="AH34" s="4815"/>
    </row>
    <row r="35" spans="1:34" s="294" customFormat="1" ht="15" customHeight="1">
      <c r="A35" s="4782"/>
      <c r="B35" s="322">
        <v>2</v>
      </c>
      <c r="C35" s="4798"/>
      <c r="D35" s="4789"/>
      <c r="E35" s="304"/>
      <c r="F35" s="304"/>
      <c r="G35" s="304"/>
      <c r="H35" s="304"/>
      <c r="I35" s="304"/>
      <c r="J35" s="304"/>
      <c r="K35" s="304"/>
      <c r="L35" s="304"/>
      <c r="M35" s="304"/>
      <c r="N35" s="304"/>
      <c r="O35" s="304"/>
      <c r="P35" s="4790"/>
      <c r="Q35" s="4791"/>
      <c r="R35" s="4791"/>
      <c r="S35" s="4788"/>
      <c r="T35" s="4789"/>
      <c r="U35" s="1962"/>
      <c r="V35" s="305"/>
      <c r="W35" s="305"/>
      <c r="X35" s="305"/>
      <c r="Y35" s="305"/>
      <c r="Z35" s="305"/>
      <c r="AA35" s="305"/>
      <c r="AB35" s="305"/>
      <c r="AC35" s="305"/>
      <c r="AD35" s="307"/>
      <c r="AE35" s="4808"/>
      <c r="AF35" s="4809"/>
      <c r="AG35" s="4808"/>
      <c r="AH35" s="4809"/>
    </row>
    <row r="36" spans="1:34" s="294" customFormat="1" ht="15" customHeight="1">
      <c r="A36" s="4782"/>
      <c r="B36" s="322">
        <v>3</v>
      </c>
      <c r="C36" s="4798"/>
      <c r="D36" s="4789"/>
      <c r="E36" s="304"/>
      <c r="F36" s="304"/>
      <c r="G36" s="304"/>
      <c r="H36" s="304"/>
      <c r="I36" s="304"/>
      <c r="J36" s="304"/>
      <c r="K36" s="304"/>
      <c r="L36" s="304"/>
      <c r="M36" s="304"/>
      <c r="N36" s="304"/>
      <c r="O36" s="304"/>
      <c r="P36" s="4790"/>
      <c r="Q36" s="4791"/>
      <c r="R36" s="4791"/>
      <c r="S36" s="4788"/>
      <c r="T36" s="4789"/>
      <c r="U36" s="1962"/>
      <c r="V36" s="305"/>
      <c r="W36" s="305"/>
      <c r="X36" s="305"/>
      <c r="Y36" s="305"/>
      <c r="Z36" s="305"/>
      <c r="AA36" s="305"/>
      <c r="AB36" s="305"/>
      <c r="AC36" s="305"/>
      <c r="AD36" s="307"/>
      <c r="AE36" s="4808"/>
      <c r="AF36" s="4809"/>
      <c r="AG36" s="4808"/>
      <c r="AH36" s="4809"/>
    </row>
    <row r="37" spans="1:34" s="294" customFormat="1" ht="15" customHeight="1" thickBot="1">
      <c r="A37" s="4783"/>
      <c r="B37" s="323">
        <v>4</v>
      </c>
      <c r="C37" s="4801"/>
      <c r="D37" s="4793"/>
      <c r="E37" s="309"/>
      <c r="F37" s="309"/>
      <c r="G37" s="309"/>
      <c r="H37" s="309"/>
      <c r="I37" s="309"/>
      <c r="J37" s="309"/>
      <c r="K37" s="309"/>
      <c r="L37" s="309"/>
      <c r="M37" s="309"/>
      <c r="N37" s="309"/>
      <c r="O37" s="309"/>
      <c r="P37" s="4794"/>
      <c r="Q37" s="4795"/>
      <c r="R37" s="4795"/>
      <c r="S37" s="4792"/>
      <c r="T37" s="4793"/>
      <c r="U37" s="1963"/>
      <c r="V37" s="310"/>
      <c r="W37" s="310"/>
      <c r="X37" s="310"/>
      <c r="Y37" s="310"/>
      <c r="Z37" s="310"/>
      <c r="AA37" s="310"/>
      <c r="AB37" s="310"/>
      <c r="AC37" s="310"/>
      <c r="AD37" s="312"/>
      <c r="AE37" s="4810"/>
      <c r="AF37" s="4811"/>
      <c r="AG37" s="4810"/>
      <c r="AH37" s="4811"/>
    </row>
    <row r="38" spans="1:34" s="294" customFormat="1" ht="5.0999999999999996" customHeight="1" thickBot="1">
      <c r="A38" s="313"/>
      <c r="B38" s="314"/>
      <c r="C38" s="318"/>
      <c r="D38" s="318"/>
      <c r="E38" s="318"/>
      <c r="F38" s="318"/>
      <c r="G38" s="318"/>
      <c r="H38" s="319"/>
      <c r="I38" s="319"/>
      <c r="J38" s="319"/>
      <c r="K38" s="319"/>
      <c r="L38" s="319"/>
      <c r="M38" s="319"/>
      <c r="N38" s="319"/>
      <c r="O38" s="319"/>
      <c r="P38" s="319"/>
      <c r="Q38" s="319"/>
      <c r="R38" s="319"/>
      <c r="S38" s="879"/>
      <c r="T38" s="318"/>
      <c r="U38" s="1960"/>
      <c r="V38" s="317"/>
      <c r="W38" s="317"/>
      <c r="X38" s="317"/>
      <c r="Y38" s="317"/>
      <c r="Z38" s="317"/>
      <c r="AA38" s="317"/>
      <c r="AB38" s="317"/>
      <c r="AC38" s="317"/>
      <c r="AD38" s="317"/>
      <c r="AE38" s="318"/>
      <c r="AF38" s="1960"/>
      <c r="AG38" s="318"/>
      <c r="AH38" s="1960"/>
    </row>
    <row r="39" spans="1:34" s="294" customFormat="1" ht="15" customHeight="1">
      <c r="A39" s="4799"/>
      <c r="B39" s="320">
        <v>1</v>
      </c>
      <c r="C39" s="4807"/>
      <c r="D39" s="4806"/>
      <c r="E39" s="321"/>
      <c r="F39" s="321"/>
      <c r="G39" s="321"/>
      <c r="H39" s="321"/>
      <c r="I39" s="321"/>
      <c r="J39" s="321"/>
      <c r="K39" s="321"/>
      <c r="L39" s="321"/>
      <c r="M39" s="321"/>
      <c r="N39" s="321"/>
      <c r="O39" s="321"/>
      <c r="P39" s="4796"/>
      <c r="Q39" s="4797"/>
      <c r="R39" s="4797"/>
      <c r="S39" s="4805"/>
      <c r="T39" s="4806"/>
      <c r="U39" s="1964"/>
      <c r="V39" s="300"/>
      <c r="W39" s="300"/>
      <c r="X39" s="300"/>
      <c r="Y39" s="300"/>
      <c r="Z39" s="300"/>
      <c r="AA39" s="300"/>
      <c r="AB39" s="300"/>
      <c r="AC39" s="300"/>
      <c r="AD39" s="302"/>
      <c r="AE39" s="4814"/>
      <c r="AF39" s="4815"/>
      <c r="AG39" s="4814"/>
      <c r="AH39" s="4815"/>
    </row>
    <row r="40" spans="1:34" s="294" customFormat="1" ht="15" customHeight="1">
      <c r="A40" s="4782"/>
      <c r="B40" s="322">
        <v>2</v>
      </c>
      <c r="C40" s="4798"/>
      <c r="D40" s="4789"/>
      <c r="E40" s="304"/>
      <c r="F40" s="304"/>
      <c r="G40" s="304"/>
      <c r="H40" s="304"/>
      <c r="I40" s="304"/>
      <c r="J40" s="304"/>
      <c r="K40" s="304"/>
      <c r="L40" s="304"/>
      <c r="M40" s="304"/>
      <c r="N40" s="304"/>
      <c r="O40" s="304"/>
      <c r="P40" s="4790"/>
      <c r="Q40" s="4791"/>
      <c r="R40" s="4791"/>
      <c r="S40" s="4788"/>
      <c r="T40" s="4789"/>
      <c r="U40" s="1962"/>
      <c r="V40" s="305"/>
      <c r="W40" s="305"/>
      <c r="X40" s="305"/>
      <c r="Y40" s="305"/>
      <c r="Z40" s="305"/>
      <c r="AA40" s="305"/>
      <c r="AB40" s="305"/>
      <c r="AC40" s="305"/>
      <c r="AD40" s="307"/>
      <c r="AE40" s="4808"/>
      <c r="AF40" s="4809"/>
      <c r="AG40" s="4808"/>
      <c r="AH40" s="4809"/>
    </row>
    <row r="41" spans="1:34" s="294" customFormat="1" ht="15" customHeight="1">
      <c r="A41" s="4782"/>
      <c r="B41" s="322">
        <v>3</v>
      </c>
      <c r="C41" s="4798"/>
      <c r="D41" s="4789"/>
      <c r="E41" s="304"/>
      <c r="F41" s="304"/>
      <c r="G41" s="304"/>
      <c r="H41" s="304"/>
      <c r="I41" s="304"/>
      <c r="J41" s="304"/>
      <c r="K41" s="304"/>
      <c r="L41" s="304"/>
      <c r="M41" s="304"/>
      <c r="N41" s="304"/>
      <c r="O41" s="304"/>
      <c r="P41" s="4790"/>
      <c r="Q41" s="4791"/>
      <c r="R41" s="4791"/>
      <c r="S41" s="4788"/>
      <c r="T41" s="4789"/>
      <c r="U41" s="1962"/>
      <c r="V41" s="305"/>
      <c r="W41" s="305"/>
      <c r="X41" s="305"/>
      <c r="Y41" s="305"/>
      <c r="Z41" s="305"/>
      <c r="AA41" s="305"/>
      <c r="AB41" s="305"/>
      <c r="AC41" s="305"/>
      <c r="AD41" s="307"/>
      <c r="AE41" s="4808"/>
      <c r="AF41" s="4809"/>
      <c r="AG41" s="4808"/>
      <c r="AH41" s="4809"/>
    </row>
    <row r="42" spans="1:34" s="294" customFormat="1" ht="15" customHeight="1" thickBot="1">
      <c r="A42" s="4783"/>
      <c r="B42" s="323">
        <v>4</v>
      </c>
      <c r="C42" s="4801"/>
      <c r="D42" s="4793"/>
      <c r="E42" s="309"/>
      <c r="F42" s="309"/>
      <c r="G42" s="309"/>
      <c r="H42" s="309"/>
      <c r="I42" s="309"/>
      <c r="J42" s="309"/>
      <c r="K42" s="309"/>
      <c r="L42" s="309"/>
      <c r="M42" s="309"/>
      <c r="N42" s="309"/>
      <c r="O42" s="309"/>
      <c r="P42" s="4794"/>
      <c r="Q42" s="4795"/>
      <c r="R42" s="4795"/>
      <c r="S42" s="4792"/>
      <c r="T42" s="4793"/>
      <c r="U42" s="1963"/>
      <c r="V42" s="310"/>
      <c r="W42" s="310"/>
      <c r="X42" s="310"/>
      <c r="Y42" s="310"/>
      <c r="Z42" s="310"/>
      <c r="AA42" s="310"/>
      <c r="AB42" s="310"/>
      <c r="AC42" s="310"/>
      <c r="AD42" s="312"/>
      <c r="AE42" s="4810"/>
      <c r="AF42" s="4811"/>
      <c r="AG42" s="4810"/>
      <c r="AH42" s="4811"/>
    </row>
    <row r="43" spans="1:34">
      <c r="S43" s="283"/>
      <c r="T43" s="283"/>
      <c r="U43" s="576"/>
      <c r="AE43" s="283"/>
      <c r="AF43" s="576"/>
      <c r="AG43" s="283"/>
      <c r="AH43" s="576"/>
    </row>
    <row r="44" spans="1:34" s="283" customFormat="1" ht="20.100000000000001" customHeight="1">
      <c r="A44" s="2000" t="s">
        <v>1258</v>
      </c>
      <c r="U44" s="576"/>
      <c r="AF44" s="576"/>
      <c r="AG44" s="2003" t="s">
        <v>1274</v>
      </c>
    </row>
    <row r="45" spans="1:34" s="286" customFormat="1" ht="11.25" customHeight="1">
      <c r="A45" s="285" t="s">
        <v>1262</v>
      </c>
      <c r="U45" s="576"/>
      <c r="AD45" s="288"/>
      <c r="AF45" s="576"/>
      <c r="AH45" s="576"/>
    </row>
    <row r="46" spans="1:34" s="286" customFormat="1" ht="5.25" customHeight="1" thickBot="1">
      <c r="B46" s="289"/>
      <c r="U46" s="576"/>
      <c r="AA46" s="290"/>
      <c r="AB46" s="290"/>
      <c r="AC46" s="290"/>
      <c r="AD46" s="291"/>
      <c r="AF46" s="576"/>
      <c r="AH46" s="576"/>
    </row>
    <row r="47" spans="1:34" s="292" customFormat="1" ht="15" customHeight="1" thickBot="1">
      <c r="A47" s="4729" t="s">
        <v>122</v>
      </c>
      <c r="B47" s="4729" t="s">
        <v>22</v>
      </c>
      <c r="C47" s="4601">
        <v>6.18</v>
      </c>
      <c r="D47" s="4595"/>
      <c r="E47" s="4595"/>
      <c r="F47" s="4595"/>
      <c r="G47" s="4595"/>
      <c r="H47" s="4595"/>
      <c r="I47" s="4595"/>
      <c r="J47" s="4595"/>
      <c r="K47" s="4595"/>
      <c r="L47" s="4595"/>
      <c r="M47" s="4595"/>
      <c r="N47" s="4595"/>
      <c r="O47" s="4595"/>
      <c r="P47" s="4595"/>
      <c r="Q47" s="4595"/>
      <c r="R47" s="4734"/>
      <c r="S47" s="4601">
        <f>+C47+0.01</f>
        <v>6.1899999999999995</v>
      </c>
      <c r="T47" s="4595"/>
      <c r="U47" s="4734"/>
      <c r="V47" s="1953">
        <f>+S47+0.01</f>
        <v>6.1999999999999993</v>
      </c>
      <c r="W47" s="1365">
        <f>+V47+0.01</f>
        <v>6.2099999999999991</v>
      </c>
      <c r="X47" s="4735">
        <f>+W47+0.01</f>
        <v>6.2199999999999989</v>
      </c>
      <c r="Y47" s="4736"/>
      <c r="Z47" s="4736"/>
      <c r="AA47" s="4736"/>
      <c r="AB47" s="4736"/>
      <c r="AC47" s="4736"/>
      <c r="AD47" s="4737"/>
      <c r="AE47" s="4735">
        <v>6.23</v>
      </c>
      <c r="AF47" s="4737"/>
      <c r="AG47" s="4735">
        <v>6.24</v>
      </c>
      <c r="AH47" s="4737"/>
    </row>
    <row r="48" spans="1:34" s="294" customFormat="1" ht="12" customHeight="1">
      <c r="A48" s="4730"/>
      <c r="B48" s="4731"/>
      <c r="C48" s="1108" t="s">
        <v>227</v>
      </c>
      <c r="D48" s="1109"/>
      <c r="E48" s="1109"/>
      <c r="F48" s="1109"/>
      <c r="G48" s="1109"/>
      <c r="H48" s="1109"/>
      <c r="I48" s="1109"/>
      <c r="J48" s="1109"/>
      <c r="K48" s="1109"/>
      <c r="L48" s="1109"/>
      <c r="M48" s="1109"/>
      <c r="N48" s="1109"/>
      <c r="O48" s="1109"/>
      <c r="P48" s="1109"/>
      <c r="Q48" s="1109"/>
      <c r="R48" s="1109"/>
      <c r="S48" s="4802" t="s">
        <v>672</v>
      </c>
      <c r="T48" s="4803"/>
      <c r="U48" s="4804"/>
      <c r="V48" s="4846" t="s">
        <v>1843</v>
      </c>
      <c r="W48" s="4848" t="s">
        <v>1700</v>
      </c>
      <c r="X48" s="4850" t="s">
        <v>1696</v>
      </c>
      <c r="Y48" s="4850"/>
      <c r="Z48" s="4850"/>
      <c r="AA48" s="4850"/>
      <c r="AB48" s="4850"/>
      <c r="AC48" s="4850"/>
      <c r="AD48" s="4834"/>
      <c r="AE48" s="4831" t="s">
        <v>1697</v>
      </c>
      <c r="AF48" s="4832"/>
      <c r="AG48" s="4831" t="s">
        <v>1270</v>
      </c>
      <c r="AH48" s="4832"/>
    </row>
    <row r="49" spans="1:34" s="294" customFormat="1" ht="12" customHeight="1">
      <c r="A49" s="4730"/>
      <c r="B49" s="4731"/>
      <c r="C49" s="4853" t="s">
        <v>1273</v>
      </c>
      <c r="D49" s="4854"/>
      <c r="E49" s="4854"/>
      <c r="F49" s="4854"/>
      <c r="G49" s="4854"/>
      <c r="H49" s="4854"/>
      <c r="I49" s="4854"/>
      <c r="J49" s="4854"/>
      <c r="K49" s="4854"/>
      <c r="L49" s="4854"/>
      <c r="M49" s="4854"/>
      <c r="N49" s="4854"/>
      <c r="O49" s="4854"/>
      <c r="P49" s="4854"/>
      <c r="Q49" s="4854"/>
      <c r="R49" s="4854"/>
      <c r="S49" s="1366" t="s">
        <v>673</v>
      </c>
      <c r="T49" s="418"/>
      <c r="U49" s="1977"/>
      <c r="V49" s="4847"/>
      <c r="W49" s="4849"/>
      <c r="X49" s="4850"/>
      <c r="Y49" s="4850"/>
      <c r="Z49" s="4850"/>
      <c r="AA49" s="4850"/>
      <c r="AB49" s="4850"/>
      <c r="AC49" s="4850"/>
      <c r="AD49" s="4834"/>
      <c r="AE49" s="4833"/>
      <c r="AF49" s="4834"/>
      <c r="AG49" s="4833"/>
      <c r="AH49" s="4834"/>
    </row>
    <row r="50" spans="1:34" s="294" customFormat="1" ht="12" customHeight="1">
      <c r="A50" s="4730"/>
      <c r="B50" s="4731"/>
      <c r="C50" s="4853"/>
      <c r="D50" s="4854"/>
      <c r="E50" s="4854"/>
      <c r="F50" s="4854"/>
      <c r="G50" s="4854"/>
      <c r="H50" s="4854"/>
      <c r="I50" s="4854"/>
      <c r="J50" s="4854"/>
      <c r="K50" s="4854"/>
      <c r="L50" s="4854"/>
      <c r="M50" s="4854"/>
      <c r="N50" s="4854"/>
      <c r="O50" s="4854"/>
      <c r="P50" s="4854"/>
      <c r="Q50" s="4854"/>
      <c r="R50" s="4854"/>
      <c r="S50" s="416"/>
      <c r="T50" s="2214" t="s">
        <v>1207</v>
      </c>
      <c r="U50" s="1978">
        <v>1</v>
      </c>
      <c r="V50" s="4847"/>
      <c r="W50" s="4849"/>
      <c r="X50" s="4851"/>
      <c r="Y50" s="4851"/>
      <c r="Z50" s="4851"/>
      <c r="AA50" s="4851"/>
      <c r="AB50" s="4851"/>
      <c r="AC50" s="4851"/>
      <c r="AD50" s="4852"/>
      <c r="AE50" s="4833"/>
      <c r="AF50" s="4834"/>
      <c r="AG50" s="4833"/>
      <c r="AH50" s="4834"/>
    </row>
    <row r="51" spans="1:34" s="294" customFormat="1" ht="13.5" customHeight="1">
      <c r="A51" s="4730"/>
      <c r="B51" s="4731"/>
      <c r="C51" s="4853"/>
      <c r="D51" s="4854"/>
      <c r="E51" s="4854"/>
      <c r="F51" s="4854"/>
      <c r="G51" s="4854"/>
      <c r="H51" s="4854"/>
      <c r="I51" s="4854"/>
      <c r="J51" s="4854"/>
      <c r="K51" s="4854"/>
      <c r="L51" s="4854"/>
      <c r="M51" s="4854"/>
      <c r="N51" s="4854"/>
      <c r="O51" s="4854"/>
      <c r="P51" s="4854"/>
      <c r="Q51" s="4854"/>
      <c r="R51" s="4854"/>
      <c r="S51" s="416"/>
      <c r="T51" s="2214" t="s">
        <v>999</v>
      </c>
      <c r="U51" s="1978">
        <v>2</v>
      </c>
      <c r="V51" s="4847"/>
      <c r="W51" s="4849"/>
      <c r="X51" s="4851"/>
      <c r="Y51" s="4851"/>
      <c r="Z51" s="4851"/>
      <c r="AA51" s="4851"/>
      <c r="AB51" s="4851"/>
      <c r="AC51" s="4851"/>
      <c r="AD51" s="4852"/>
      <c r="AE51" s="4833"/>
      <c r="AF51" s="4834"/>
      <c r="AG51" s="4833"/>
      <c r="AH51" s="4834"/>
    </row>
    <row r="52" spans="1:34" s="294" customFormat="1" ht="4.5" customHeight="1">
      <c r="A52" s="4730"/>
      <c r="B52" s="4731"/>
      <c r="C52" s="4745" t="s">
        <v>736</v>
      </c>
      <c r="D52" s="4746"/>
      <c r="E52" s="4746"/>
      <c r="F52" s="4746"/>
      <c r="G52" s="4746"/>
      <c r="H52" s="4746"/>
      <c r="I52" s="4746"/>
      <c r="J52" s="4746"/>
      <c r="K52" s="4746"/>
      <c r="L52" s="4746"/>
      <c r="M52" s="4746"/>
      <c r="N52" s="4746"/>
      <c r="O52" s="4746"/>
      <c r="P52" s="4746"/>
      <c r="Q52" s="4746"/>
      <c r="R52" s="4746"/>
      <c r="S52" s="416"/>
      <c r="T52" s="418"/>
      <c r="U52" s="1958"/>
      <c r="V52" s="4847"/>
      <c r="W52" s="4849"/>
      <c r="X52" s="952"/>
      <c r="Y52" s="952"/>
      <c r="Z52" s="952"/>
      <c r="AA52" s="952"/>
      <c r="AB52" s="952"/>
      <c r="AC52" s="952"/>
      <c r="AD52" s="953"/>
      <c r="AE52" s="4833"/>
      <c r="AF52" s="4834"/>
      <c r="AG52" s="4833"/>
      <c r="AH52" s="4834"/>
    </row>
    <row r="53" spans="1:34" s="294" customFormat="1" ht="12.75" customHeight="1">
      <c r="A53" s="1955"/>
      <c r="B53" s="4731"/>
      <c r="C53" s="4745"/>
      <c r="D53" s="4746"/>
      <c r="E53" s="4746"/>
      <c r="F53" s="4746"/>
      <c r="G53" s="4746"/>
      <c r="H53" s="4746"/>
      <c r="I53" s="4746"/>
      <c r="J53" s="4746"/>
      <c r="K53" s="4746"/>
      <c r="L53" s="4746"/>
      <c r="M53" s="4746"/>
      <c r="N53" s="4746"/>
      <c r="O53" s="4746"/>
      <c r="P53" s="4746"/>
      <c r="Q53" s="4746"/>
      <c r="R53" s="4746"/>
      <c r="S53" s="1366" t="s">
        <v>674</v>
      </c>
      <c r="T53" s="418"/>
      <c r="U53" s="902"/>
      <c r="V53" s="4847"/>
      <c r="W53" s="4849"/>
      <c r="X53" s="952"/>
      <c r="Y53" s="952"/>
      <c r="Z53" s="952"/>
      <c r="AA53" s="952"/>
      <c r="AB53" s="952"/>
      <c r="AC53" s="952"/>
      <c r="AD53" s="953"/>
      <c r="AE53" s="4833"/>
      <c r="AF53" s="4834"/>
      <c r="AG53" s="4833"/>
      <c r="AH53" s="4834"/>
    </row>
    <row r="54" spans="1:34" s="294" customFormat="1" ht="12.75" customHeight="1">
      <c r="A54" s="1955"/>
      <c r="B54" s="4731"/>
      <c r="C54" s="4745"/>
      <c r="D54" s="4746"/>
      <c r="E54" s="4746"/>
      <c r="F54" s="4746"/>
      <c r="G54" s="4746"/>
      <c r="H54" s="4746"/>
      <c r="I54" s="4746"/>
      <c r="J54" s="4746"/>
      <c r="K54" s="4746"/>
      <c r="L54" s="4746"/>
      <c r="M54" s="4746"/>
      <c r="N54" s="4746"/>
      <c r="O54" s="4746"/>
      <c r="P54" s="4746"/>
      <c r="Q54" s="4746"/>
      <c r="R54" s="4746"/>
      <c r="S54" s="1972"/>
      <c r="T54" s="4855" t="s">
        <v>1000</v>
      </c>
      <c r="U54" s="1979">
        <v>3</v>
      </c>
      <c r="V54" s="4847"/>
      <c r="W54" s="4849"/>
      <c r="X54" s="952"/>
      <c r="Y54" s="952"/>
      <c r="Z54" s="952"/>
      <c r="AA54" s="952"/>
      <c r="AB54" s="952"/>
      <c r="AC54" s="952"/>
      <c r="AD54" s="953"/>
      <c r="AE54" s="1986"/>
      <c r="AF54" s="1984"/>
      <c r="AG54" s="1987" t="s">
        <v>1265</v>
      </c>
      <c r="AH54" s="2058" t="s">
        <v>1272</v>
      </c>
    </row>
    <row r="55" spans="1:34" s="294" customFormat="1" ht="12.75" customHeight="1">
      <c r="A55" s="4749" t="s">
        <v>1267</v>
      </c>
      <c r="B55" s="4731"/>
      <c r="C55" s="4745"/>
      <c r="D55" s="4746"/>
      <c r="E55" s="4746"/>
      <c r="F55" s="4746"/>
      <c r="G55" s="4746"/>
      <c r="H55" s="4746"/>
      <c r="I55" s="4746"/>
      <c r="J55" s="4746"/>
      <c r="K55" s="4746"/>
      <c r="L55" s="4746"/>
      <c r="M55" s="4746"/>
      <c r="N55" s="4746"/>
      <c r="O55" s="4746"/>
      <c r="P55" s="4746"/>
      <c r="Q55" s="4746"/>
      <c r="R55" s="4746"/>
      <c r="S55" s="1973"/>
      <c r="T55" s="4856"/>
      <c r="U55" s="1980"/>
      <c r="V55" s="4847"/>
      <c r="W55" s="956"/>
      <c r="X55" s="4812" t="s">
        <v>228</v>
      </c>
      <c r="Y55" s="4812"/>
      <c r="Z55" s="4812"/>
      <c r="AA55" s="4812"/>
      <c r="AB55" s="4812"/>
      <c r="AC55" s="4812"/>
      <c r="AD55" s="4813"/>
      <c r="AE55" s="1992"/>
      <c r="AF55" s="1985"/>
      <c r="AG55" s="1987" t="s">
        <v>1271</v>
      </c>
      <c r="AH55" s="4844" t="s">
        <v>1264</v>
      </c>
    </row>
    <row r="56" spans="1:34" s="294" customFormat="1" ht="12.75" customHeight="1">
      <c r="A56" s="4749"/>
      <c r="B56" s="4731"/>
      <c r="C56" s="4754" t="s">
        <v>229</v>
      </c>
      <c r="D56" s="4755"/>
      <c r="E56" s="4755"/>
      <c r="F56" s="4755"/>
      <c r="G56" s="4755"/>
      <c r="H56" s="4755"/>
      <c r="I56" s="4755"/>
      <c r="J56" s="4755"/>
      <c r="K56" s="4755"/>
      <c r="L56" s="4755"/>
      <c r="M56" s="4755"/>
      <c r="N56" s="4755"/>
      <c r="O56" s="4755"/>
      <c r="P56" s="4755"/>
      <c r="Q56" s="4755"/>
      <c r="R56" s="4755"/>
      <c r="S56" s="1513"/>
      <c r="T56" s="2215" t="s">
        <v>1001</v>
      </c>
      <c r="U56" s="1981">
        <v>4</v>
      </c>
      <c r="V56" s="4847"/>
      <c r="W56" s="1983" t="s">
        <v>1265</v>
      </c>
      <c r="X56" s="4756"/>
      <c r="Y56" s="4757"/>
      <c r="Z56" s="4757"/>
      <c r="AA56" s="4757"/>
      <c r="AB56" s="4757"/>
      <c r="AC56" s="4757"/>
      <c r="AD56" s="4758"/>
      <c r="AE56" s="4821" t="s">
        <v>862</v>
      </c>
      <c r="AF56" s="4816" t="s">
        <v>1269</v>
      </c>
      <c r="AG56" s="1988"/>
      <c r="AH56" s="4845"/>
    </row>
    <row r="57" spans="1:34" s="294" customFormat="1" ht="8.25" customHeight="1">
      <c r="A57" s="4749"/>
      <c r="B57" s="4731"/>
      <c r="C57" s="4754"/>
      <c r="D57" s="4755"/>
      <c r="E57" s="4755"/>
      <c r="F57" s="4755"/>
      <c r="G57" s="4755"/>
      <c r="H57" s="4755"/>
      <c r="I57" s="4755"/>
      <c r="J57" s="4755"/>
      <c r="K57" s="4755"/>
      <c r="L57" s="4755"/>
      <c r="M57" s="4755"/>
      <c r="N57" s="4755"/>
      <c r="O57" s="4755"/>
      <c r="P57" s="4755"/>
      <c r="Q57" s="4755"/>
      <c r="R57" s="4755"/>
      <c r="S57" s="1514"/>
      <c r="T57" s="2216"/>
      <c r="U57" s="1982"/>
      <c r="V57" s="4847"/>
      <c r="W57" s="4819" t="s">
        <v>1268</v>
      </c>
      <c r="X57" s="1956"/>
      <c r="Y57" s="1956"/>
      <c r="Z57" s="1956"/>
      <c r="AA57" s="1956"/>
      <c r="AB57" s="1956"/>
      <c r="AC57" s="1956"/>
      <c r="AD57" s="1957"/>
      <c r="AE57" s="4822"/>
      <c r="AF57" s="4817"/>
      <c r="AG57" s="4821" t="s">
        <v>1578</v>
      </c>
      <c r="AH57" s="4835"/>
    </row>
    <row r="58" spans="1:34" s="294" customFormat="1" ht="17.25" customHeight="1">
      <c r="A58" s="4750"/>
      <c r="B58" s="4731"/>
      <c r="C58" s="1110"/>
      <c r="D58" s="1362" t="s">
        <v>223</v>
      </c>
      <c r="E58" s="1362"/>
      <c r="F58" s="1362"/>
      <c r="G58" s="1362"/>
      <c r="H58" s="1362">
        <v>13</v>
      </c>
      <c r="I58" s="1111"/>
      <c r="J58" s="1362" t="s">
        <v>225</v>
      </c>
      <c r="K58" s="1362"/>
      <c r="L58" s="1362"/>
      <c r="M58" s="1362"/>
      <c r="N58" s="1362"/>
      <c r="O58" s="1363">
        <v>16</v>
      </c>
      <c r="P58" s="1364"/>
      <c r="Q58" s="4857" t="s">
        <v>1266</v>
      </c>
      <c r="R58" s="4858"/>
      <c r="S58" s="1975"/>
      <c r="T58" s="4763" t="s">
        <v>1002</v>
      </c>
      <c r="U58" s="4776">
        <v>5</v>
      </c>
      <c r="V58" s="1112"/>
      <c r="W58" s="4820"/>
      <c r="X58" s="954"/>
      <c r="Y58" s="954"/>
      <c r="Z58" s="954"/>
      <c r="AA58" s="954"/>
      <c r="AB58" s="954"/>
      <c r="AC58" s="954"/>
      <c r="AD58" s="955"/>
      <c r="AE58" s="4823"/>
      <c r="AF58" s="4818"/>
      <c r="AG58" s="4822"/>
      <c r="AH58" s="4836"/>
    </row>
    <row r="59" spans="1:34" s="294" customFormat="1" ht="12.75" customHeight="1">
      <c r="A59" s="4750"/>
      <c r="B59" s="4732"/>
      <c r="C59" s="1110"/>
      <c r="D59" s="1362" t="s">
        <v>224</v>
      </c>
      <c r="E59" s="1362"/>
      <c r="F59" s="1362"/>
      <c r="G59" s="1362"/>
      <c r="H59" s="1362">
        <v>14</v>
      </c>
      <c r="I59" s="1111"/>
      <c r="J59" s="1362" t="s">
        <v>226</v>
      </c>
      <c r="K59" s="1362"/>
      <c r="L59" s="1362"/>
      <c r="M59" s="1362"/>
      <c r="N59" s="1362"/>
      <c r="O59" s="1363">
        <v>17</v>
      </c>
      <c r="P59" s="1364"/>
      <c r="Q59" s="4859"/>
      <c r="R59" s="4860"/>
      <c r="S59" s="1976"/>
      <c r="T59" s="4764"/>
      <c r="U59" s="4780"/>
      <c r="V59" s="1112"/>
      <c r="W59" s="1971"/>
      <c r="X59" s="4826" t="s">
        <v>230</v>
      </c>
      <c r="Y59" s="4765" t="s">
        <v>231</v>
      </c>
      <c r="Z59" s="4765" t="s">
        <v>232</v>
      </c>
      <c r="AA59" s="4765" t="s">
        <v>233</v>
      </c>
      <c r="AB59" s="4765" t="s">
        <v>234</v>
      </c>
      <c r="AC59" s="4765" t="s">
        <v>235</v>
      </c>
      <c r="AD59" s="4768" t="s">
        <v>236</v>
      </c>
      <c r="AE59" s="1987" t="s">
        <v>863</v>
      </c>
      <c r="AF59" s="1989">
        <v>2</v>
      </c>
      <c r="AG59" s="4822"/>
      <c r="AH59" s="4836"/>
    </row>
    <row r="60" spans="1:34" s="294" customFormat="1" ht="12.75" customHeight="1">
      <c r="A60" s="4750"/>
      <c r="B60" s="4732"/>
      <c r="C60" s="1113"/>
      <c r="D60" s="1362" t="s">
        <v>23</v>
      </c>
      <c r="E60" s="1362"/>
      <c r="F60" s="1362"/>
      <c r="G60" s="1362"/>
      <c r="H60" s="1362">
        <v>15</v>
      </c>
      <c r="I60" s="1363"/>
      <c r="J60" s="1363"/>
      <c r="K60" s="1114"/>
      <c r="L60" s="1114"/>
      <c r="M60" s="1114"/>
      <c r="N60" s="1114"/>
      <c r="O60" s="1115"/>
      <c r="P60" s="4771" t="s">
        <v>237</v>
      </c>
      <c r="Q60" s="4772"/>
      <c r="R60" s="4772"/>
      <c r="S60" s="1975"/>
      <c r="T60" s="4763" t="s">
        <v>1003</v>
      </c>
      <c r="U60" s="4776">
        <v>6</v>
      </c>
      <c r="V60" s="1112"/>
      <c r="W60" s="1971"/>
      <c r="X60" s="4827"/>
      <c r="Y60" s="4766"/>
      <c r="Z60" s="4766"/>
      <c r="AA60" s="4766"/>
      <c r="AB60" s="4829"/>
      <c r="AC60" s="4766"/>
      <c r="AD60" s="4769"/>
      <c r="AE60" s="2059"/>
      <c r="AF60" s="1989"/>
      <c r="AG60" s="4822"/>
      <c r="AH60" s="4836"/>
    </row>
    <row r="61" spans="1:34" s="294" customFormat="1" ht="12.75" customHeight="1" thickBot="1">
      <c r="A61" s="4751"/>
      <c r="B61" s="4733"/>
      <c r="C61" s="4778" t="s">
        <v>44</v>
      </c>
      <c r="D61" s="4779"/>
      <c r="E61" s="4779"/>
      <c r="F61" s="4779"/>
      <c r="G61" s="4779"/>
      <c r="H61" s="4779"/>
      <c r="I61" s="4779"/>
      <c r="J61" s="4779"/>
      <c r="K61" s="4779"/>
      <c r="L61" s="4779"/>
      <c r="M61" s="4779"/>
      <c r="N61" s="4779"/>
      <c r="O61" s="4779"/>
      <c r="P61" s="4773"/>
      <c r="Q61" s="4774"/>
      <c r="R61" s="4774"/>
      <c r="S61" s="880"/>
      <c r="T61" s="4775"/>
      <c r="U61" s="4777"/>
      <c r="V61" s="1116"/>
      <c r="W61" s="1954"/>
      <c r="X61" s="4828"/>
      <c r="Y61" s="4767"/>
      <c r="Z61" s="4767"/>
      <c r="AA61" s="4767"/>
      <c r="AB61" s="4830"/>
      <c r="AC61" s="4767"/>
      <c r="AD61" s="4770"/>
      <c r="AE61" s="1990"/>
      <c r="AF61" s="1991"/>
      <c r="AG61" s="4837"/>
      <c r="AH61" s="4838"/>
    </row>
    <row r="62" spans="1:34" s="294" customFormat="1" ht="15" customHeight="1">
      <c r="A62" s="4781"/>
      <c r="B62" s="882">
        <v>1</v>
      </c>
      <c r="C62" s="4784"/>
      <c r="D62" s="4785"/>
      <c r="E62" s="299"/>
      <c r="F62" s="299"/>
      <c r="G62" s="299"/>
      <c r="H62" s="299"/>
      <c r="I62" s="299"/>
      <c r="J62" s="299"/>
      <c r="K62" s="299"/>
      <c r="L62" s="299"/>
      <c r="M62" s="299"/>
      <c r="N62" s="299"/>
      <c r="O62" s="299"/>
      <c r="P62" s="4786"/>
      <c r="Q62" s="4787"/>
      <c r="R62" s="4787"/>
      <c r="S62" s="4784"/>
      <c r="T62" s="4785"/>
      <c r="U62" s="1961"/>
      <c r="V62" s="881"/>
      <c r="W62" s="881"/>
      <c r="X62" s="881"/>
      <c r="Y62" s="873"/>
      <c r="Z62" s="873"/>
      <c r="AA62" s="873"/>
      <c r="AB62" s="873"/>
      <c r="AC62" s="873"/>
      <c r="AD62" s="883"/>
      <c r="AE62" s="4814"/>
      <c r="AF62" s="4815"/>
      <c r="AG62" s="4814"/>
      <c r="AH62" s="4815"/>
    </row>
    <row r="63" spans="1:34" s="294" customFormat="1" ht="15" customHeight="1">
      <c r="A63" s="4782"/>
      <c r="B63" s="303">
        <v>2</v>
      </c>
      <c r="C63" s="4788"/>
      <c r="D63" s="4789"/>
      <c r="E63" s="304"/>
      <c r="F63" s="304"/>
      <c r="G63" s="304"/>
      <c r="H63" s="304"/>
      <c r="I63" s="304"/>
      <c r="J63" s="304"/>
      <c r="K63" s="304"/>
      <c r="L63" s="304"/>
      <c r="M63" s="304"/>
      <c r="N63" s="304"/>
      <c r="O63" s="304"/>
      <c r="P63" s="4790"/>
      <c r="Q63" s="4791"/>
      <c r="R63" s="4791"/>
      <c r="S63" s="4788"/>
      <c r="T63" s="4789"/>
      <c r="U63" s="1962"/>
      <c r="V63" s="306"/>
      <c r="W63" s="306"/>
      <c r="X63" s="306"/>
      <c r="Y63" s="305"/>
      <c r="Z63" s="305"/>
      <c r="AA63" s="305"/>
      <c r="AB63" s="305"/>
      <c r="AC63" s="305"/>
      <c r="AD63" s="307"/>
      <c r="AE63" s="4808"/>
      <c r="AF63" s="4809"/>
      <c r="AG63" s="4808"/>
      <c r="AH63" s="4809"/>
    </row>
    <row r="64" spans="1:34" s="294" customFormat="1" ht="15" customHeight="1">
      <c r="A64" s="4782"/>
      <c r="B64" s="303">
        <v>3</v>
      </c>
      <c r="C64" s="4788"/>
      <c r="D64" s="4789"/>
      <c r="E64" s="304"/>
      <c r="F64" s="304"/>
      <c r="G64" s="304"/>
      <c r="H64" s="304"/>
      <c r="I64" s="304"/>
      <c r="J64" s="304"/>
      <c r="K64" s="304"/>
      <c r="L64" s="304"/>
      <c r="M64" s="304"/>
      <c r="N64" s="304"/>
      <c r="O64" s="304"/>
      <c r="P64" s="4790"/>
      <c r="Q64" s="4791"/>
      <c r="R64" s="4791"/>
      <c r="S64" s="4788"/>
      <c r="T64" s="4789"/>
      <c r="U64" s="1962"/>
      <c r="V64" s="306"/>
      <c r="W64" s="306"/>
      <c r="X64" s="306"/>
      <c r="Y64" s="305"/>
      <c r="Z64" s="305"/>
      <c r="AA64" s="305"/>
      <c r="AB64" s="305"/>
      <c r="AC64" s="305"/>
      <c r="AD64" s="307"/>
      <c r="AE64" s="4808"/>
      <c r="AF64" s="4809"/>
      <c r="AG64" s="4808"/>
      <c r="AH64" s="4809"/>
    </row>
    <row r="65" spans="1:34" s="294" customFormat="1" ht="15" customHeight="1" thickBot="1">
      <c r="A65" s="4783"/>
      <c r="B65" s="308">
        <v>4</v>
      </c>
      <c r="C65" s="4792"/>
      <c r="D65" s="4793"/>
      <c r="E65" s="309"/>
      <c r="F65" s="309"/>
      <c r="G65" s="309"/>
      <c r="H65" s="309"/>
      <c r="I65" s="309"/>
      <c r="J65" s="309"/>
      <c r="K65" s="309"/>
      <c r="L65" s="309"/>
      <c r="M65" s="309"/>
      <c r="N65" s="309"/>
      <c r="O65" s="309"/>
      <c r="P65" s="4794"/>
      <c r="Q65" s="4795"/>
      <c r="R65" s="4795"/>
      <c r="S65" s="4792"/>
      <c r="T65" s="4793"/>
      <c r="U65" s="1963"/>
      <c r="V65" s="311"/>
      <c r="W65" s="311"/>
      <c r="X65" s="311"/>
      <c r="Y65" s="310"/>
      <c r="Z65" s="310"/>
      <c r="AA65" s="310"/>
      <c r="AB65" s="310"/>
      <c r="AC65" s="310"/>
      <c r="AD65" s="312"/>
      <c r="AE65" s="4810"/>
      <c r="AF65" s="4811"/>
      <c r="AG65" s="4810"/>
      <c r="AH65" s="4811"/>
    </row>
    <row r="66" spans="1:34" s="294" customFormat="1" ht="5.0999999999999996" customHeight="1" thickBot="1">
      <c r="A66" s="313"/>
      <c r="B66" s="314"/>
      <c r="C66" s="315"/>
      <c r="D66" s="315"/>
      <c r="E66" s="315"/>
      <c r="F66" s="315"/>
      <c r="G66" s="315"/>
      <c r="H66" s="316"/>
      <c r="I66" s="316"/>
      <c r="J66" s="316"/>
      <c r="K66" s="316"/>
      <c r="L66" s="316"/>
      <c r="M66" s="316"/>
      <c r="N66" s="316"/>
      <c r="O66" s="316"/>
      <c r="P66" s="316"/>
      <c r="Q66" s="316"/>
      <c r="R66" s="316"/>
      <c r="S66" s="878"/>
      <c r="T66" s="315"/>
      <c r="U66" s="1959"/>
      <c r="V66" s="317"/>
      <c r="W66" s="317"/>
      <c r="X66" s="317"/>
      <c r="Y66" s="317"/>
      <c r="Z66" s="317"/>
      <c r="AA66" s="317"/>
      <c r="AB66" s="317"/>
      <c r="AC66" s="317"/>
      <c r="AD66" s="317"/>
      <c r="AE66" s="315"/>
      <c r="AF66" s="1959"/>
      <c r="AG66" s="315"/>
      <c r="AH66" s="1959"/>
    </row>
    <row r="67" spans="1:34" s="294" customFormat="1" ht="15" customHeight="1">
      <c r="A67" s="4799"/>
      <c r="B67" s="298">
        <v>1</v>
      </c>
      <c r="C67" s="4800"/>
      <c r="D67" s="4785"/>
      <c r="E67" s="299"/>
      <c r="F67" s="299"/>
      <c r="G67" s="299"/>
      <c r="H67" s="299"/>
      <c r="I67" s="299"/>
      <c r="J67" s="299"/>
      <c r="K67" s="299"/>
      <c r="L67" s="299"/>
      <c r="M67" s="299"/>
      <c r="N67" s="299"/>
      <c r="O67" s="299"/>
      <c r="P67" s="4796"/>
      <c r="Q67" s="4797"/>
      <c r="R67" s="4797"/>
      <c r="S67" s="4784"/>
      <c r="T67" s="4785"/>
      <c r="U67" s="1961"/>
      <c r="V67" s="301"/>
      <c r="W67" s="301"/>
      <c r="X67" s="300"/>
      <c r="Y67" s="300"/>
      <c r="Z67" s="300"/>
      <c r="AA67" s="300"/>
      <c r="AB67" s="300"/>
      <c r="AC67" s="300"/>
      <c r="AD67" s="302"/>
      <c r="AE67" s="4814"/>
      <c r="AF67" s="4815"/>
      <c r="AG67" s="4814"/>
      <c r="AH67" s="4815"/>
    </row>
    <row r="68" spans="1:34" s="294" customFormat="1" ht="15" customHeight="1">
      <c r="A68" s="4782"/>
      <c r="B68" s="303">
        <v>2</v>
      </c>
      <c r="C68" s="4798"/>
      <c r="D68" s="4789"/>
      <c r="E68" s="304"/>
      <c r="F68" s="304"/>
      <c r="G68" s="304"/>
      <c r="H68" s="304"/>
      <c r="I68" s="304"/>
      <c r="J68" s="304"/>
      <c r="K68" s="304"/>
      <c r="L68" s="304"/>
      <c r="M68" s="304"/>
      <c r="N68" s="304"/>
      <c r="O68" s="304"/>
      <c r="P68" s="4790"/>
      <c r="Q68" s="4791"/>
      <c r="R68" s="4791"/>
      <c r="S68" s="4788"/>
      <c r="T68" s="4789"/>
      <c r="U68" s="1962"/>
      <c r="V68" s="306"/>
      <c r="W68" s="306"/>
      <c r="X68" s="305"/>
      <c r="Y68" s="305"/>
      <c r="Z68" s="305"/>
      <c r="AA68" s="305"/>
      <c r="AB68" s="305"/>
      <c r="AC68" s="305"/>
      <c r="AD68" s="307"/>
      <c r="AE68" s="4808"/>
      <c r="AF68" s="4809"/>
      <c r="AG68" s="4808"/>
      <c r="AH68" s="4809"/>
    </row>
    <row r="69" spans="1:34" s="294" customFormat="1" ht="15" customHeight="1">
      <c r="A69" s="4782"/>
      <c r="B69" s="303">
        <v>3</v>
      </c>
      <c r="C69" s="4798"/>
      <c r="D69" s="4789"/>
      <c r="E69" s="304"/>
      <c r="F69" s="304"/>
      <c r="G69" s="304"/>
      <c r="H69" s="304"/>
      <c r="I69" s="304"/>
      <c r="J69" s="304"/>
      <c r="K69" s="304"/>
      <c r="L69" s="304"/>
      <c r="M69" s="304"/>
      <c r="N69" s="304"/>
      <c r="O69" s="304"/>
      <c r="P69" s="4790"/>
      <c r="Q69" s="4791"/>
      <c r="R69" s="4791"/>
      <c r="S69" s="4788"/>
      <c r="T69" s="4789"/>
      <c r="U69" s="1962"/>
      <c r="V69" s="306"/>
      <c r="W69" s="306"/>
      <c r="X69" s="305"/>
      <c r="Y69" s="305"/>
      <c r="Z69" s="305"/>
      <c r="AA69" s="305"/>
      <c r="AB69" s="305"/>
      <c r="AC69" s="305"/>
      <c r="AD69" s="307"/>
      <c r="AE69" s="4808"/>
      <c r="AF69" s="4809"/>
      <c r="AG69" s="4808"/>
      <c r="AH69" s="4809"/>
    </row>
    <row r="70" spans="1:34" s="294" customFormat="1" ht="15" customHeight="1" thickBot="1">
      <c r="A70" s="4783"/>
      <c r="B70" s="308">
        <v>4</v>
      </c>
      <c r="C70" s="4801"/>
      <c r="D70" s="4793"/>
      <c r="E70" s="309"/>
      <c r="F70" s="309"/>
      <c r="G70" s="309"/>
      <c r="H70" s="309"/>
      <c r="I70" s="309"/>
      <c r="J70" s="309"/>
      <c r="K70" s="309"/>
      <c r="L70" s="309"/>
      <c r="M70" s="309"/>
      <c r="N70" s="309"/>
      <c r="O70" s="309"/>
      <c r="P70" s="4794"/>
      <c r="Q70" s="4795"/>
      <c r="R70" s="4795"/>
      <c r="S70" s="4792"/>
      <c r="T70" s="4793"/>
      <c r="U70" s="1963"/>
      <c r="V70" s="311"/>
      <c r="W70" s="311"/>
      <c r="X70" s="310"/>
      <c r="Y70" s="310"/>
      <c r="Z70" s="310"/>
      <c r="AA70" s="310"/>
      <c r="AB70" s="310"/>
      <c r="AC70" s="310"/>
      <c r="AD70" s="312"/>
      <c r="AE70" s="4810"/>
      <c r="AF70" s="4811"/>
      <c r="AG70" s="4810"/>
      <c r="AH70" s="4811"/>
    </row>
    <row r="71" spans="1:34" s="294" customFormat="1" ht="5.0999999999999996" customHeight="1" thickBot="1">
      <c r="A71" s="313"/>
      <c r="B71" s="314"/>
      <c r="C71" s="315"/>
      <c r="D71" s="315"/>
      <c r="E71" s="315"/>
      <c r="F71" s="315"/>
      <c r="G71" s="315"/>
      <c r="H71" s="316"/>
      <c r="I71" s="316"/>
      <c r="J71" s="316"/>
      <c r="K71" s="316"/>
      <c r="L71" s="316"/>
      <c r="M71" s="316"/>
      <c r="N71" s="316"/>
      <c r="O71" s="316"/>
      <c r="P71" s="316"/>
      <c r="Q71" s="316"/>
      <c r="R71" s="316"/>
      <c r="S71" s="878"/>
      <c r="T71" s="315"/>
      <c r="U71" s="1959"/>
      <c r="V71" s="317"/>
      <c r="W71" s="317"/>
      <c r="X71" s="317"/>
      <c r="Y71" s="317"/>
      <c r="Z71" s="317"/>
      <c r="AA71" s="317"/>
      <c r="AB71" s="317"/>
      <c r="AC71" s="317"/>
      <c r="AD71" s="317"/>
      <c r="AE71" s="315"/>
      <c r="AF71" s="1959"/>
      <c r="AG71" s="315"/>
      <c r="AH71" s="1959"/>
    </row>
    <row r="72" spans="1:34" s="294" customFormat="1" ht="15" customHeight="1">
      <c r="A72" s="4799"/>
      <c r="B72" s="298">
        <v>1</v>
      </c>
      <c r="C72" s="4800"/>
      <c r="D72" s="4785"/>
      <c r="E72" s="299"/>
      <c r="F72" s="299"/>
      <c r="G72" s="299"/>
      <c r="H72" s="299"/>
      <c r="I72" s="299"/>
      <c r="J72" s="299"/>
      <c r="K72" s="299"/>
      <c r="L72" s="299"/>
      <c r="M72" s="299"/>
      <c r="N72" s="299"/>
      <c r="O72" s="299"/>
      <c r="P72" s="4796"/>
      <c r="Q72" s="4797"/>
      <c r="R72" s="4797"/>
      <c r="S72" s="4784"/>
      <c r="T72" s="4785"/>
      <c r="U72" s="1961"/>
      <c r="V72" s="300"/>
      <c r="W72" s="300"/>
      <c r="X72" s="300"/>
      <c r="Y72" s="300"/>
      <c r="Z72" s="300"/>
      <c r="AA72" s="300"/>
      <c r="AB72" s="300"/>
      <c r="AC72" s="300"/>
      <c r="AD72" s="302"/>
      <c r="AE72" s="4814"/>
      <c r="AF72" s="4815"/>
      <c r="AG72" s="4814"/>
      <c r="AH72" s="4815"/>
    </row>
    <row r="73" spans="1:34" s="294" customFormat="1" ht="15" customHeight="1">
      <c r="A73" s="4782"/>
      <c r="B73" s="303">
        <v>2</v>
      </c>
      <c r="C73" s="4798"/>
      <c r="D73" s="4789"/>
      <c r="E73" s="304"/>
      <c r="F73" s="304"/>
      <c r="G73" s="304"/>
      <c r="H73" s="304"/>
      <c r="I73" s="304"/>
      <c r="J73" s="304"/>
      <c r="K73" s="304"/>
      <c r="L73" s="304"/>
      <c r="M73" s="304"/>
      <c r="N73" s="304"/>
      <c r="O73" s="304"/>
      <c r="P73" s="4790"/>
      <c r="Q73" s="4791"/>
      <c r="R73" s="4791"/>
      <c r="S73" s="4788"/>
      <c r="T73" s="4789"/>
      <c r="U73" s="1962"/>
      <c r="V73" s="305"/>
      <c r="W73" s="305"/>
      <c r="X73" s="305"/>
      <c r="Y73" s="305"/>
      <c r="Z73" s="305"/>
      <c r="AA73" s="305"/>
      <c r="AB73" s="305"/>
      <c r="AC73" s="305"/>
      <c r="AD73" s="307"/>
      <c r="AE73" s="4808"/>
      <c r="AF73" s="4809"/>
      <c r="AG73" s="4808"/>
      <c r="AH73" s="4809"/>
    </row>
    <row r="74" spans="1:34" s="294" customFormat="1" ht="15" customHeight="1">
      <c r="A74" s="4782"/>
      <c r="B74" s="303">
        <v>3</v>
      </c>
      <c r="C74" s="4798"/>
      <c r="D74" s="4789"/>
      <c r="E74" s="304"/>
      <c r="F74" s="304"/>
      <c r="G74" s="304"/>
      <c r="H74" s="304"/>
      <c r="I74" s="304"/>
      <c r="J74" s="304"/>
      <c r="K74" s="304"/>
      <c r="L74" s="304"/>
      <c r="M74" s="304"/>
      <c r="N74" s="304"/>
      <c r="O74" s="304"/>
      <c r="P74" s="4790"/>
      <c r="Q74" s="4791"/>
      <c r="R74" s="4791"/>
      <c r="S74" s="4788"/>
      <c r="T74" s="4789"/>
      <c r="U74" s="1962"/>
      <c r="V74" s="305"/>
      <c r="W74" s="305"/>
      <c r="X74" s="305"/>
      <c r="Y74" s="305"/>
      <c r="Z74" s="305"/>
      <c r="AA74" s="305"/>
      <c r="AB74" s="305"/>
      <c r="AC74" s="305"/>
      <c r="AD74" s="307"/>
      <c r="AE74" s="4808"/>
      <c r="AF74" s="4809"/>
      <c r="AG74" s="4808"/>
      <c r="AH74" s="4809"/>
    </row>
    <row r="75" spans="1:34" s="294" customFormat="1" ht="15" customHeight="1" thickBot="1">
      <c r="A75" s="4783"/>
      <c r="B75" s="308">
        <v>4</v>
      </c>
      <c r="C75" s="4801"/>
      <c r="D75" s="4793"/>
      <c r="E75" s="309"/>
      <c r="F75" s="309"/>
      <c r="G75" s="309"/>
      <c r="H75" s="309"/>
      <c r="I75" s="309"/>
      <c r="J75" s="309"/>
      <c r="K75" s="309"/>
      <c r="L75" s="309"/>
      <c r="M75" s="309"/>
      <c r="N75" s="309"/>
      <c r="O75" s="309"/>
      <c r="P75" s="4794"/>
      <c r="Q75" s="4795"/>
      <c r="R75" s="4795"/>
      <c r="S75" s="4792"/>
      <c r="T75" s="4793"/>
      <c r="U75" s="1963"/>
      <c r="V75" s="310"/>
      <c r="W75" s="310"/>
      <c r="X75" s="310"/>
      <c r="Y75" s="310"/>
      <c r="Z75" s="310"/>
      <c r="AA75" s="310"/>
      <c r="AB75" s="310"/>
      <c r="AC75" s="310"/>
      <c r="AD75" s="312"/>
      <c r="AE75" s="4810"/>
      <c r="AF75" s="4811"/>
      <c r="AG75" s="4810"/>
      <c r="AH75" s="4811"/>
    </row>
    <row r="76" spans="1:34" s="294" customFormat="1" ht="5.0999999999999996" customHeight="1" thickBot="1">
      <c r="A76" s="313"/>
      <c r="B76" s="314"/>
      <c r="C76" s="318"/>
      <c r="D76" s="318"/>
      <c r="E76" s="318"/>
      <c r="F76" s="318"/>
      <c r="G76" s="318"/>
      <c r="H76" s="319"/>
      <c r="I76" s="319"/>
      <c r="J76" s="319"/>
      <c r="K76" s="319"/>
      <c r="L76" s="319"/>
      <c r="M76" s="319"/>
      <c r="N76" s="319"/>
      <c r="O76" s="319"/>
      <c r="P76" s="319"/>
      <c r="Q76" s="319"/>
      <c r="R76" s="319"/>
      <c r="S76" s="879"/>
      <c r="T76" s="318"/>
      <c r="U76" s="1960"/>
      <c r="V76" s="317"/>
      <c r="W76" s="317"/>
      <c r="X76" s="317"/>
      <c r="Y76" s="317"/>
      <c r="Z76" s="317"/>
      <c r="AA76" s="317"/>
      <c r="AB76" s="317"/>
      <c r="AC76" s="317"/>
      <c r="AD76" s="317"/>
      <c r="AE76" s="318"/>
      <c r="AF76" s="1960"/>
      <c r="AG76" s="318"/>
      <c r="AH76" s="1960"/>
    </row>
    <row r="77" spans="1:34" s="294" customFormat="1" ht="15" customHeight="1">
      <c r="A77" s="4799"/>
      <c r="B77" s="320">
        <v>1</v>
      </c>
      <c r="C77" s="4807"/>
      <c r="D77" s="4806"/>
      <c r="E77" s="321"/>
      <c r="F77" s="321"/>
      <c r="G77" s="321"/>
      <c r="H77" s="321"/>
      <c r="I77" s="321"/>
      <c r="J77" s="321"/>
      <c r="K77" s="321"/>
      <c r="L77" s="321"/>
      <c r="M77" s="321"/>
      <c r="N77" s="321"/>
      <c r="O77" s="321"/>
      <c r="P77" s="4796"/>
      <c r="Q77" s="4797"/>
      <c r="R77" s="4797"/>
      <c r="S77" s="4805"/>
      <c r="T77" s="4806"/>
      <c r="U77" s="1964"/>
      <c r="V77" s="300"/>
      <c r="W77" s="300"/>
      <c r="X77" s="300"/>
      <c r="Y77" s="300"/>
      <c r="Z77" s="300"/>
      <c r="AA77" s="300"/>
      <c r="AB77" s="300"/>
      <c r="AC77" s="300"/>
      <c r="AD77" s="302"/>
      <c r="AE77" s="4814"/>
      <c r="AF77" s="4815"/>
      <c r="AG77" s="4814"/>
      <c r="AH77" s="4815"/>
    </row>
    <row r="78" spans="1:34" s="294" customFormat="1" ht="15" customHeight="1">
      <c r="A78" s="4782"/>
      <c r="B78" s="322">
        <v>2</v>
      </c>
      <c r="C78" s="4798"/>
      <c r="D78" s="4789"/>
      <c r="E78" s="304"/>
      <c r="F78" s="304"/>
      <c r="G78" s="304"/>
      <c r="H78" s="304"/>
      <c r="I78" s="304"/>
      <c r="J78" s="304"/>
      <c r="K78" s="304"/>
      <c r="L78" s="304"/>
      <c r="M78" s="304"/>
      <c r="N78" s="304"/>
      <c r="O78" s="304"/>
      <c r="P78" s="4790"/>
      <c r="Q78" s="4791"/>
      <c r="R78" s="4791"/>
      <c r="S78" s="4788"/>
      <c r="T78" s="4789"/>
      <c r="U78" s="1962"/>
      <c r="V78" s="305"/>
      <c r="W78" s="305"/>
      <c r="X78" s="305"/>
      <c r="Y78" s="305"/>
      <c r="Z78" s="305"/>
      <c r="AA78" s="305"/>
      <c r="AB78" s="305"/>
      <c r="AC78" s="305"/>
      <c r="AD78" s="307"/>
      <c r="AE78" s="4808"/>
      <c r="AF78" s="4809"/>
      <c r="AG78" s="4808"/>
      <c r="AH78" s="4809"/>
    </row>
    <row r="79" spans="1:34" s="294" customFormat="1" ht="15" customHeight="1">
      <c r="A79" s="4782"/>
      <c r="B79" s="322">
        <v>3</v>
      </c>
      <c r="C79" s="4798"/>
      <c r="D79" s="4789"/>
      <c r="E79" s="304"/>
      <c r="F79" s="304"/>
      <c r="G79" s="304"/>
      <c r="H79" s="304"/>
      <c r="I79" s="304"/>
      <c r="J79" s="304"/>
      <c r="K79" s="304"/>
      <c r="L79" s="304"/>
      <c r="M79" s="304"/>
      <c r="N79" s="304"/>
      <c r="O79" s="304"/>
      <c r="P79" s="4790"/>
      <c r="Q79" s="4791"/>
      <c r="R79" s="4791"/>
      <c r="S79" s="4788"/>
      <c r="T79" s="4789"/>
      <c r="U79" s="1962"/>
      <c r="V79" s="305"/>
      <c r="W79" s="305"/>
      <c r="X79" s="305"/>
      <c r="Y79" s="305"/>
      <c r="Z79" s="305"/>
      <c r="AA79" s="305"/>
      <c r="AB79" s="305"/>
      <c r="AC79" s="305"/>
      <c r="AD79" s="307"/>
      <c r="AE79" s="4808"/>
      <c r="AF79" s="4809"/>
      <c r="AG79" s="4808"/>
      <c r="AH79" s="4809"/>
    </row>
    <row r="80" spans="1:34" s="294" customFormat="1" ht="15" customHeight="1" thickBot="1">
      <c r="A80" s="4783"/>
      <c r="B80" s="323">
        <v>4</v>
      </c>
      <c r="C80" s="4801"/>
      <c r="D80" s="4793"/>
      <c r="E80" s="309"/>
      <c r="F80" s="309"/>
      <c r="G80" s="309"/>
      <c r="H80" s="309"/>
      <c r="I80" s="309"/>
      <c r="J80" s="309"/>
      <c r="K80" s="309"/>
      <c r="L80" s="309"/>
      <c r="M80" s="309"/>
      <c r="N80" s="309"/>
      <c r="O80" s="309"/>
      <c r="P80" s="4794"/>
      <c r="Q80" s="4795"/>
      <c r="R80" s="4795"/>
      <c r="S80" s="4792"/>
      <c r="T80" s="4793"/>
      <c r="U80" s="1963"/>
      <c r="V80" s="310"/>
      <c r="W80" s="310"/>
      <c r="X80" s="310"/>
      <c r="Y80" s="310"/>
      <c r="Z80" s="310"/>
      <c r="AA80" s="310"/>
      <c r="AB80" s="310"/>
      <c r="AC80" s="310"/>
      <c r="AD80" s="312"/>
      <c r="AE80" s="4810"/>
      <c r="AF80" s="4811"/>
      <c r="AG80" s="4810"/>
      <c r="AH80" s="4811"/>
    </row>
    <row r="81" spans="1:34" s="294" customFormat="1" ht="5.0999999999999996" customHeight="1" thickBot="1">
      <c r="A81" s="313"/>
      <c r="B81" s="314"/>
      <c r="C81" s="318"/>
      <c r="D81" s="318"/>
      <c r="E81" s="318"/>
      <c r="F81" s="318"/>
      <c r="G81" s="318"/>
      <c r="H81" s="319"/>
      <c r="I81" s="319"/>
      <c r="J81" s="319"/>
      <c r="K81" s="319"/>
      <c r="L81" s="319"/>
      <c r="M81" s="319"/>
      <c r="N81" s="319"/>
      <c r="O81" s="319"/>
      <c r="P81" s="319"/>
      <c r="Q81" s="319"/>
      <c r="R81" s="319"/>
      <c r="S81" s="879"/>
      <c r="T81" s="318"/>
      <c r="U81" s="1960"/>
      <c r="V81" s="317"/>
      <c r="W81" s="317"/>
      <c r="X81" s="317"/>
      <c r="Y81" s="317"/>
      <c r="Z81" s="317"/>
      <c r="AA81" s="317"/>
      <c r="AB81" s="317"/>
      <c r="AC81" s="317"/>
      <c r="AD81" s="317"/>
      <c r="AE81" s="318"/>
      <c r="AF81" s="1960"/>
      <c r="AG81" s="318"/>
      <c r="AH81" s="1960"/>
    </row>
    <row r="82" spans="1:34" s="294" customFormat="1" ht="15" customHeight="1">
      <c r="A82" s="4799"/>
      <c r="B82" s="320">
        <v>1</v>
      </c>
      <c r="C82" s="4807"/>
      <c r="D82" s="4806"/>
      <c r="E82" s="321"/>
      <c r="F82" s="321"/>
      <c r="G82" s="321"/>
      <c r="H82" s="321"/>
      <c r="I82" s="321"/>
      <c r="J82" s="321"/>
      <c r="K82" s="321"/>
      <c r="L82" s="321"/>
      <c r="M82" s="321"/>
      <c r="N82" s="321"/>
      <c r="O82" s="321"/>
      <c r="P82" s="4796"/>
      <c r="Q82" s="4797"/>
      <c r="R82" s="4797"/>
      <c r="S82" s="4805"/>
      <c r="T82" s="4806"/>
      <c r="U82" s="1964"/>
      <c r="V82" s="300"/>
      <c r="W82" s="300"/>
      <c r="X82" s="300"/>
      <c r="Y82" s="300"/>
      <c r="Z82" s="300"/>
      <c r="AA82" s="300"/>
      <c r="AB82" s="300"/>
      <c r="AC82" s="300"/>
      <c r="AD82" s="302"/>
      <c r="AE82" s="4814"/>
      <c r="AF82" s="4815"/>
      <c r="AG82" s="4814"/>
      <c r="AH82" s="4815"/>
    </row>
    <row r="83" spans="1:34" s="294" customFormat="1" ht="15" customHeight="1">
      <c r="A83" s="4782"/>
      <c r="B83" s="322">
        <v>2</v>
      </c>
      <c r="C83" s="4798"/>
      <c r="D83" s="4789"/>
      <c r="E83" s="304"/>
      <c r="F83" s="304"/>
      <c r="G83" s="304"/>
      <c r="H83" s="304"/>
      <c r="I83" s="304"/>
      <c r="J83" s="304"/>
      <c r="K83" s="304"/>
      <c r="L83" s="304"/>
      <c r="M83" s="304"/>
      <c r="N83" s="304"/>
      <c r="O83" s="304"/>
      <c r="P83" s="4790"/>
      <c r="Q83" s="4791"/>
      <c r="R83" s="4791"/>
      <c r="S83" s="4788"/>
      <c r="T83" s="4789"/>
      <c r="U83" s="1962"/>
      <c r="V83" s="305"/>
      <c r="W83" s="305"/>
      <c r="X83" s="305"/>
      <c r="Y83" s="305"/>
      <c r="Z83" s="305"/>
      <c r="AA83" s="305"/>
      <c r="AB83" s="305"/>
      <c r="AC83" s="305"/>
      <c r="AD83" s="307"/>
      <c r="AE83" s="4808"/>
      <c r="AF83" s="4809"/>
      <c r="AG83" s="4808"/>
      <c r="AH83" s="4809"/>
    </row>
    <row r="84" spans="1:34" s="294" customFormat="1" ht="15" customHeight="1">
      <c r="A84" s="4782"/>
      <c r="B84" s="322">
        <v>3</v>
      </c>
      <c r="C84" s="4798"/>
      <c r="D84" s="4789"/>
      <c r="E84" s="304"/>
      <c r="F84" s="304"/>
      <c r="G84" s="304"/>
      <c r="H84" s="304"/>
      <c r="I84" s="304"/>
      <c r="J84" s="304"/>
      <c r="K84" s="304"/>
      <c r="L84" s="304"/>
      <c r="M84" s="304"/>
      <c r="N84" s="304"/>
      <c r="O84" s="304"/>
      <c r="P84" s="4790"/>
      <c r="Q84" s="4791"/>
      <c r="R84" s="4791"/>
      <c r="S84" s="4788"/>
      <c r="T84" s="4789"/>
      <c r="U84" s="1962"/>
      <c r="V84" s="305"/>
      <c r="W84" s="305"/>
      <c r="X84" s="305"/>
      <c r="Y84" s="305"/>
      <c r="Z84" s="305"/>
      <c r="AA84" s="305"/>
      <c r="AB84" s="305"/>
      <c r="AC84" s="305"/>
      <c r="AD84" s="307"/>
      <c r="AE84" s="4808"/>
      <c r="AF84" s="4809"/>
      <c r="AG84" s="4808"/>
      <c r="AH84" s="4809"/>
    </row>
    <row r="85" spans="1:34" s="294" customFormat="1" ht="15" customHeight="1" thickBot="1">
      <c r="A85" s="4783"/>
      <c r="B85" s="323">
        <v>4</v>
      </c>
      <c r="C85" s="4801"/>
      <c r="D85" s="4793"/>
      <c r="E85" s="309"/>
      <c r="F85" s="309"/>
      <c r="G85" s="309"/>
      <c r="H85" s="309"/>
      <c r="I85" s="309"/>
      <c r="J85" s="309"/>
      <c r="K85" s="309"/>
      <c r="L85" s="309"/>
      <c r="M85" s="309"/>
      <c r="N85" s="309"/>
      <c r="O85" s="309"/>
      <c r="P85" s="4794"/>
      <c r="Q85" s="4795"/>
      <c r="R85" s="4795"/>
      <c r="S85" s="4792"/>
      <c r="T85" s="4793"/>
      <c r="U85" s="1963"/>
      <c r="V85" s="310"/>
      <c r="W85" s="310"/>
      <c r="X85" s="310"/>
      <c r="Y85" s="310"/>
      <c r="Z85" s="310"/>
      <c r="AA85" s="310"/>
      <c r="AB85" s="310"/>
      <c r="AC85" s="310"/>
      <c r="AD85" s="312"/>
      <c r="AE85" s="4810"/>
      <c r="AF85" s="4811"/>
      <c r="AG85" s="4810"/>
      <c r="AH85" s="4811"/>
    </row>
    <row r="86" spans="1:34">
      <c r="S86" s="283"/>
      <c r="T86" s="283"/>
      <c r="U86" s="576"/>
      <c r="AE86" s="283"/>
      <c r="AF86" s="576"/>
      <c r="AG86" s="283"/>
      <c r="AH86" s="576"/>
    </row>
  </sheetData>
  <customSheetViews>
    <customSheetView guid="{BDF1A126-BD1D-4A5E-80B8-98941684E462}" showPageBreaks="1" showGridLines="0" printArea="1" topLeftCell="A40">
      <selection activeCell="AJ50" sqref="AJ50"/>
      <pageMargins left="0.5" right="0.33333333333333331" top="0.57999999999999996" bottom="0" header="0" footer="0"/>
      <pageSetup paperSize="9" orientation="landscape" r:id="rId1"/>
      <headerFooter alignWithMargins="0">
        <oddFooter>&amp;L&amp;"Arial Narrow,Regular"&amp;8&amp;D&amp;C&amp;"Arial Narrow,Regular"&amp;8&amp;F</oddFooter>
      </headerFooter>
    </customSheetView>
    <customSheetView guid="{04F0793E-5444-463D-A1D5-E52E08A4C249}" scale="120" showPageBreaks="1" showGridLines="0" view="pageBreakPreview" topLeftCell="S1">
      <selection activeCell="AH17" sqref="AH17:AH18"/>
      <pageMargins left="0.5" right="0.5" top="0.5" bottom="0" header="0" footer="0"/>
      <pageSetup paperSize="9" orientation="landscape" r:id="rId2"/>
      <headerFooter alignWithMargins="0">
        <oddFooter>&amp;L&amp;"Arial Narrow,Regular"&amp;8&amp;D&amp;C&amp;"Arial Narrow,Regular"&amp;8&amp;F</oddFooter>
      </headerFooter>
    </customSheetView>
    <customSheetView guid="{925F74B5-C2F5-4E55-AFE4-045C56169B44}" scale="85" showGridLines="0" topLeftCell="A45">
      <selection activeCell="Y50" sqref="Y50:AE53"/>
      <pageMargins left="0.5" right="0.5" top="0.5" bottom="0" header="0" footer="0"/>
      <pageSetup paperSize="9" orientation="landscape" r:id="rId3"/>
      <headerFooter alignWithMargins="0">
        <oddFooter>&amp;L&amp;"Arial Narrow,Regular"&amp;8&amp;D&amp;C&amp;"Arial Narrow,Regular"&amp;8&amp;F</oddFooter>
      </headerFooter>
    </customSheetView>
    <customSheetView guid="{1FF58891-F32F-4F97-9812-E2D02F4497AA}" showGridLines="0" topLeftCell="A40">
      <selection activeCell="B4" sqref="B4:B23"/>
      <pageMargins left="0.5" right="0.33333333333333331" top="0.57999999999999996" bottom="0" header="0" footer="0"/>
      <pageSetup paperSize="9" orientation="landscape" r:id="rId4"/>
      <headerFooter alignWithMargins="0">
        <oddFooter>&amp;L&amp;"Arial Narrow,Regular"&amp;8&amp;D&amp;C&amp;"Arial Narrow,Regular"&amp;8&amp;F</oddFooter>
      </headerFooter>
    </customSheetView>
    <customSheetView guid="{2A6091F0-BAF4-46A2-BC20-0DE610E67601}" showPageBreaks="1" showGridLines="0" printArea="1" topLeftCell="A40">
      <selection activeCell="AJ50" sqref="AJ50"/>
      <pageMargins left="0.5" right="0.33333333333333331" top="0.57999999999999996" bottom="0" header="0" footer="0"/>
      <pageSetup paperSize="9" orientation="landscape" r:id="rId5"/>
      <headerFooter alignWithMargins="0">
        <oddFooter>&amp;L&amp;"Arial Narrow,Regular"&amp;8&amp;D&amp;C&amp;"Arial Narrow,Regular"&amp;8&amp;F</oddFooter>
      </headerFooter>
    </customSheetView>
    <customSheetView guid="{5111FDC7-EEAC-46C3-8033-47A3563F0C00}" showPageBreaks="1" showGridLines="0" printArea="1" topLeftCell="A45">
      <selection activeCell="S85" sqref="S85:T85"/>
      <pageMargins left="0.5" right="0.33333333333333331" top="0.57999999999999996" bottom="0" header="0" footer="0"/>
      <pageSetup paperSize="9" orientation="landscape" r:id="rId6"/>
      <headerFooter alignWithMargins="0">
        <oddFooter>&amp;L&amp;"Arial Narrow,Regular"&amp;8&amp;D&amp;C&amp;"Arial Narrow,Regular"&amp;8&amp;F</oddFooter>
      </headerFooter>
    </customSheetView>
    <customSheetView guid="{2A5E79E4-584C-4F65-A220-87928CEA02AF}" showPageBreaks="1" showGridLines="0" printArea="1" topLeftCell="A36">
      <selection activeCell="S85" sqref="S85:T85"/>
      <pageMargins left="0.5" right="0.33333333333333331" top="0.57999999999999996" bottom="0" header="0" footer="0"/>
      <pageSetup paperSize="9" orientation="landscape" r:id="rId7"/>
      <headerFooter alignWithMargins="0">
        <oddFooter>&amp;L&amp;"Arial Narrow,Regular"&amp;8&amp;D&amp;C&amp;"Arial Narrow,Regular"&amp;8&amp;F</oddFooter>
      </headerFooter>
    </customSheetView>
    <customSheetView guid="{66872EF1-41BD-4D4B-B603-B8B0D03DAD22}" showPageBreaks="1" showGridLines="0" printArea="1">
      <selection activeCell="X5" sqref="X5:AD8"/>
      <pageMargins left="0.5" right="0.33333333333333331" top="0.57999999999999996" bottom="0" header="0" footer="0"/>
      <pageSetup paperSize="9" orientation="landscape" r:id="rId8"/>
      <headerFooter alignWithMargins="0">
        <oddFooter>&amp;L&amp;"Arial Narrow,Regular"&amp;8&amp;D&amp;C&amp;"Arial Narrow,Regular"&amp;8&amp;F</oddFooter>
      </headerFooter>
    </customSheetView>
    <customSheetView guid="{ACE56013-11B3-4BF4-BD0B-BF59142DAC13}" showPageBreaks="1" showGridLines="0" printArea="1">
      <selection activeCell="W24" sqref="W24"/>
      <pageMargins left="0.5" right="0.33333333333333331" top="0.57999999999999996" bottom="0" header="0" footer="0"/>
      <pageSetup paperSize="9" orientation="landscape" r:id="rId9"/>
      <headerFooter alignWithMargins="0">
        <oddFooter>&amp;L&amp;"Arial Narrow,Regular"&amp;8&amp;D&amp;C&amp;"Arial Narrow,Regular"&amp;8&amp;F</oddFooter>
      </headerFooter>
    </customSheetView>
  </customSheetViews>
  <mergeCells count="289">
    <mergeCell ref="V5:V17"/>
    <mergeCell ref="A77:A80"/>
    <mergeCell ref="C77:D77"/>
    <mergeCell ref="P77:R77"/>
    <mergeCell ref="S77:T77"/>
    <mergeCell ref="AE77:AF77"/>
    <mergeCell ref="AG77:AH77"/>
    <mergeCell ref="AE78:AF78"/>
    <mergeCell ref="AG78:AH78"/>
    <mergeCell ref="AG79:AH79"/>
    <mergeCell ref="AE80:AF80"/>
    <mergeCell ref="AG80:AH80"/>
    <mergeCell ref="AG72:AH72"/>
    <mergeCell ref="AE73:AF73"/>
    <mergeCell ref="AG73:AH73"/>
    <mergeCell ref="AE74:AF74"/>
    <mergeCell ref="AG74:AH74"/>
    <mergeCell ref="AE75:AF75"/>
    <mergeCell ref="AG75:AH75"/>
    <mergeCell ref="AE72:AF72"/>
    <mergeCell ref="AG62:AH62"/>
    <mergeCell ref="AE63:AF63"/>
    <mergeCell ref="AG63:AH63"/>
    <mergeCell ref="AE64:AF64"/>
    <mergeCell ref="A82:A85"/>
    <mergeCell ref="C82:D82"/>
    <mergeCell ref="P82:R82"/>
    <mergeCell ref="S82:T82"/>
    <mergeCell ref="AE82:AF82"/>
    <mergeCell ref="AG82:AH82"/>
    <mergeCell ref="AE83:AF83"/>
    <mergeCell ref="AG83:AH83"/>
    <mergeCell ref="AE84:AF84"/>
    <mergeCell ref="AG84:AH84"/>
    <mergeCell ref="AE85:AF85"/>
    <mergeCell ref="AG85:AH85"/>
    <mergeCell ref="C85:D85"/>
    <mergeCell ref="P85:R85"/>
    <mergeCell ref="S85:T85"/>
    <mergeCell ref="C84:D84"/>
    <mergeCell ref="P84:R84"/>
    <mergeCell ref="S84:T84"/>
    <mergeCell ref="C83:D83"/>
    <mergeCell ref="P83:R83"/>
    <mergeCell ref="S83:T83"/>
    <mergeCell ref="AG64:AH64"/>
    <mergeCell ref="AE65:AF65"/>
    <mergeCell ref="AG65:AH65"/>
    <mergeCell ref="C63:D63"/>
    <mergeCell ref="P63:R63"/>
    <mergeCell ref="S65:T65"/>
    <mergeCell ref="AG67:AH67"/>
    <mergeCell ref="AE68:AF68"/>
    <mergeCell ref="AG68:AH68"/>
    <mergeCell ref="AE69:AF69"/>
    <mergeCell ref="AG69:AH69"/>
    <mergeCell ref="AE70:AF70"/>
    <mergeCell ref="AG70:AH70"/>
    <mergeCell ref="C68:D68"/>
    <mergeCell ref="P68:R68"/>
    <mergeCell ref="C70:D70"/>
    <mergeCell ref="P70:R70"/>
    <mergeCell ref="S70:T70"/>
    <mergeCell ref="C69:D69"/>
    <mergeCell ref="P69:R69"/>
    <mergeCell ref="S69:T69"/>
    <mergeCell ref="S68:T68"/>
    <mergeCell ref="AG40:AH40"/>
    <mergeCell ref="AG41:AH41"/>
    <mergeCell ref="AG42:AH42"/>
    <mergeCell ref="AE24:AF24"/>
    <mergeCell ref="AE25:AF25"/>
    <mergeCell ref="Q58:R59"/>
    <mergeCell ref="T58:T59"/>
    <mergeCell ref="U58:U59"/>
    <mergeCell ref="X59:X61"/>
    <mergeCell ref="Y59:Y61"/>
    <mergeCell ref="Z59:Z61"/>
    <mergeCell ref="AA59:AA61"/>
    <mergeCell ref="AB59:AB61"/>
    <mergeCell ref="AC59:AC61"/>
    <mergeCell ref="AD59:AD61"/>
    <mergeCell ref="P60:R61"/>
    <mergeCell ref="T60:T61"/>
    <mergeCell ref="U60:U61"/>
    <mergeCell ref="AH55:AH56"/>
    <mergeCell ref="AG57:AH61"/>
    <mergeCell ref="AG34:AH34"/>
    <mergeCell ref="AG35:AH35"/>
    <mergeCell ref="AG36:AH36"/>
    <mergeCell ref="AG37:AH37"/>
    <mergeCell ref="AE4:AF4"/>
    <mergeCell ref="AE5:AF10"/>
    <mergeCell ref="AF14:AF15"/>
    <mergeCell ref="AE19:AF19"/>
    <mergeCell ref="AE20:AF20"/>
    <mergeCell ref="AE21:AF21"/>
    <mergeCell ref="AE22:AF22"/>
    <mergeCell ref="AH12:AH13"/>
    <mergeCell ref="A47:A52"/>
    <mergeCell ref="B47:B61"/>
    <mergeCell ref="C47:R47"/>
    <mergeCell ref="S47:U47"/>
    <mergeCell ref="X47:AD47"/>
    <mergeCell ref="AE47:AF47"/>
    <mergeCell ref="AG47:AH47"/>
    <mergeCell ref="V48:V57"/>
    <mergeCell ref="W48:W54"/>
    <mergeCell ref="X48:AD51"/>
    <mergeCell ref="AE48:AF53"/>
    <mergeCell ref="AG48:AH53"/>
    <mergeCell ref="C49:R51"/>
    <mergeCell ref="C52:R55"/>
    <mergeCell ref="T54:T55"/>
    <mergeCell ref="A55:A61"/>
    <mergeCell ref="AG4:AH4"/>
    <mergeCell ref="AG19:AH19"/>
    <mergeCell ref="AG20:AH20"/>
    <mergeCell ref="AG21:AH21"/>
    <mergeCell ref="AG22:AH22"/>
    <mergeCell ref="AG24:AH24"/>
    <mergeCell ref="AG25:AH25"/>
    <mergeCell ref="AG26:AH26"/>
    <mergeCell ref="AG27:AH27"/>
    <mergeCell ref="AG5:AH10"/>
    <mergeCell ref="AG14:AH18"/>
    <mergeCell ref="AG39:AH39"/>
    <mergeCell ref="W14:W15"/>
    <mergeCell ref="AE34:AF34"/>
    <mergeCell ref="AE35:AF35"/>
    <mergeCell ref="AE36:AF36"/>
    <mergeCell ref="AE37:AF37"/>
    <mergeCell ref="AE39:AF39"/>
    <mergeCell ref="AE26:AF26"/>
    <mergeCell ref="AE27:AF27"/>
    <mergeCell ref="AE29:AF29"/>
    <mergeCell ref="AE30:AF30"/>
    <mergeCell ref="AE31:AF31"/>
    <mergeCell ref="AE32:AF32"/>
    <mergeCell ref="AG29:AH29"/>
    <mergeCell ref="AG30:AH30"/>
    <mergeCell ref="AG31:AH31"/>
    <mergeCell ref="AG32:AH32"/>
    <mergeCell ref="X16:X18"/>
    <mergeCell ref="Y16:Y18"/>
    <mergeCell ref="Z16:Z18"/>
    <mergeCell ref="AA16:AA18"/>
    <mergeCell ref="AB16:AB18"/>
    <mergeCell ref="AE14:AE15"/>
    <mergeCell ref="C80:D80"/>
    <mergeCell ref="P80:R80"/>
    <mergeCell ref="S80:T80"/>
    <mergeCell ref="C78:D78"/>
    <mergeCell ref="P78:R78"/>
    <mergeCell ref="S78:T78"/>
    <mergeCell ref="C79:D79"/>
    <mergeCell ref="P79:R79"/>
    <mergeCell ref="S79:T79"/>
    <mergeCell ref="A39:A42"/>
    <mergeCell ref="C39:D39"/>
    <mergeCell ref="P39:R39"/>
    <mergeCell ref="C73:D73"/>
    <mergeCell ref="AE79:AF79"/>
    <mergeCell ref="P73:R73"/>
    <mergeCell ref="S73:T73"/>
    <mergeCell ref="C74:D74"/>
    <mergeCell ref="P74:R74"/>
    <mergeCell ref="S74:T74"/>
    <mergeCell ref="AE40:AF40"/>
    <mergeCell ref="AE41:AF41"/>
    <mergeCell ref="AE42:AF42"/>
    <mergeCell ref="X55:AD55"/>
    <mergeCell ref="C56:R57"/>
    <mergeCell ref="AE62:AF62"/>
    <mergeCell ref="AF56:AF58"/>
    <mergeCell ref="X56:AD56"/>
    <mergeCell ref="W57:W58"/>
    <mergeCell ref="C62:D62"/>
    <mergeCell ref="P62:R62"/>
    <mergeCell ref="S62:T62"/>
    <mergeCell ref="AE56:AE58"/>
    <mergeCell ref="AE67:AF67"/>
    <mergeCell ref="C61:O61"/>
    <mergeCell ref="P36:R36"/>
    <mergeCell ref="S36:T36"/>
    <mergeCell ref="A34:A37"/>
    <mergeCell ref="C34:D34"/>
    <mergeCell ref="P34:R34"/>
    <mergeCell ref="A72:A75"/>
    <mergeCell ref="C72:D72"/>
    <mergeCell ref="P72:R72"/>
    <mergeCell ref="S72:T72"/>
    <mergeCell ref="A67:A70"/>
    <mergeCell ref="C67:D67"/>
    <mergeCell ref="P67:R67"/>
    <mergeCell ref="A62:A65"/>
    <mergeCell ref="S63:T63"/>
    <mergeCell ref="C64:D64"/>
    <mergeCell ref="P64:R64"/>
    <mergeCell ref="S64:T64"/>
    <mergeCell ref="C65:D65"/>
    <mergeCell ref="P65:R65"/>
    <mergeCell ref="C75:D75"/>
    <mergeCell ref="P75:R75"/>
    <mergeCell ref="S75:T75"/>
    <mergeCell ref="S67:T67"/>
    <mergeCell ref="S32:T32"/>
    <mergeCell ref="C42:D42"/>
    <mergeCell ref="P42:R42"/>
    <mergeCell ref="S42:T42"/>
    <mergeCell ref="S48:U48"/>
    <mergeCell ref="S34:T34"/>
    <mergeCell ref="C35:D35"/>
    <mergeCell ref="P35:R35"/>
    <mergeCell ref="C37:D37"/>
    <mergeCell ref="P37:R37"/>
    <mergeCell ref="S37:T37"/>
    <mergeCell ref="S35:T35"/>
    <mergeCell ref="C36:D36"/>
    <mergeCell ref="C32:D32"/>
    <mergeCell ref="S39:T39"/>
    <mergeCell ref="C40:D40"/>
    <mergeCell ref="P40:R40"/>
    <mergeCell ref="S40:T40"/>
    <mergeCell ref="C41:D41"/>
    <mergeCell ref="P41:R41"/>
    <mergeCell ref="S41:T41"/>
    <mergeCell ref="P29:R29"/>
    <mergeCell ref="S29:T29"/>
    <mergeCell ref="C30:D30"/>
    <mergeCell ref="P30:R30"/>
    <mergeCell ref="S30:T30"/>
    <mergeCell ref="C31:D31"/>
    <mergeCell ref="P31:R31"/>
    <mergeCell ref="S31:T31"/>
    <mergeCell ref="A24:A27"/>
    <mergeCell ref="C24:D24"/>
    <mergeCell ref="P24:R24"/>
    <mergeCell ref="S24:T24"/>
    <mergeCell ref="C25:D25"/>
    <mergeCell ref="P25:R25"/>
    <mergeCell ref="S25:T25"/>
    <mergeCell ref="C26:D26"/>
    <mergeCell ref="P26:R26"/>
    <mergeCell ref="S26:T26"/>
    <mergeCell ref="C27:D27"/>
    <mergeCell ref="P27:R27"/>
    <mergeCell ref="S27:T27"/>
    <mergeCell ref="A29:A32"/>
    <mergeCell ref="C29:D29"/>
    <mergeCell ref="P32:R32"/>
    <mergeCell ref="U15:U16"/>
    <mergeCell ref="A19:A22"/>
    <mergeCell ref="C19:D19"/>
    <mergeCell ref="P19:R19"/>
    <mergeCell ref="S19:T19"/>
    <mergeCell ref="C20:D20"/>
    <mergeCell ref="P20:R20"/>
    <mergeCell ref="S20:T20"/>
    <mergeCell ref="C21:D21"/>
    <mergeCell ref="P21:R21"/>
    <mergeCell ref="S21:T21"/>
    <mergeCell ref="C22:D22"/>
    <mergeCell ref="P22:R22"/>
    <mergeCell ref="S22:T22"/>
    <mergeCell ref="S10:T10"/>
    <mergeCell ref="C5:R8"/>
    <mergeCell ref="A4:A9"/>
    <mergeCell ref="B4:B18"/>
    <mergeCell ref="C4:R4"/>
    <mergeCell ref="S4:U4"/>
    <mergeCell ref="X4:AD4"/>
    <mergeCell ref="S5:U5"/>
    <mergeCell ref="W5:W11"/>
    <mergeCell ref="X5:AD8"/>
    <mergeCell ref="C9:R12"/>
    <mergeCell ref="T11:T12"/>
    <mergeCell ref="A12:A18"/>
    <mergeCell ref="X12:AD12"/>
    <mergeCell ref="C13:R14"/>
    <mergeCell ref="X13:AD13"/>
    <mergeCell ref="Q15:R16"/>
    <mergeCell ref="T15:T16"/>
    <mergeCell ref="AC16:AC18"/>
    <mergeCell ref="AD16:AD18"/>
    <mergeCell ref="P17:R18"/>
    <mergeCell ref="T17:T18"/>
    <mergeCell ref="U17:U18"/>
    <mergeCell ref="C18:O18"/>
  </mergeCells>
  <pageMargins left="0.5" right="0.33333333333333331" top="0.57999999999999996" bottom="0" header="0" footer="0"/>
  <pageSetup paperSize="9" scale="96" orientation="landscape" r:id="rId10"/>
  <headerFooter alignWithMargins="0">
    <oddFooter>&amp;L&amp;"Arial Narrow,Regular"&amp;8&amp;D&amp;C&amp;"Arial Narrow,Regular"&amp;8&amp;F</oddFooter>
  </headerFooter>
  <rowBreaks count="1" manualBreakCount="1">
    <brk id="42" max="33" man="1"/>
  </rowBreaks>
  <drawing r:id="rId11"/>
  <legacyDrawing r:id="rId1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L36"/>
  <sheetViews>
    <sheetView showGridLines="0" showWhiteSpace="0" view="pageBreakPreview" zoomScaleNormal="100" zoomScaleSheetLayoutView="100" workbookViewId="0">
      <selection activeCell="P10" sqref="P10:Q12"/>
    </sheetView>
  </sheetViews>
  <sheetFormatPr defaultColWidth="9.140625" defaultRowHeight="13.5"/>
  <cols>
    <col min="1" max="1" width="5" style="354" customWidth="1"/>
    <col min="2" max="2" width="6.7109375" style="492" customWidth="1"/>
    <col min="3" max="3" width="9.5703125" style="492" customWidth="1"/>
    <col min="4" max="4" width="3.7109375" style="492" customWidth="1"/>
    <col min="5" max="5" width="22.28515625" style="492" customWidth="1"/>
    <col min="6" max="6" width="7" style="492" customWidth="1"/>
    <col min="7" max="7" width="3.7109375" style="492" customWidth="1"/>
    <col min="8" max="8" width="21.28515625" style="492" customWidth="1"/>
    <col min="9" max="9" width="7" style="492" customWidth="1"/>
    <col min="10" max="15" width="3.28515625" style="492" customWidth="1"/>
    <col min="16" max="16" width="3.5703125" style="492" customWidth="1"/>
    <col min="17" max="17" width="16.42578125" style="492" customWidth="1"/>
    <col min="18" max="18" width="2.42578125" style="1228" customWidth="1"/>
    <col min="19" max="19" width="5" style="354" customWidth="1"/>
    <col min="20" max="20" width="9.5703125" style="492" customWidth="1"/>
    <col min="21" max="21" width="2.7109375" style="492" customWidth="1"/>
    <col min="22" max="22" width="3.7109375" style="225" customWidth="1"/>
    <col min="23" max="23" width="4.7109375" style="225" customWidth="1"/>
    <col min="24" max="24" width="3.7109375" style="225" customWidth="1"/>
    <col min="25" max="25" width="4.7109375" style="225" customWidth="1"/>
    <col min="26" max="26" width="3.5703125" style="225" customWidth="1"/>
    <col min="27" max="27" width="4.7109375" style="225" customWidth="1"/>
    <col min="28" max="28" width="8.5703125" style="492" customWidth="1"/>
    <col min="29" max="29" width="2.42578125" style="492" customWidth="1"/>
    <col min="30" max="30" width="11.5703125" style="492" customWidth="1"/>
    <col min="31" max="31" width="2.42578125" style="2251" customWidth="1"/>
    <col min="32" max="32" width="4.85546875" style="492" customWidth="1"/>
    <col min="33" max="33" width="12.140625" style="492" customWidth="1"/>
    <col min="34" max="34" width="2.28515625" style="1228" customWidth="1"/>
    <col min="35" max="35" width="4.85546875" style="492" customWidth="1"/>
    <col min="36" max="36" width="9" style="492" customWidth="1"/>
    <col min="37" max="37" width="2.7109375" style="492" customWidth="1"/>
    <col min="38" max="38" width="3.5703125" style="492" customWidth="1"/>
    <col min="39" max="39" width="10.7109375" style="492" customWidth="1"/>
    <col min="40" max="40" width="2.5703125" style="492" customWidth="1"/>
    <col min="41" max="41" width="3.5703125" style="492" customWidth="1"/>
    <col min="42" max="42" width="8" style="492" customWidth="1"/>
    <col min="43" max="43" width="5" style="354" customWidth="1"/>
    <col min="44" max="44" width="6.85546875" style="492" customWidth="1"/>
    <col min="45" max="45" width="5.7109375" style="492" customWidth="1"/>
    <col min="46" max="46" width="2.42578125" style="492" customWidth="1"/>
    <col min="47" max="47" width="8.7109375" style="367" customWidth="1"/>
    <col min="48" max="48" width="2.7109375" style="2008" customWidth="1"/>
    <col min="49" max="49" width="6.42578125" style="492" customWidth="1"/>
    <col min="50" max="50" width="6" style="492" customWidth="1"/>
    <col min="51" max="51" width="5.85546875" style="492" customWidth="1"/>
    <col min="52" max="52" width="8.140625" style="492" customWidth="1"/>
    <col min="53" max="53" width="4.28515625" style="492" customWidth="1"/>
    <col min="54" max="54" width="4.7109375" style="492" customWidth="1"/>
    <col min="55" max="55" width="8.140625" style="492" customWidth="1"/>
    <col min="56" max="56" width="5.42578125" style="492" customWidth="1"/>
    <col min="57" max="57" width="8.5703125" style="492" customWidth="1"/>
    <col min="58" max="58" width="8" style="492" customWidth="1"/>
    <col min="59" max="59" width="5.85546875" style="492" customWidth="1"/>
    <col min="60" max="60" width="3.85546875" style="492" customWidth="1"/>
    <col min="61" max="61" width="6.7109375" style="340" customWidth="1"/>
    <col min="62" max="62" width="6.140625" style="340" customWidth="1"/>
    <col min="63" max="16384" width="9.140625" style="340"/>
  </cols>
  <sheetData>
    <row r="1" spans="1:64" s="281" customFormat="1" ht="15" customHeight="1">
      <c r="A1" s="279"/>
      <c r="B1" s="333"/>
      <c r="C1" s="333"/>
      <c r="D1" s="333"/>
      <c r="E1" s="333"/>
      <c r="F1" s="333"/>
      <c r="G1" s="333"/>
      <c r="H1" s="333"/>
      <c r="I1" s="333"/>
      <c r="J1" s="333"/>
      <c r="K1" s="333"/>
      <c r="L1" s="333"/>
      <c r="M1" s="333"/>
      <c r="N1" s="333"/>
      <c r="O1" s="333"/>
      <c r="P1" s="333"/>
      <c r="Q1" s="333"/>
      <c r="R1" s="933"/>
      <c r="S1" s="279"/>
      <c r="U1" s="333"/>
      <c r="V1" s="957"/>
      <c r="W1" s="957"/>
      <c r="X1" s="957"/>
      <c r="Y1" s="957"/>
      <c r="Z1" s="957"/>
      <c r="AA1" s="957"/>
      <c r="AB1" s="279"/>
      <c r="AC1" s="279"/>
      <c r="AD1" s="279"/>
      <c r="AE1" s="2006"/>
      <c r="AF1" s="279"/>
      <c r="AG1" s="279"/>
      <c r="AH1" s="920"/>
      <c r="AI1" s="279"/>
      <c r="AJ1" s="279"/>
      <c r="AK1" s="279"/>
      <c r="AL1" s="279"/>
      <c r="AM1" s="279"/>
      <c r="AN1" s="279"/>
      <c r="AO1" s="279"/>
      <c r="AP1" s="279"/>
      <c r="AQ1" s="279"/>
      <c r="AR1" s="279"/>
      <c r="AS1" s="279"/>
      <c r="AT1" s="279"/>
      <c r="AU1" s="279"/>
      <c r="AV1" s="2006"/>
      <c r="AW1" s="279"/>
      <c r="AX1" s="279"/>
      <c r="AY1" s="279"/>
      <c r="AZ1" s="279"/>
      <c r="BA1" s="279"/>
      <c r="BB1" s="279"/>
      <c r="BC1" s="279"/>
      <c r="BD1" s="279"/>
      <c r="BE1" s="279"/>
      <c r="BF1" s="279"/>
      <c r="BG1" s="279"/>
      <c r="BH1" s="280"/>
      <c r="BI1" s="1281"/>
    </row>
    <row r="2" spans="1:64" s="283" customFormat="1" ht="20.100000000000001" customHeight="1">
      <c r="A2" s="334"/>
      <c r="B2" s="2000" t="s">
        <v>1258</v>
      </c>
      <c r="C2" s="335"/>
      <c r="L2" s="2100" t="s">
        <v>1275</v>
      </c>
      <c r="S2" s="334"/>
      <c r="T2" s="2000" t="s">
        <v>1258</v>
      </c>
      <c r="AB2" s="282"/>
      <c r="AD2" s="282"/>
      <c r="AE2" s="576"/>
      <c r="AO2" s="2003" t="s">
        <v>1334</v>
      </c>
      <c r="AQ2" s="334"/>
      <c r="AR2" s="2000" t="s">
        <v>1258</v>
      </c>
      <c r="AU2" s="282"/>
      <c r="AV2" s="2007"/>
      <c r="AX2" s="336"/>
      <c r="BH2" s="2003" t="s">
        <v>1334</v>
      </c>
    </row>
    <row r="3" spans="1:64" s="286" customFormat="1" ht="14.1" customHeight="1" thickBot="1">
      <c r="A3" s="337"/>
      <c r="B3" s="2852" t="s">
        <v>1579</v>
      </c>
      <c r="C3" s="2852"/>
      <c r="D3" s="2853"/>
      <c r="E3" s="2853"/>
      <c r="F3" s="2853"/>
      <c r="G3" s="2853"/>
      <c r="H3" s="2853"/>
      <c r="R3" s="576"/>
      <c r="S3" s="337"/>
      <c r="AB3" s="338"/>
      <c r="AD3" s="338"/>
      <c r="AE3" s="2373"/>
      <c r="AH3" s="283"/>
      <c r="AQ3" s="337"/>
      <c r="AU3" s="339"/>
      <c r="AV3" s="2007"/>
    </row>
    <row r="4" spans="1:64" s="1369" customFormat="1" ht="11.25" customHeight="1" thickBot="1">
      <c r="A4" s="4872"/>
      <c r="B4" s="4876">
        <v>6.25</v>
      </c>
      <c r="C4" s="4877"/>
      <c r="D4" s="4878">
        <f>B4+0.01</f>
        <v>6.26</v>
      </c>
      <c r="E4" s="4879"/>
      <c r="F4" s="4877"/>
      <c r="G4" s="4878">
        <f>D4+0.01</f>
        <v>6.27</v>
      </c>
      <c r="H4" s="4879"/>
      <c r="I4" s="4877"/>
      <c r="J4" s="4878">
        <f>G4+0.01</f>
        <v>6.2799999999999994</v>
      </c>
      <c r="K4" s="4879"/>
      <c r="L4" s="4879"/>
      <c r="M4" s="4879"/>
      <c r="N4" s="4879"/>
      <c r="O4" s="4877"/>
      <c r="P4" s="4878">
        <f>J4+0.01</f>
        <v>6.2899999999999991</v>
      </c>
      <c r="Q4" s="4879"/>
      <c r="R4" s="4877"/>
      <c r="S4" s="4938"/>
      <c r="T4" s="4878">
        <f>P4+0.01</f>
        <v>6.2999999999999989</v>
      </c>
      <c r="U4" s="4893"/>
      <c r="V4" s="4900">
        <f>T4+0.01</f>
        <v>6.3099999999999987</v>
      </c>
      <c r="W4" s="4901"/>
      <c r="X4" s="4901"/>
      <c r="Y4" s="4901"/>
      <c r="Z4" s="4901"/>
      <c r="AA4" s="4902"/>
      <c r="AB4" s="4876">
        <f>V4+0.01</f>
        <v>6.3199999999999985</v>
      </c>
      <c r="AC4" s="4877"/>
      <c r="AD4" s="4879">
        <f>AB4+0.01</f>
        <v>6.3299999999999983</v>
      </c>
      <c r="AE4" s="4877"/>
      <c r="AF4" s="2815"/>
      <c r="AG4" s="2814">
        <f>AD4+0.01</f>
        <v>6.3399999999999981</v>
      </c>
      <c r="AH4" s="2815"/>
      <c r="AI4" s="4592">
        <f>AG4+0.01</f>
        <v>6.3499999999999979</v>
      </c>
      <c r="AJ4" s="4595"/>
      <c r="AK4" s="1368"/>
      <c r="AL4" s="4878">
        <f>AI4+0.01</f>
        <v>6.3599999999999977</v>
      </c>
      <c r="AM4" s="4879"/>
      <c r="AN4" s="4877"/>
      <c r="AO4" s="4878">
        <f>AL4+0.01</f>
        <v>6.3699999999999974</v>
      </c>
      <c r="AP4" s="4877"/>
      <c r="AQ4" s="4872"/>
      <c r="AR4" s="4878">
        <f>AO4+0.01</f>
        <v>6.3799999999999972</v>
      </c>
      <c r="AS4" s="4879"/>
      <c r="AT4" s="4877"/>
      <c r="AU4" s="4878">
        <f>AR4+0.01</f>
        <v>6.389999999999997</v>
      </c>
      <c r="AV4" s="4899"/>
      <c r="AW4" s="4878">
        <f>AU4+0.01</f>
        <v>6.3999999999999968</v>
      </c>
      <c r="AX4" s="4877"/>
      <c r="AY4" s="4878">
        <f>AW4+0.01</f>
        <v>6.4099999999999966</v>
      </c>
      <c r="AZ4" s="4879"/>
      <c r="BA4" s="4879"/>
      <c r="BB4" s="4877"/>
      <c r="BC4" s="4878">
        <f>AY4+0.01</f>
        <v>6.4199999999999964</v>
      </c>
      <c r="BD4" s="4877"/>
      <c r="BE4" s="4878">
        <f>BC4+0.01</f>
        <v>6.4299999999999962</v>
      </c>
      <c r="BF4" s="4879"/>
      <c r="BG4" s="4879"/>
      <c r="BH4" s="4893"/>
    </row>
    <row r="5" spans="1:64" ht="11.25" customHeight="1">
      <c r="A5" s="4873"/>
      <c r="B5" s="4894" t="s">
        <v>1425</v>
      </c>
      <c r="C5" s="4895"/>
      <c r="D5" s="4091" t="s">
        <v>670</v>
      </c>
      <c r="E5" s="3884"/>
      <c r="F5" s="3884"/>
      <c r="G5" s="4091" t="s">
        <v>675</v>
      </c>
      <c r="H5" s="3884"/>
      <c r="I5" s="4092"/>
      <c r="J5" s="4091" t="s">
        <v>678</v>
      </c>
      <c r="K5" s="4913"/>
      <c r="L5" s="4913"/>
      <c r="M5" s="4913"/>
      <c r="N5" s="4913"/>
      <c r="O5" s="4917"/>
      <c r="P5" s="4918" t="s">
        <v>1659</v>
      </c>
      <c r="Q5" s="3922"/>
      <c r="R5" s="4919"/>
      <c r="S5" s="4939"/>
      <c r="T5" s="4903" t="s">
        <v>711</v>
      </c>
      <c r="U5" s="4904"/>
      <c r="V5" s="4920" t="s">
        <v>1738</v>
      </c>
      <c r="W5" s="4921"/>
      <c r="X5" s="4921"/>
      <c r="Y5" s="4921"/>
      <c r="Z5" s="4921"/>
      <c r="AA5" s="4922"/>
      <c r="AB5" s="4402" t="s">
        <v>700</v>
      </c>
      <c r="AC5" s="4092"/>
      <c r="AD5" s="3884" t="s">
        <v>701</v>
      </c>
      <c r="AE5" s="4092"/>
      <c r="AF5" s="4027" t="s">
        <v>702</v>
      </c>
      <c r="AG5" s="4663"/>
      <c r="AH5" s="4028"/>
      <c r="AI5" s="4025" t="s">
        <v>1427</v>
      </c>
      <c r="AJ5" s="4908"/>
      <c r="AK5" s="4026"/>
      <c r="AL5" s="4091" t="s">
        <v>1702</v>
      </c>
      <c r="AM5" s="3884"/>
      <c r="AN5" s="4092"/>
      <c r="AO5" s="3706" t="s">
        <v>1231</v>
      </c>
      <c r="AP5" s="4909"/>
      <c r="AQ5" s="4873"/>
      <c r="AR5" s="4091" t="s">
        <v>1703</v>
      </c>
      <c r="AS5" s="4913"/>
      <c r="AT5" s="4913"/>
      <c r="AU5" s="4091" t="s">
        <v>1416</v>
      </c>
      <c r="AV5" s="4092"/>
      <c r="AW5" s="4091" t="s">
        <v>1844</v>
      </c>
      <c r="AX5" s="4917"/>
      <c r="AY5" s="4903" t="s">
        <v>1885</v>
      </c>
      <c r="AZ5" s="3888"/>
      <c r="BA5" s="3888"/>
      <c r="BB5" s="4529"/>
      <c r="BC5" s="4177" t="s">
        <v>695</v>
      </c>
      <c r="BD5" s="4178"/>
      <c r="BE5" s="4903" t="s">
        <v>1888</v>
      </c>
      <c r="BF5" s="3888"/>
      <c r="BG5" s="3888"/>
      <c r="BH5" s="4904"/>
    </row>
    <row r="6" spans="1:64" ht="16.5" customHeight="1">
      <c r="A6" s="4873"/>
      <c r="B6" s="4896"/>
      <c r="C6" s="4895"/>
      <c r="D6" s="4091"/>
      <c r="E6" s="3884"/>
      <c r="F6" s="3884"/>
      <c r="G6" s="4091"/>
      <c r="H6" s="3884"/>
      <c r="I6" s="4092"/>
      <c r="J6" s="4914"/>
      <c r="K6" s="4913"/>
      <c r="L6" s="4913"/>
      <c r="M6" s="4913"/>
      <c r="N6" s="4913"/>
      <c r="O6" s="4917"/>
      <c r="P6" s="3706"/>
      <c r="Q6" s="3703"/>
      <c r="R6" s="3704"/>
      <c r="S6" s="4939"/>
      <c r="T6" s="4903"/>
      <c r="U6" s="4904"/>
      <c r="V6" s="4920"/>
      <c r="W6" s="4921"/>
      <c r="X6" s="4921"/>
      <c r="Y6" s="4921"/>
      <c r="Z6" s="4921"/>
      <c r="AA6" s="4922"/>
      <c r="AB6" s="4402"/>
      <c r="AC6" s="4092"/>
      <c r="AD6" s="3884"/>
      <c r="AE6" s="4092"/>
      <c r="AF6" s="4027"/>
      <c r="AG6" s="4663"/>
      <c r="AH6" s="4028"/>
      <c r="AI6" s="4027"/>
      <c r="AJ6" s="4663"/>
      <c r="AK6" s="4028"/>
      <c r="AL6" s="4091"/>
      <c r="AM6" s="3884"/>
      <c r="AN6" s="4092"/>
      <c r="AO6" s="4910"/>
      <c r="AP6" s="4909"/>
      <c r="AQ6" s="4873"/>
      <c r="AR6" s="4914"/>
      <c r="AS6" s="4913"/>
      <c r="AT6" s="4913"/>
      <c r="AU6" s="4091"/>
      <c r="AV6" s="4092"/>
      <c r="AW6" s="4914"/>
      <c r="AX6" s="4917"/>
      <c r="AY6" s="4903"/>
      <c r="AZ6" s="3888"/>
      <c r="BA6" s="3888"/>
      <c r="BB6" s="4529"/>
      <c r="BC6" s="4091"/>
      <c r="BD6" s="4092"/>
      <c r="BE6" s="4903"/>
      <c r="BF6" s="3888"/>
      <c r="BG6" s="3888"/>
      <c r="BH6" s="4904"/>
      <c r="BL6" s="584"/>
    </row>
    <row r="7" spans="1:64" ht="26.25" customHeight="1">
      <c r="A7" s="4873"/>
      <c r="B7" s="4896"/>
      <c r="C7" s="4895"/>
      <c r="D7" s="4091"/>
      <c r="E7" s="3884"/>
      <c r="F7" s="3884"/>
      <c r="G7" s="4091"/>
      <c r="H7" s="3884"/>
      <c r="I7" s="4092"/>
      <c r="J7" s="4914"/>
      <c r="K7" s="4913"/>
      <c r="L7" s="4913"/>
      <c r="M7" s="4913"/>
      <c r="N7" s="4913"/>
      <c r="O7" s="4917"/>
      <c r="P7" s="3706"/>
      <c r="Q7" s="3703"/>
      <c r="R7" s="3704"/>
      <c r="S7" s="4939"/>
      <c r="T7" s="4903"/>
      <c r="U7" s="4904"/>
      <c r="V7" s="4920"/>
      <c r="W7" s="4921"/>
      <c r="X7" s="4921"/>
      <c r="Y7" s="4921"/>
      <c r="Z7" s="4921"/>
      <c r="AA7" s="4922"/>
      <c r="AB7" s="4402"/>
      <c r="AC7" s="4092"/>
      <c r="AD7" s="3884"/>
      <c r="AE7" s="4092"/>
      <c r="AF7" s="4027"/>
      <c r="AG7" s="4663"/>
      <c r="AH7" s="4028"/>
      <c r="AI7" s="4027"/>
      <c r="AJ7" s="4663"/>
      <c r="AK7" s="4028"/>
      <c r="AL7" s="4091"/>
      <c r="AM7" s="3884"/>
      <c r="AN7" s="4092"/>
      <c r="AO7" s="4910"/>
      <c r="AP7" s="4909"/>
      <c r="AQ7" s="4873"/>
      <c r="AR7" s="4914"/>
      <c r="AS7" s="4913"/>
      <c r="AT7" s="4913"/>
      <c r="AU7" s="4091"/>
      <c r="AV7" s="4092"/>
      <c r="AW7" s="4914"/>
      <c r="AX7" s="4917"/>
      <c r="AY7" s="4903"/>
      <c r="AZ7" s="3888"/>
      <c r="BA7" s="3888"/>
      <c r="BB7" s="4529"/>
      <c r="BC7" s="4091"/>
      <c r="BD7" s="4092"/>
      <c r="BE7" s="4903"/>
      <c r="BF7" s="3888"/>
      <c r="BG7" s="3888"/>
      <c r="BH7" s="4904"/>
      <c r="BI7" s="4863"/>
      <c r="BJ7" s="3710"/>
    </row>
    <row r="8" spans="1:64" ht="11.25" customHeight="1">
      <c r="A8" s="4873"/>
      <c r="B8" s="4896"/>
      <c r="C8" s="4895"/>
      <c r="D8" s="4042" t="s">
        <v>671</v>
      </c>
      <c r="E8" s="3935"/>
      <c r="F8" s="3935"/>
      <c r="G8" s="4042" t="s">
        <v>1415</v>
      </c>
      <c r="H8" s="3935"/>
      <c r="I8" s="4043"/>
      <c r="J8" s="1307"/>
      <c r="K8" s="811"/>
      <c r="L8" s="811"/>
      <c r="M8" s="811"/>
      <c r="N8" s="811"/>
      <c r="O8" s="1286"/>
      <c r="P8" s="4692" t="s">
        <v>239</v>
      </c>
      <c r="Q8" s="4693"/>
      <c r="R8" s="4694"/>
      <c r="S8" s="4939"/>
      <c r="T8" s="4903"/>
      <c r="U8" s="4904"/>
      <c r="V8" s="4920"/>
      <c r="W8" s="4921"/>
      <c r="X8" s="4921"/>
      <c r="Y8" s="4921"/>
      <c r="Z8" s="4921"/>
      <c r="AA8" s="4922"/>
      <c r="AB8" s="4402"/>
      <c r="AC8" s="4092"/>
      <c r="AD8" s="3884"/>
      <c r="AE8" s="4092"/>
      <c r="AF8" s="4027"/>
      <c r="AG8" s="4663"/>
      <c r="AH8" s="4028"/>
      <c r="AI8" s="4027"/>
      <c r="AJ8" s="4663"/>
      <c r="AK8" s="4028"/>
      <c r="AL8" s="4091"/>
      <c r="AM8" s="3884"/>
      <c r="AN8" s="4092"/>
      <c r="AO8" s="4910"/>
      <c r="AP8" s="4909"/>
      <c r="AQ8" s="4873"/>
      <c r="AR8" s="4914"/>
      <c r="AS8" s="4913"/>
      <c r="AT8" s="4913"/>
      <c r="AU8" s="4091"/>
      <c r="AV8" s="4092"/>
      <c r="AW8" s="4914"/>
      <c r="AX8" s="4917"/>
      <c r="AY8" s="3562" t="s">
        <v>238</v>
      </c>
      <c r="AZ8" s="3563"/>
      <c r="BA8" s="3562"/>
      <c r="BB8" s="3564"/>
      <c r="BC8" s="4091"/>
      <c r="BD8" s="4092"/>
      <c r="BE8" s="4903"/>
      <c r="BF8" s="3888"/>
      <c r="BG8" s="3888"/>
      <c r="BH8" s="4904"/>
      <c r="BI8" s="4863"/>
      <c r="BJ8" s="3710"/>
      <c r="BK8" s="584"/>
    </row>
    <row r="9" spans="1:64" ht="11.25" customHeight="1">
      <c r="A9" s="4873"/>
      <c r="B9" s="4896"/>
      <c r="C9" s="4895"/>
      <c r="D9" s="4042"/>
      <c r="E9" s="3935"/>
      <c r="F9" s="3935"/>
      <c r="G9" s="4042"/>
      <c r="H9" s="3935"/>
      <c r="I9" s="4043"/>
      <c r="J9" s="1307"/>
      <c r="K9" s="811"/>
      <c r="L9" s="811"/>
      <c r="M9" s="811"/>
      <c r="N9" s="811"/>
      <c r="O9" s="1286"/>
      <c r="P9" s="1233"/>
      <c r="Q9" s="1234"/>
      <c r="R9" s="2217"/>
      <c r="S9" s="4939"/>
      <c r="T9" s="4903"/>
      <c r="U9" s="4904"/>
      <c r="V9" s="229"/>
      <c r="W9" s="1328" t="s">
        <v>862</v>
      </c>
      <c r="X9" s="1328">
        <v>1</v>
      </c>
      <c r="Y9" s="230"/>
      <c r="Z9" s="230"/>
      <c r="AA9" s="932"/>
      <c r="AB9" s="4402"/>
      <c r="AC9" s="4092"/>
      <c r="AD9" s="3884"/>
      <c r="AE9" s="4092"/>
      <c r="AF9" s="2226"/>
      <c r="AG9" s="2227"/>
      <c r="AH9" s="2367"/>
      <c r="AI9" s="4027"/>
      <c r="AJ9" s="4663"/>
      <c r="AK9" s="4028"/>
      <c r="AL9" s="4091"/>
      <c r="AM9" s="3884"/>
      <c r="AN9" s="4092"/>
      <c r="AO9" s="4910"/>
      <c r="AP9" s="4909"/>
      <c r="AQ9" s="4873"/>
      <c r="AR9" s="4914"/>
      <c r="AS9" s="4913"/>
      <c r="AT9" s="4913"/>
      <c r="AU9" s="4091"/>
      <c r="AV9" s="4092"/>
      <c r="AW9" s="4914"/>
      <c r="AX9" s="4917"/>
      <c r="AY9" s="3562"/>
      <c r="AZ9" s="3563"/>
      <c r="BA9" s="3588"/>
      <c r="BC9" s="4091"/>
      <c r="BD9" s="4092"/>
      <c r="BE9" s="2016" t="s">
        <v>238</v>
      </c>
      <c r="BF9" s="3593"/>
      <c r="BH9" s="2017"/>
      <c r="BI9" s="4863"/>
      <c r="BJ9" s="3710"/>
      <c r="BK9" s="584"/>
    </row>
    <row r="10" spans="1:64" ht="11.25" customHeight="1">
      <c r="A10" s="4873"/>
      <c r="B10" s="4896"/>
      <c r="C10" s="4895"/>
      <c r="D10" s="4042"/>
      <c r="E10" s="3935"/>
      <c r="F10" s="3935"/>
      <c r="G10" s="4042"/>
      <c r="H10" s="3935"/>
      <c r="I10" s="4043"/>
      <c r="J10" s="341"/>
      <c r="K10" s="1285"/>
      <c r="L10" s="1285"/>
      <c r="M10" s="1285"/>
      <c r="N10" s="1285"/>
      <c r="O10" s="809"/>
      <c r="P10" s="4397" t="s">
        <v>1916</v>
      </c>
      <c r="Q10" s="4905"/>
      <c r="R10" s="4880">
        <v>1</v>
      </c>
      <c r="S10" s="4939"/>
      <c r="T10" s="4903"/>
      <c r="U10" s="4904"/>
      <c r="V10" s="884"/>
      <c r="W10" s="1328" t="s">
        <v>863</v>
      </c>
      <c r="X10" s="1328">
        <v>2</v>
      </c>
      <c r="Y10" s="885"/>
      <c r="Z10" s="885"/>
      <c r="AA10" s="886"/>
      <c r="AB10" s="4402"/>
      <c r="AC10" s="4092"/>
      <c r="AD10" s="3884"/>
      <c r="AE10" s="4092"/>
      <c r="AF10" s="2226"/>
      <c r="AG10" s="2227"/>
      <c r="AH10" s="2367"/>
      <c r="AI10" s="2226"/>
      <c r="AJ10" s="2227"/>
      <c r="AK10" s="2228"/>
      <c r="AL10" s="4091"/>
      <c r="AM10" s="3884"/>
      <c r="AN10" s="4092"/>
      <c r="AO10" s="4911"/>
      <c r="AP10" s="4912"/>
      <c r="AQ10" s="4873"/>
      <c r="AR10" s="4915"/>
      <c r="AS10" s="4916"/>
      <c r="AT10" s="4916"/>
      <c r="AU10" s="4091"/>
      <c r="AV10" s="4092"/>
      <c r="AW10" s="4927"/>
      <c r="AX10" s="4928"/>
      <c r="AY10" s="2018" t="s">
        <v>1875</v>
      </c>
      <c r="AZ10" s="3584">
        <v>1</v>
      </c>
      <c r="BA10" s="2015"/>
      <c r="BC10" s="4091"/>
      <c r="BD10" s="4092"/>
      <c r="BE10" s="2018" t="s">
        <v>1875</v>
      </c>
      <c r="BF10" s="3584">
        <v>1</v>
      </c>
      <c r="BH10" s="2019"/>
      <c r="BI10" s="4863"/>
      <c r="BJ10" s="3710"/>
    </row>
    <row r="11" spans="1:64" ht="22.5" customHeight="1">
      <c r="A11" s="4873"/>
      <c r="B11" s="4896"/>
      <c r="C11" s="4895"/>
      <c r="D11" s="4042"/>
      <c r="E11" s="3935"/>
      <c r="F11" s="3935"/>
      <c r="G11" s="4042"/>
      <c r="H11" s="3935"/>
      <c r="I11" s="4043"/>
      <c r="J11" s="1307"/>
      <c r="K11" s="3721" t="s">
        <v>1806</v>
      </c>
      <c r="L11" s="4883"/>
      <c r="M11" s="4883"/>
      <c r="N11" s="4883"/>
      <c r="O11" s="1286"/>
      <c r="P11" s="4906"/>
      <c r="Q11" s="4905"/>
      <c r="R11" s="4881"/>
      <c r="S11" s="4939"/>
      <c r="T11" s="4903"/>
      <c r="U11" s="4904"/>
      <c r="V11" s="887"/>
      <c r="W11" s="888"/>
      <c r="X11" s="888"/>
      <c r="Y11" s="888"/>
      <c r="Z11" s="888"/>
      <c r="AA11" s="889"/>
      <c r="AB11" s="4402"/>
      <c r="AC11" s="4092"/>
      <c r="AD11" s="3884"/>
      <c r="AE11" s="4092"/>
      <c r="AF11" s="2226"/>
      <c r="AG11" s="2227"/>
      <c r="AH11" s="2367"/>
      <c r="AI11" s="2226"/>
      <c r="AJ11" s="2227"/>
      <c r="AK11" s="2228"/>
      <c r="AL11" s="4091"/>
      <c r="AM11" s="3884"/>
      <c r="AN11" s="4092"/>
      <c r="AO11" s="4911"/>
      <c r="AP11" s="4912"/>
      <c r="AQ11" s="4873"/>
      <c r="AR11" s="4915"/>
      <c r="AS11" s="4916"/>
      <c r="AT11" s="4916"/>
      <c r="AU11" s="1720" t="s">
        <v>937</v>
      </c>
      <c r="AV11" s="1721">
        <v>1</v>
      </c>
      <c r="AW11" s="4927"/>
      <c r="AX11" s="4928"/>
      <c r="AY11" s="3591" t="s">
        <v>1023</v>
      </c>
      <c r="AZ11" s="3592">
        <v>2</v>
      </c>
      <c r="BA11" s="2015"/>
      <c r="BC11" s="4091"/>
      <c r="BD11" s="4092"/>
      <c r="BE11" s="3583" t="s">
        <v>1023</v>
      </c>
      <c r="BF11" s="3584">
        <v>2</v>
      </c>
      <c r="BH11" s="2019"/>
      <c r="BI11" s="4863"/>
      <c r="BJ11" s="3710"/>
    </row>
    <row r="12" spans="1:64" ht="11.25" customHeight="1">
      <c r="A12" s="4873"/>
      <c r="B12" s="4896"/>
      <c r="C12" s="4895"/>
      <c r="D12" s="4042"/>
      <c r="E12" s="3935"/>
      <c r="F12" s="3935"/>
      <c r="G12" s="4042"/>
      <c r="H12" s="3935"/>
      <c r="I12" s="4043"/>
      <c r="J12" s="1307"/>
      <c r="K12" s="4884"/>
      <c r="L12" s="4883"/>
      <c r="M12" s="4883"/>
      <c r="N12" s="4883"/>
      <c r="O12" s="1286"/>
      <c r="P12" s="4907"/>
      <c r="Q12" s="4905"/>
      <c r="R12" s="4882"/>
      <c r="S12" s="4939"/>
      <c r="T12" s="409"/>
      <c r="U12" s="902"/>
      <c r="V12" s="295" t="s">
        <v>6</v>
      </c>
      <c r="W12" s="296" t="s">
        <v>7</v>
      </c>
      <c r="X12" s="296" t="s">
        <v>8</v>
      </c>
      <c r="Y12" s="296" t="s">
        <v>45</v>
      </c>
      <c r="Z12" s="296" t="s">
        <v>46</v>
      </c>
      <c r="AA12" s="297" t="s">
        <v>253</v>
      </c>
      <c r="AB12" s="4402"/>
      <c r="AC12" s="4092"/>
      <c r="AD12" s="2237"/>
      <c r="AE12" s="2236"/>
      <c r="AF12" s="2226"/>
      <c r="AG12" s="2227"/>
      <c r="AH12" s="2367"/>
      <c r="AI12" s="2226"/>
      <c r="AJ12" s="2227"/>
      <c r="AK12" s="2228"/>
      <c r="AL12" s="2233" t="s">
        <v>240</v>
      </c>
      <c r="AM12" s="2182"/>
      <c r="AN12" s="2229">
        <v>1</v>
      </c>
      <c r="AO12" s="4911"/>
      <c r="AP12" s="4912"/>
      <c r="AQ12" s="4873"/>
      <c r="AR12" s="2021"/>
      <c r="AS12" s="1718"/>
      <c r="AT12" s="1880"/>
      <c r="AU12" s="1720" t="s">
        <v>32</v>
      </c>
      <c r="AV12" s="1721">
        <v>2</v>
      </c>
      <c r="AW12" s="4058" t="s">
        <v>1638</v>
      </c>
      <c r="AX12" s="4060"/>
      <c r="AY12" s="3561" t="s">
        <v>1876</v>
      </c>
      <c r="AZ12" s="3585">
        <v>3</v>
      </c>
      <c r="BA12" s="2015"/>
      <c r="BC12" s="4091"/>
      <c r="BD12" s="4092"/>
      <c r="BE12" s="1506" t="s">
        <v>1876</v>
      </c>
      <c r="BF12" s="3585">
        <v>3</v>
      </c>
      <c r="BH12" s="2019"/>
      <c r="BI12" s="4863"/>
      <c r="BJ12" s="3710"/>
    </row>
    <row r="13" spans="1:64" ht="11.25" customHeight="1" thickBot="1">
      <c r="A13" s="4873"/>
      <c r="B13" s="4897"/>
      <c r="C13" s="4898"/>
      <c r="E13" s="3721" t="s">
        <v>705</v>
      </c>
      <c r="G13" s="4042"/>
      <c r="H13" s="3935"/>
      <c r="I13" s="4043"/>
      <c r="J13" s="342"/>
      <c r="K13" s="4884"/>
      <c r="L13" s="4883"/>
      <c r="M13" s="4883"/>
      <c r="N13" s="4883"/>
      <c r="O13" s="1237"/>
      <c r="P13" s="4887" t="s">
        <v>243</v>
      </c>
      <c r="Q13" s="3871"/>
      <c r="R13" s="4880">
        <v>2</v>
      </c>
      <c r="S13" s="4939"/>
      <c r="T13" s="1251"/>
      <c r="U13" s="1288"/>
      <c r="V13" s="4671" t="s">
        <v>1386</v>
      </c>
      <c r="W13" s="4924" t="s">
        <v>1637</v>
      </c>
      <c r="X13" s="4634" t="s">
        <v>1387</v>
      </c>
      <c r="Y13" s="4634" t="s">
        <v>1388</v>
      </c>
      <c r="Z13" s="4634" t="s">
        <v>1389</v>
      </c>
      <c r="AA13" s="4636" t="s">
        <v>1390</v>
      </c>
      <c r="AB13" s="4402"/>
      <c r="AC13" s="4092"/>
      <c r="AD13" s="2237"/>
      <c r="AE13" s="2236"/>
      <c r="AF13" s="4955" t="s">
        <v>1010</v>
      </c>
      <c r="AG13" s="4956" t="s">
        <v>1010</v>
      </c>
      <c r="AH13" s="4957">
        <v>1</v>
      </c>
      <c r="AI13" s="4959"/>
      <c r="AJ13" s="3882"/>
      <c r="AK13" s="4996"/>
      <c r="AL13" s="2233" t="s">
        <v>241</v>
      </c>
      <c r="AM13" s="2182"/>
      <c r="AN13" s="2229">
        <v>2</v>
      </c>
      <c r="AO13" s="4911"/>
      <c r="AP13" s="4912"/>
      <c r="AQ13" s="4873"/>
      <c r="AR13" s="3508"/>
      <c r="AS13" s="3542"/>
      <c r="AT13" s="3543"/>
      <c r="AU13" s="1720" t="s">
        <v>938</v>
      </c>
      <c r="AV13" s="1721">
        <v>3</v>
      </c>
      <c r="AW13" s="4058"/>
      <c r="AX13" s="4060"/>
      <c r="AY13" s="3574" t="s">
        <v>1877</v>
      </c>
      <c r="AZ13" s="3586">
        <v>4</v>
      </c>
      <c r="BA13" s="3589"/>
      <c r="BC13" s="1968"/>
      <c r="BD13" s="1969"/>
      <c r="BE13" s="3574" t="s">
        <v>1877</v>
      </c>
      <c r="BF13" s="3586">
        <v>4</v>
      </c>
      <c r="BH13" s="2019"/>
      <c r="BI13" s="4863"/>
      <c r="BJ13" s="3710"/>
    </row>
    <row r="14" spans="1:64" ht="11.25" customHeight="1">
      <c r="A14" s="4873"/>
      <c r="B14" s="4897"/>
      <c r="C14" s="4898"/>
      <c r="D14" s="1307"/>
      <c r="E14" s="4886"/>
      <c r="F14" s="811"/>
      <c r="G14" s="4042"/>
      <c r="H14" s="3935"/>
      <c r="I14" s="4043"/>
      <c r="J14" s="342"/>
      <c r="K14" s="4884"/>
      <c r="L14" s="4883"/>
      <c r="M14" s="4883"/>
      <c r="N14" s="4883"/>
      <c r="O14" s="344"/>
      <c r="P14" s="4042"/>
      <c r="Q14" s="3935"/>
      <c r="R14" s="4881"/>
      <c r="S14" s="4939"/>
      <c r="T14" s="1551" t="s">
        <v>862</v>
      </c>
      <c r="U14" s="2012">
        <v>1</v>
      </c>
      <c r="V14" s="4671"/>
      <c r="W14" s="4924"/>
      <c r="X14" s="4634"/>
      <c r="Y14" s="4634"/>
      <c r="Z14" s="4634"/>
      <c r="AA14" s="4636"/>
      <c r="AB14" s="4402"/>
      <c r="AC14" s="4092"/>
      <c r="AD14" s="3940" t="s">
        <v>1006</v>
      </c>
      <c r="AE14" s="2249">
        <v>1</v>
      </c>
      <c r="AF14" s="4960" t="s">
        <v>1011</v>
      </c>
      <c r="AG14" s="4961" t="s">
        <v>1011</v>
      </c>
      <c r="AH14" s="4958"/>
      <c r="AI14" s="4962"/>
      <c r="AJ14" s="4963"/>
      <c r="AK14" s="4997"/>
      <c r="AL14" s="2233" t="s">
        <v>242</v>
      </c>
      <c r="AM14" s="2182"/>
      <c r="AN14" s="2229">
        <v>3</v>
      </c>
      <c r="AO14" s="1372" t="s">
        <v>862</v>
      </c>
      <c r="AP14" s="1376">
        <v>1</v>
      </c>
      <c r="AQ14" s="4873"/>
      <c r="AR14" s="3508"/>
      <c r="AS14" s="3542"/>
      <c r="AT14" s="3512"/>
      <c r="AU14" s="1720" t="s">
        <v>1022</v>
      </c>
      <c r="AV14" s="1721">
        <v>4</v>
      </c>
      <c r="AW14" s="4058"/>
      <c r="AX14" s="4060"/>
      <c r="AY14" s="3575" t="s">
        <v>1878</v>
      </c>
      <c r="AZ14" s="3587">
        <v>5</v>
      </c>
      <c r="BA14" s="3590"/>
      <c r="BC14" s="2022" t="s">
        <v>862</v>
      </c>
      <c r="BD14" s="1883">
        <v>1</v>
      </c>
      <c r="BE14" s="3575" t="s">
        <v>1878</v>
      </c>
      <c r="BF14" s="3587">
        <v>5</v>
      </c>
      <c r="BH14" s="2019"/>
      <c r="BI14" s="4864" t="s">
        <v>1845</v>
      </c>
      <c r="BJ14" s="4865"/>
    </row>
    <row r="15" spans="1:64" ht="11.25" customHeight="1">
      <c r="A15" s="4873"/>
      <c r="B15" s="4897"/>
      <c r="C15" s="4898"/>
      <c r="D15" s="1232"/>
      <c r="E15" s="4886"/>
      <c r="F15" s="1238"/>
      <c r="G15" s="1232"/>
      <c r="H15" s="1287"/>
      <c r="I15" s="1235"/>
      <c r="J15" s="1230"/>
      <c r="K15" s="4885"/>
      <c r="L15" s="4883"/>
      <c r="M15" s="4883"/>
      <c r="N15" s="4883"/>
      <c r="O15" s="3800"/>
      <c r="P15" s="4447"/>
      <c r="Q15" s="3872"/>
      <c r="R15" s="4882"/>
      <c r="S15" s="4939"/>
      <c r="T15" s="1551" t="s">
        <v>863</v>
      </c>
      <c r="U15" s="2012">
        <v>2</v>
      </c>
      <c r="V15" s="4671"/>
      <c r="W15" s="4924"/>
      <c r="X15" s="4634"/>
      <c r="Y15" s="4634"/>
      <c r="Z15" s="4634"/>
      <c r="AA15" s="4636"/>
      <c r="AB15" s="2368"/>
      <c r="AC15" s="1039"/>
      <c r="AD15" s="3935"/>
      <c r="AE15" s="2236"/>
      <c r="AF15" s="4943" t="s">
        <v>992</v>
      </c>
      <c r="AG15" s="4944" t="s">
        <v>992</v>
      </c>
      <c r="AH15" s="2235">
        <v>2</v>
      </c>
      <c r="AI15" s="4945" t="s">
        <v>1017</v>
      </c>
      <c r="AJ15" s="4946" t="s">
        <v>1017</v>
      </c>
      <c r="AK15" s="2235">
        <v>1</v>
      </c>
      <c r="AL15" s="2233" t="s">
        <v>244</v>
      </c>
      <c r="AM15" s="2182"/>
      <c r="AN15" s="2229">
        <v>4</v>
      </c>
      <c r="AO15" s="1375" t="s">
        <v>863</v>
      </c>
      <c r="AP15" s="1374">
        <v>2</v>
      </c>
      <c r="AQ15" s="4873"/>
      <c r="AR15" s="3510"/>
      <c r="AS15" s="3544"/>
      <c r="AT15" s="3544"/>
      <c r="AU15" s="1720" t="s">
        <v>1910</v>
      </c>
      <c r="AV15" s="1721">
        <v>5</v>
      </c>
      <c r="AW15" s="4058"/>
      <c r="AX15" s="4060"/>
      <c r="AY15" s="5000" t="s">
        <v>1886</v>
      </c>
      <c r="AZ15" s="5001"/>
      <c r="BA15" s="5001"/>
      <c r="BB15" s="5002"/>
      <c r="BC15" s="2013" t="s">
        <v>863</v>
      </c>
      <c r="BD15" s="2023">
        <v>2</v>
      </c>
      <c r="BE15" s="1040"/>
      <c r="BF15" s="4984" t="s">
        <v>1887</v>
      </c>
      <c r="BG15" s="4985"/>
      <c r="BH15" s="4986"/>
      <c r="BI15" s="4866"/>
      <c r="BJ15" s="4867"/>
    </row>
    <row r="16" spans="1:64" ht="11.25" customHeight="1">
      <c r="A16" s="4873"/>
      <c r="B16" s="4897"/>
      <c r="C16" s="4898"/>
      <c r="D16" s="1232"/>
      <c r="E16" s="4886"/>
      <c r="F16" s="1238"/>
      <c r="G16" s="1232"/>
      <c r="H16" s="3721" t="s">
        <v>676</v>
      </c>
      <c r="I16" s="1235"/>
      <c r="J16" s="1290"/>
      <c r="K16" s="4885"/>
      <c r="L16" s="4883"/>
      <c r="M16" s="4883"/>
      <c r="N16" s="4883"/>
      <c r="O16" s="4949"/>
      <c r="P16" s="1555" t="s">
        <v>247</v>
      </c>
      <c r="Q16" s="2220"/>
      <c r="R16" s="2218">
        <v>3</v>
      </c>
      <c r="S16" s="4939"/>
      <c r="T16" s="4941" t="s">
        <v>1276</v>
      </c>
      <c r="U16" s="4942"/>
      <c r="V16" s="4671"/>
      <c r="W16" s="4924"/>
      <c r="X16" s="4634"/>
      <c r="Y16" s="4634"/>
      <c r="Z16" s="4634"/>
      <c r="AA16" s="4636"/>
      <c r="AB16" s="2368"/>
      <c r="AC16" s="1039"/>
      <c r="AD16" s="2248" t="s">
        <v>1007</v>
      </c>
      <c r="AE16" s="2249">
        <v>2</v>
      </c>
      <c r="AF16" s="4943" t="s">
        <v>1012</v>
      </c>
      <c r="AG16" s="4944" t="s">
        <v>1012</v>
      </c>
      <c r="AH16" s="2235">
        <v>3</v>
      </c>
      <c r="AI16" s="4945" t="s">
        <v>1018</v>
      </c>
      <c r="AJ16" s="4946" t="s">
        <v>1018</v>
      </c>
      <c r="AK16" s="2235">
        <v>2</v>
      </c>
      <c r="AL16" s="2233" t="s">
        <v>246</v>
      </c>
      <c r="AM16" s="2182"/>
      <c r="AN16" s="2229">
        <v>5</v>
      </c>
      <c r="AO16" s="3709" t="s">
        <v>1278</v>
      </c>
      <c r="AP16" s="3711"/>
      <c r="AQ16" s="4873"/>
      <c r="AR16" s="3508"/>
      <c r="AS16" s="3542"/>
      <c r="AT16" s="3509"/>
      <c r="AU16" s="3537" t="s">
        <v>49</v>
      </c>
      <c r="AV16" s="3318">
        <v>6</v>
      </c>
      <c r="AW16" s="4058"/>
      <c r="AX16" s="4060"/>
      <c r="AY16" s="5000"/>
      <c r="AZ16" s="5001"/>
      <c r="BA16" s="5001"/>
      <c r="BB16" s="5002"/>
      <c r="BC16" s="4058" t="s">
        <v>1278</v>
      </c>
      <c r="BD16" s="4060"/>
      <c r="BE16" s="1040"/>
      <c r="BF16" s="4987"/>
      <c r="BG16" s="4988"/>
      <c r="BH16" s="4989"/>
      <c r="BI16" s="4866"/>
      <c r="BJ16" s="4867"/>
    </row>
    <row r="17" spans="1:62" ht="11.25" customHeight="1">
      <c r="A17" s="4873"/>
      <c r="B17" s="4897"/>
      <c r="C17" s="4898"/>
      <c r="D17" s="1232"/>
      <c r="E17" s="4886"/>
      <c r="F17" s="1238"/>
      <c r="G17" s="1232"/>
      <c r="H17" s="3721"/>
      <c r="I17" s="1235"/>
      <c r="J17" s="345"/>
      <c r="K17" s="4883"/>
      <c r="L17" s="4883"/>
      <c r="M17" s="4883"/>
      <c r="N17" s="4883"/>
      <c r="O17" s="1237"/>
      <c r="P17" s="4887" t="s">
        <v>707</v>
      </c>
      <c r="Q17" s="3871"/>
      <c r="R17" s="2316"/>
      <c r="S17" s="4939"/>
      <c r="T17" s="2013" t="s">
        <v>906</v>
      </c>
      <c r="U17" s="4947">
        <v>9</v>
      </c>
      <c r="V17" s="4671"/>
      <c r="W17" s="4924"/>
      <c r="X17" s="4634"/>
      <c r="Y17" s="4634"/>
      <c r="Z17" s="4634"/>
      <c r="AA17" s="4636"/>
      <c r="AB17" s="2369" t="s">
        <v>1004</v>
      </c>
      <c r="AC17" s="2009">
        <v>1</v>
      </c>
      <c r="AD17" s="2011" t="s">
        <v>1277</v>
      </c>
      <c r="AE17" s="2250"/>
      <c r="AF17" s="4943" t="s">
        <v>1013</v>
      </c>
      <c r="AG17" s="4944" t="s">
        <v>1013</v>
      </c>
      <c r="AH17" s="2235">
        <v>4</v>
      </c>
      <c r="AI17" s="4945" t="s">
        <v>1019</v>
      </c>
      <c r="AJ17" s="4946" t="s">
        <v>1019</v>
      </c>
      <c r="AK17" s="2235">
        <v>3</v>
      </c>
      <c r="AL17" s="2230"/>
      <c r="AM17" s="2231"/>
      <c r="AN17" s="2232"/>
      <c r="AO17" s="3709"/>
      <c r="AP17" s="3711"/>
      <c r="AQ17" s="4873"/>
      <c r="AR17" s="2021"/>
      <c r="AS17" s="1718"/>
      <c r="AT17" s="2167"/>
      <c r="AU17" s="4264" t="s">
        <v>1647</v>
      </c>
      <c r="AV17" s="4266">
        <v>7</v>
      </c>
      <c r="AW17" s="4058"/>
      <c r="AX17" s="4060"/>
      <c r="AY17" s="5000"/>
      <c r="AZ17" s="5001"/>
      <c r="BA17" s="5001"/>
      <c r="BB17" s="5002"/>
      <c r="BC17" s="4058"/>
      <c r="BD17" s="4060"/>
      <c r="BE17" s="1040"/>
      <c r="BF17" s="4987"/>
      <c r="BG17" s="4988"/>
      <c r="BH17" s="4989"/>
      <c r="BI17" s="4866"/>
      <c r="BJ17" s="4867"/>
    </row>
    <row r="18" spans="1:62" ht="23.25" customHeight="1">
      <c r="A18" s="4873"/>
      <c r="B18" s="4897"/>
      <c r="C18" s="4898"/>
      <c r="D18" s="1290"/>
      <c r="E18" s="4886"/>
      <c r="F18" s="1289"/>
      <c r="G18" s="1290"/>
      <c r="H18" s="1287"/>
      <c r="I18" s="1291"/>
      <c r="J18" s="342"/>
      <c r="K18" s="4883"/>
      <c r="L18" s="4883"/>
      <c r="M18" s="4883"/>
      <c r="N18" s="4883"/>
      <c r="O18" s="1237"/>
      <c r="P18" s="4447"/>
      <c r="Q18" s="3872"/>
      <c r="R18" s="2501">
        <v>4</v>
      </c>
      <c r="S18" s="4939"/>
      <c r="T18" s="2014" t="s">
        <v>1276</v>
      </c>
      <c r="U18" s="4948"/>
      <c r="V18" s="4671"/>
      <c r="W18" s="4924"/>
      <c r="X18" s="4634"/>
      <c r="Y18" s="4634"/>
      <c r="Z18" s="4634"/>
      <c r="AA18" s="4636"/>
      <c r="AB18" s="2369" t="s">
        <v>1005</v>
      </c>
      <c r="AC18" s="2009">
        <v>2</v>
      </c>
      <c r="AD18" s="2004" t="s">
        <v>1008</v>
      </c>
      <c r="AE18" s="2249"/>
      <c r="AF18" s="4943" t="s">
        <v>1014</v>
      </c>
      <c r="AG18" s="4944" t="s">
        <v>1014</v>
      </c>
      <c r="AH18" s="2235">
        <v>5</v>
      </c>
      <c r="AI18" s="4945" t="s">
        <v>1020</v>
      </c>
      <c r="AJ18" s="4946" t="s">
        <v>1020</v>
      </c>
      <c r="AK18" s="2235">
        <v>4</v>
      </c>
      <c r="AL18" s="2230"/>
      <c r="AM18" s="2231"/>
      <c r="AN18" s="2232"/>
      <c r="AO18" s="3709"/>
      <c r="AP18" s="3711"/>
      <c r="AQ18" s="4873"/>
      <c r="AR18" s="2021"/>
      <c r="AS18" s="1718"/>
      <c r="AT18" s="2167"/>
      <c r="AU18" s="4265"/>
      <c r="AV18" s="4267"/>
      <c r="AW18" s="4058"/>
      <c r="AX18" s="4060"/>
      <c r="AY18" s="5003"/>
      <c r="AZ18" s="5004"/>
      <c r="BA18" s="5004"/>
      <c r="BB18" s="5005"/>
      <c r="BC18" s="4058"/>
      <c r="BD18" s="4060"/>
      <c r="BE18" s="1040"/>
      <c r="BF18" s="4990"/>
      <c r="BG18" s="4991"/>
      <c r="BH18" s="4992"/>
      <c r="BI18" s="4866"/>
      <c r="BJ18" s="4867"/>
    </row>
    <row r="19" spans="1:62" ht="11.25" customHeight="1">
      <c r="A19" s="4873"/>
      <c r="B19" s="4888" t="s">
        <v>122</v>
      </c>
      <c r="C19" s="4888" t="s">
        <v>22</v>
      </c>
      <c r="D19" s="1290"/>
      <c r="E19" s="1289"/>
      <c r="F19" s="1289"/>
      <c r="G19" s="1290"/>
      <c r="H19" s="1289"/>
      <c r="I19" s="1291"/>
      <c r="J19" s="342"/>
      <c r="K19" s="4883"/>
      <c r="L19" s="4883"/>
      <c r="M19" s="4883"/>
      <c r="N19" s="4883"/>
      <c r="O19" s="1237"/>
      <c r="P19" s="4887" t="s">
        <v>696</v>
      </c>
      <c r="Q19" s="3871"/>
      <c r="R19" s="4880">
        <v>5</v>
      </c>
      <c r="S19" s="4939"/>
      <c r="T19" s="1232"/>
      <c r="U19" s="1259"/>
      <c r="V19" s="4671"/>
      <c r="W19" s="4924"/>
      <c r="X19" s="4634"/>
      <c r="Y19" s="4634"/>
      <c r="Z19" s="4634"/>
      <c r="AA19" s="4636"/>
      <c r="AB19" s="2370"/>
      <c r="AC19" s="2023"/>
      <c r="AD19" s="2005" t="s">
        <v>1009</v>
      </c>
      <c r="AE19" s="2239">
        <v>3</v>
      </c>
      <c r="AF19" s="4945" t="s">
        <v>1015</v>
      </c>
      <c r="AG19" s="4946" t="s">
        <v>1015</v>
      </c>
      <c r="AH19" s="2235">
        <v>6</v>
      </c>
      <c r="AI19" s="4945" t="s">
        <v>1021</v>
      </c>
      <c r="AJ19" s="4946" t="s">
        <v>1021</v>
      </c>
      <c r="AK19" s="2235">
        <v>5</v>
      </c>
      <c r="AL19" s="2230"/>
      <c r="AM19" s="2231"/>
      <c r="AN19" s="2232"/>
      <c r="AO19" s="3709"/>
      <c r="AP19" s="3711"/>
      <c r="AQ19" s="4873"/>
      <c r="AR19" s="2021"/>
      <c r="AS19" s="1718"/>
      <c r="AT19" s="2167"/>
      <c r="AU19" s="3322" t="s">
        <v>1859</v>
      </c>
      <c r="AV19" s="3323"/>
      <c r="AW19" s="1486"/>
      <c r="AX19" s="2024"/>
      <c r="AY19" s="4998" t="s">
        <v>248</v>
      </c>
      <c r="AZ19" s="4999"/>
      <c r="BA19" s="4993" t="s">
        <v>249</v>
      </c>
      <c r="BB19" s="4994"/>
      <c r="BC19" s="4058"/>
      <c r="BD19" s="4060"/>
      <c r="BE19" s="3572" t="s">
        <v>248</v>
      </c>
      <c r="BF19" s="3573"/>
      <c r="BG19" s="4993" t="s">
        <v>249</v>
      </c>
      <c r="BH19" s="4995"/>
      <c r="BI19" s="4866"/>
      <c r="BJ19" s="4867"/>
    </row>
    <row r="20" spans="1:62" ht="11.25" customHeight="1">
      <c r="A20" s="4873"/>
      <c r="B20" s="4889"/>
      <c r="C20" s="4891"/>
      <c r="D20" s="1230"/>
      <c r="E20" s="1236"/>
      <c r="F20" s="1236"/>
      <c r="G20" s="1230"/>
      <c r="H20" s="1236"/>
      <c r="I20" s="1237"/>
      <c r="J20" s="4950"/>
      <c r="K20" s="4951"/>
      <c r="L20" s="4951"/>
      <c r="M20" s="4951"/>
      <c r="N20" s="4951"/>
      <c r="O20" s="3800"/>
      <c r="P20" s="4042"/>
      <c r="Q20" s="3935"/>
      <c r="R20" s="3810"/>
      <c r="S20" s="4939"/>
      <c r="T20" s="409"/>
      <c r="U20" s="902"/>
      <c r="V20" s="4671"/>
      <c r="W20" s="4924"/>
      <c r="X20" s="4634"/>
      <c r="Y20" s="4634"/>
      <c r="Z20" s="4634"/>
      <c r="AA20" s="4636"/>
      <c r="AB20" s="2371"/>
      <c r="AC20" s="1491"/>
      <c r="AD20" s="2011" t="s">
        <v>1277</v>
      </c>
      <c r="AE20" s="2010"/>
      <c r="AF20" s="4945" t="s">
        <v>906</v>
      </c>
      <c r="AG20" s="4946" t="s">
        <v>1016</v>
      </c>
      <c r="AH20" s="2235">
        <v>9</v>
      </c>
      <c r="AI20" s="4964"/>
      <c r="AJ20" s="3903"/>
      <c r="AK20" s="2234"/>
      <c r="AL20" s="346"/>
      <c r="AM20" s="347"/>
      <c r="AN20" s="348"/>
      <c r="AO20" s="3709"/>
      <c r="AP20" s="3711"/>
      <c r="AQ20" s="4873"/>
      <c r="AR20" s="2021"/>
      <c r="AS20" s="3545" t="s">
        <v>1023</v>
      </c>
      <c r="AT20" s="3545">
        <v>1</v>
      </c>
      <c r="AU20" s="3320" t="s">
        <v>1860</v>
      </c>
      <c r="AV20" s="3321">
        <v>8</v>
      </c>
      <c r="AW20" s="4526" t="s">
        <v>245</v>
      </c>
      <c r="AX20" s="4476"/>
      <c r="AY20" s="5009" t="s">
        <v>238</v>
      </c>
      <c r="AZ20" s="5010"/>
      <c r="BA20" s="4969" t="s">
        <v>679</v>
      </c>
      <c r="BB20" s="3837"/>
      <c r="BC20" s="4058"/>
      <c r="BD20" s="4060"/>
      <c r="BE20" s="4295" t="s">
        <v>238</v>
      </c>
      <c r="BF20" s="5014"/>
      <c r="BG20" s="4969" t="s">
        <v>679</v>
      </c>
      <c r="BH20" s="4970"/>
      <c r="BI20" s="4866"/>
      <c r="BJ20" s="4867"/>
    </row>
    <row r="21" spans="1:62" ht="11.25" customHeight="1">
      <c r="A21" s="4873"/>
      <c r="B21" s="4889"/>
      <c r="C21" s="4891"/>
      <c r="D21" s="342"/>
      <c r="E21" s="343"/>
      <c r="F21" s="4973" t="s">
        <v>706</v>
      </c>
      <c r="G21" s="342"/>
      <c r="H21" s="343"/>
      <c r="I21" s="4976" t="s">
        <v>250</v>
      </c>
      <c r="J21" s="4952"/>
      <c r="K21" s="4951"/>
      <c r="L21" s="4951"/>
      <c r="M21" s="4951"/>
      <c r="N21" s="4951"/>
      <c r="O21" s="4953"/>
      <c r="P21" s="4447"/>
      <c r="Q21" s="3872"/>
      <c r="R21" s="2501"/>
      <c r="S21" s="4939"/>
      <c r="T21" s="342"/>
      <c r="U21" s="350"/>
      <c r="V21" s="4671"/>
      <c r="W21" s="4924"/>
      <c r="X21" s="4634"/>
      <c r="Y21" s="4634"/>
      <c r="Z21" s="4634"/>
      <c r="AA21" s="4636"/>
      <c r="AB21" s="2372"/>
      <c r="AC21" s="2238"/>
      <c r="AD21" s="1859"/>
      <c r="AE21" s="1491"/>
      <c r="AF21" s="4979"/>
      <c r="AG21" s="4980"/>
      <c r="AH21" s="4981"/>
      <c r="AI21" s="4692"/>
      <c r="AJ21" s="4693"/>
      <c r="AK21" s="4694"/>
      <c r="AL21" s="1119"/>
      <c r="AM21" s="1308"/>
      <c r="AN21" s="810"/>
      <c r="AO21" s="3709"/>
      <c r="AP21" s="3711"/>
      <c r="AQ21" s="4874"/>
      <c r="AR21" s="2167" t="s">
        <v>24</v>
      </c>
      <c r="AS21" s="3648" t="s">
        <v>1024</v>
      </c>
      <c r="AT21" s="3648">
        <v>2</v>
      </c>
      <c r="AU21" s="3649" t="s">
        <v>1761</v>
      </c>
      <c r="AV21" s="3319">
        <v>9</v>
      </c>
      <c r="AW21" s="4526"/>
      <c r="AX21" s="4476"/>
      <c r="AY21" s="5011"/>
      <c r="AZ21" s="5012"/>
      <c r="BA21" s="4969"/>
      <c r="BB21" s="3837"/>
      <c r="BC21" s="4058"/>
      <c r="BD21" s="4060"/>
      <c r="BE21" s="4296"/>
      <c r="BF21" s="5015"/>
      <c r="BG21" s="4969"/>
      <c r="BH21" s="4970"/>
      <c r="BI21" s="4866"/>
      <c r="BJ21" s="4867"/>
    </row>
    <row r="22" spans="1:62" ht="25.5" customHeight="1" thickBot="1">
      <c r="A22" s="4873"/>
      <c r="B22" s="4889"/>
      <c r="C22" s="4891"/>
      <c r="D22" s="3824" t="s">
        <v>1232</v>
      </c>
      <c r="E22" s="4929"/>
      <c r="F22" s="4974"/>
      <c r="G22" s="3824" t="s">
        <v>252</v>
      </c>
      <c r="H22" s="4929"/>
      <c r="I22" s="4977"/>
      <c r="J22" s="4932" t="s">
        <v>1598</v>
      </c>
      <c r="K22" s="4933"/>
      <c r="L22" s="4933"/>
      <c r="M22" s="4933"/>
      <c r="N22" s="4933"/>
      <c r="O22" s="4934"/>
      <c r="P22" s="1556" t="s">
        <v>251</v>
      </c>
      <c r="Q22" s="2221"/>
      <c r="R22" s="2218">
        <v>6</v>
      </c>
      <c r="S22" s="4939"/>
      <c r="T22" s="342"/>
      <c r="U22" s="350"/>
      <c r="V22" s="4671"/>
      <c r="W22" s="4924"/>
      <c r="X22" s="4634"/>
      <c r="Y22" s="4634"/>
      <c r="Z22" s="4634"/>
      <c r="AA22" s="4636"/>
      <c r="AB22" s="351"/>
      <c r="AC22" s="1231"/>
      <c r="AD22" s="585"/>
      <c r="AE22" s="1231"/>
      <c r="AF22" s="840"/>
      <c r="AG22" s="826"/>
      <c r="AH22" s="921"/>
      <c r="AI22" s="840"/>
      <c r="AJ22" s="826"/>
      <c r="AK22" s="827"/>
      <c r="AL22" s="1377"/>
      <c r="AM22" s="1378"/>
      <c r="AN22" s="1379"/>
      <c r="AO22" s="3784"/>
      <c r="AP22" s="4926"/>
      <c r="AQ22" s="4873"/>
      <c r="AR22" s="1490" t="s">
        <v>1695</v>
      </c>
      <c r="AS22" s="3648" t="s">
        <v>864</v>
      </c>
      <c r="AT22" s="3648">
        <v>3</v>
      </c>
      <c r="AU22" s="4967" t="s">
        <v>1857</v>
      </c>
      <c r="AV22" s="4968"/>
      <c r="AW22" s="4526"/>
      <c r="AX22" s="4476"/>
      <c r="AY22" s="5011"/>
      <c r="AZ22" s="5012"/>
      <c r="BA22" s="4969"/>
      <c r="BB22" s="3837"/>
      <c r="BC22" s="4870"/>
      <c r="BD22" s="4871"/>
      <c r="BE22" s="4296"/>
      <c r="BF22" s="5015"/>
      <c r="BG22" s="4969"/>
      <c r="BH22" s="4970"/>
      <c r="BI22" s="4868"/>
      <c r="BJ22" s="4869"/>
    </row>
    <row r="23" spans="1:62" ht="14.25" customHeight="1" thickBot="1">
      <c r="A23" s="4875"/>
      <c r="B23" s="4890"/>
      <c r="C23" s="4892"/>
      <c r="D23" s="4930"/>
      <c r="E23" s="4931"/>
      <c r="F23" s="4975"/>
      <c r="G23" s="4930"/>
      <c r="H23" s="4931"/>
      <c r="I23" s="4978"/>
      <c r="J23" s="4935"/>
      <c r="K23" s="4936"/>
      <c r="L23" s="4936"/>
      <c r="M23" s="4936"/>
      <c r="N23" s="4936"/>
      <c r="O23" s="4937"/>
      <c r="P23" s="2219"/>
      <c r="Q23" s="2294"/>
      <c r="R23" s="2295"/>
      <c r="S23" s="4940"/>
      <c r="T23" s="1248"/>
      <c r="U23" s="352"/>
      <c r="V23" s="4923"/>
      <c r="W23" s="4925"/>
      <c r="X23" s="4983"/>
      <c r="Y23" s="4983"/>
      <c r="Z23" s="4983"/>
      <c r="AA23" s="4954"/>
      <c r="AB23" s="353"/>
      <c r="AC23" s="1250"/>
      <c r="AD23" s="1249"/>
      <c r="AE23" s="2241"/>
      <c r="AF23" s="237"/>
      <c r="AG23" s="236"/>
      <c r="AH23" s="877"/>
      <c r="AI23" s="237"/>
      <c r="AJ23" s="236"/>
      <c r="AK23" s="877"/>
      <c r="AL23" s="5006" t="s">
        <v>24</v>
      </c>
      <c r="AM23" s="5007"/>
      <c r="AN23" s="5008"/>
      <c r="AO23" s="1248"/>
      <c r="AP23" s="1250"/>
      <c r="AQ23" s="4875"/>
      <c r="AR23" s="2876"/>
      <c r="AS23" s="2877"/>
      <c r="AT23" s="2878"/>
      <c r="AU23" s="4334" t="s">
        <v>1858</v>
      </c>
      <c r="AV23" s="4335"/>
      <c r="AW23" s="2816" t="s">
        <v>1580</v>
      </c>
      <c r="AX23" s="2817" t="s">
        <v>1581</v>
      </c>
      <c r="AY23" s="4418"/>
      <c r="AZ23" s="5013"/>
      <c r="BA23" s="4971"/>
      <c r="BB23" s="4982"/>
      <c r="BC23" s="2026"/>
      <c r="BD23" s="2027"/>
      <c r="BE23" s="5016"/>
      <c r="BF23" s="5017"/>
      <c r="BG23" s="4971"/>
      <c r="BH23" s="4972"/>
    </row>
    <row r="24" spans="1:62" ht="6" customHeight="1" thickBot="1">
      <c r="F24" s="355"/>
      <c r="I24" s="355"/>
      <c r="J24" s="355"/>
      <c r="K24" s="355"/>
      <c r="L24" s="355"/>
      <c r="M24" s="355"/>
      <c r="N24" s="355"/>
      <c r="O24" s="355"/>
      <c r="P24" s="355"/>
      <c r="Q24" s="355"/>
      <c r="R24" s="1970"/>
      <c r="T24" s="355"/>
      <c r="U24" s="355"/>
      <c r="V24" s="57"/>
      <c r="W24" s="57"/>
      <c r="X24" s="57"/>
      <c r="Y24" s="57"/>
      <c r="Z24" s="57"/>
      <c r="AA24" s="57"/>
      <c r="AB24" s="355"/>
      <c r="AC24" s="355"/>
      <c r="AD24" s="355"/>
      <c r="AE24" s="2252"/>
      <c r="AL24" s="355"/>
      <c r="AM24" s="355"/>
      <c r="AN24" s="355"/>
      <c r="AO24" s="355"/>
      <c r="AP24" s="355"/>
      <c r="AR24" s="355"/>
      <c r="AS24" s="355"/>
      <c r="AT24" s="355"/>
      <c r="AU24" s="356"/>
      <c r="AV24" s="1970"/>
      <c r="AW24" s="355"/>
      <c r="AX24" s="355"/>
      <c r="AY24" s="355"/>
      <c r="AZ24" s="355"/>
      <c r="BA24" s="355"/>
      <c r="BB24" s="355"/>
      <c r="BC24" s="355"/>
      <c r="BD24" s="355"/>
      <c r="BE24" s="355"/>
      <c r="BF24" s="355"/>
      <c r="BG24" s="355"/>
      <c r="BH24" s="355"/>
    </row>
    <row r="25" spans="1:62" ht="18" customHeight="1">
      <c r="A25" s="358" t="s">
        <v>6</v>
      </c>
      <c r="B25" s="359"/>
      <c r="C25" s="360"/>
      <c r="D25" s="359"/>
      <c r="E25" s="361"/>
      <c r="F25" s="360"/>
      <c r="G25" s="359"/>
      <c r="H25" s="361"/>
      <c r="I25" s="360"/>
      <c r="J25" s="361"/>
      <c r="K25" s="361"/>
      <c r="L25" s="361"/>
      <c r="M25" s="361"/>
      <c r="N25" s="361"/>
      <c r="O25" s="362"/>
      <c r="P25" s="363"/>
      <c r="Q25" s="364"/>
      <c r="R25" s="934"/>
      <c r="S25" s="2222" t="s">
        <v>6</v>
      </c>
      <c r="T25" s="363"/>
      <c r="U25" s="364"/>
      <c r="V25" s="846"/>
      <c r="W25" s="847"/>
      <c r="X25" s="847"/>
      <c r="Y25" s="847"/>
      <c r="Z25" s="847"/>
      <c r="AA25" s="848"/>
      <c r="AB25" s="364"/>
      <c r="AC25" s="365"/>
      <c r="AD25" s="363"/>
      <c r="AE25" s="362"/>
      <c r="AF25" s="363"/>
      <c r="AG25" s="364"/>
      <c r="AH25" s="922"/>
      <c r="AI25" s="363"/>
      <c r="AJ25" s="364"/>
      <c r="AK25" s="365"/>
      <c r="AL25" s="363"/>
      <c r="AM25" s="364"/>
      <c r="AN25" s="365"/>
      <c r="AO25" s="363"/>
      <c r="AP25" s="365"/>
      <c r="AQ25" s="358" t="s">
        <v>6</v>
      </c>
      <c r="AR25" s="359"/>
      <c r="AS25" s="359"/>
      <c r="AT25" s="362"/>
      <c r="AW25" s="359"/>
      <c r="AX25" s="360"/>
      <c r="AY25" s="363"/>
      <c r="AZ25" s="3567"/>
      <c r="BA25" s="364"/>
      <c r="BB25" s="365"/>
      <c r="BC25" s="363"/>
      <c r="BD25" s="365"/>
      <c r="BE25" s="363"/>
      <c r="BF25" s="3567"/>
      <c r="BG25" s="364"/>
      <c r="BH25" s="366"/>
      <c r="BI25" s="3571"/>
    </row>
    <row r="26" spans="1:62" ht="18" customHeight="1">
      <c r="A26" s="368" t="s">
        <v>7</v>
      </c>
      <c r="B26" s="369"/>
      <c r="C26" s="370"/>
      <c r="D26" s="371"/>
      <c r="E26" s="372"/>
      <c r="F26" s="373"/>
      <c r="G26" s="371"/>
      <c r="H26" s="372"/>
      <c r="I26" s="373"/>
      <c r="J26" s="372"/>
      <c r="K26" s="372"/>
      <c r="L26" s="372"/>
      <c r="M26" s="372"/>
      <c r="N26" s="372"/>
      <c r="O26" s="374"/>
      <c r="P26" s="375"/>
      <c r="Q26" s="376"/>
      <c r="R26" s="935"/>
      <c r="S26" s="2223" t="s">
        <v>7</v>
      </c>
      <c r="T26" s="375"/>
      <c r="U26" s="376"/>
      <c r="V26" s="926"/>
      <c r="W26" s="379"/>
      <c r="X26" s="379"/>
      <c r="Y26" s="379"/>
      <c r="Z26" s="379"/>
      <c r="AA26" s="927"/>
      <c r="AB26" s="376"/>
      <c r="AC26" s="377"/>
      <c r="AD26" s="375"/>
      <c r="AE26" s="374"/>
      <c r="AF26" s="375"/>
      <c r="AG26" s="376"/>
      <c r="AH26" s="923"/>
      <c r="AI26" s="375"/>
      <c r="AJ26" s="376"/>
      <c r="AK26" s="377"/>
      <c r="AL26" s="375"/>
      <c r="AM26" s="376"/>
      <c r="AN26" s="377"/>
      <c r="AO26" s="375"/>
      <c r="AP26" s="377"/>
      <c r="AQ26" s="368" t="s">
        <v>7</v>
      </c>
      <c r="AR26" s="371"/>
      <c r="AS26" s="371"/>
      <c r="AT26" s="374"/>
      <c r="AU26" s="4965"/>
      <c r="AV26" s="4965"/>
      <c r="AW26" s="371"/>
      <c r="AX26" s="373"/>
      <c r="AY26" s="375"/>
      <c r="AZ26" s="3568"/>
      <c r="BA26" s="376"/>
      <c r="BB26" s="377"/>
      <c r="BC26" s="375"/>
      <c r="BD26" s="377"/>
      <c r="BE26" s="375"/>
      <c r="BF26" s="3568"/>
      <c r="BG26" s="376"/>
      <c r="BH26" s="378"/>
    </row>
    <row r="27" spans="1:62" ht="18" customHeight="1">
      <c r="A27" s="380" t="s">
        <v>8</v>
      </c>
      <c r="B27" s="381"/>
      <c r="C27" s="382"/>
      <c r="D27" s="381"/>
      <c r="E27" s="383"/>
      <c r="F27" s="382"/>
      <c r="G27" s="381"/>
      <c r="H27" s="383"/>
      <c r="I27" s="382"/>
      <c r="J27" s="383"/>
      <c r="K27" s="383"/>
      <c r="L27" s="383"/>
      <c r="M27" s="383"/>
      <c r="N27" s="383"/>
      <c r="O27" s="384"/>
      <c r="P27" s="385"/>
      <c r="Q27" s="386"/>
      <c r="R27" s="936"/>
      <c r="S27" s="2224" t="s">
        <v>8</v>
      </c>
      <c r="T27" s="385"/>
      <c r="U27" s="386"/>
      <c r="V27" s="928"/>
      <c r="W27" s="389"/>
      <c r="X27" s="389"/>
      <c r="Y27" s="389"/>
      <c r="Z27" s="389"/>
      <c r="AA27" s="929"/>
      <c r="AB27" s="386"/>
      <c r="AC27" s="387"/>
      <c r="AD27" s="385"/>
      <c r="AE27" s="384"/>
      <c r="AF27" s="375"/>
      <c r="AG27" s="386"/>
      <c r="AH27" s="924"/>
      <c r="AI27" s="385" t="str">
        <f>PROPER(AI14)</f>
        <v/>
      </c>
      <c r="AJ27" s="386"/>
      <c r="AK27" s="387"/>
      <c r="AL27" s="385"/>
      <c r="AM27" s="386"/>
      <c r="AN27" s="387"/>
      <c r="AO27" s="385"/>
      <c r="AP27" s="387"/>
      <c r="AQ27" s="380" t="s">
        <v>8</v>
      </c>
      <c r="AR27" s="381"/>
      <c r="AS27" s="381" t="s">
        <v>1566</v>
      </c>
      <c r="AT27" s="384"/>
      <c r="AU27" s="4966"/>
      <c r="AV27" s="4966"/>
      <c r="AW27" s="381"/>
      <c r="AX27" s="382"/>
      <c r="AY27" s="385"/>
      <c r="AZ27" s="3569"/>
      <c r="BA27" s="386"/>
      <c r="BB27" s="387"/>
      <c r="BC27" s="385"/>
      <c r="BD27" s="387"/>
      <c r="BE27" s="385"/>
      <c r="BF27" s="3569"/>
      <c r="BG27" s="386"/>
      <c r="BH27" s="388"/>
    </row>
    <row r="28" spans="1:62" ht="18" customHeight="1">
      <c r="A28" s="368" t="s">
        <v>45</v>
      </c>
      <c r="B28" s="369"/>
      <c r="C28" s="370"/>
      <c r="D28" s="371"/>
      <c r="E28" s="372"/>
      <c r="F28" s="373"/>
      <c r="G28" s="371"/>
      <c r="H28" s="372"/>
      <c r="I28" s="373"/>
      <c r="J28" s="372"/>
      <c r="K28" s="372"/>
      <c r="L28" s="372"/>
      <c r="M28" s="372"/>
      <c r="N28" s="372"/>
      <c r="O28" s="374"/>
      <c r="P28" s="375"/>
      <c r="Q28" s="376"/>
      <c r="R28" s="935"/>
      <c r="S28" s="2223" t="s">
        <v>45</v>
      </c>
      <c r="T28" s="375"/>
      <c r="U28" s="376"/>
      <c r="V28" s="926"/>
      <c r="W28" s="379"/>
      <c r="X28" s="379"/>
      <c r="Y28" s="379"/>
      <c r="Z28" s="379"/>
      <c r="AA28" s="927"/>
      <c r="AB28" s="376"/>
      <c r="AC28" s="377"/>
      <c r="AD28" s="375"/>
      <c r="AE28" s="374"/>
      <c r="AF28" s="375"/>
      <c r="AG28" s="376"/>
      <c r="AH28" s="923"/>
      <c r="AI28" s="385"/>
      <c r="AJ28" s="376"/>
      <c r="AK28" s="377"/>
      <c r="AL28" s="375"/>
      <c r="AM28" s="376"/>
      <c r="AN28" s="377"/>
      <c r="AO28" s="375"/>
      <c r="AP28" s="377"/>
      <c r="AQ28" s="368" t="s">
        <v>45</v>
      </c>
      <c r="AR28" s="371"/>
      <c r="AS28" s="371"/>
      <c r="AT28" s="374"/>
      <c r="AU28" s="4965"/>
      <c r="AV28" s="4965"/>
      <c r="AW28" s="371"/>
      <c r="AX28" s="373"/>
      <c r="AY28" s="375"/>
      <c r="AZ28" s="3568"/>
      <c r="BA28" s="376"/>
      <c r="BB28" s="377"/>
      <c r="BC28" s="375"/>
      <c r="BD28" s="377"/>
      <c r="BE28" s="375"/>
      <c r="BF28" s="3568"/>
      <c r="BG28" s="376"/>
      <c r="BH28" s="378"/>
    </row>
    <row r="29" spans="1:62" ht="18" customHeight="1">
      <c r="A29" s="380" t="s">
        <v>46</v>
      </c>
      <c r="B29" s="381"/>
      <c r="C29" s="382"/>
      <c r="D29" s="381"/>
      <c r="E29" s="383"/>
      <c r="F29" s="382"/>
      <c r="G29" s="381"/>
      <c r="H29" s="383"/>
      <c r="I29" s="382"/>
      <c r="J29" s="383"/>
      <c r="K29" s="383"/>
      <c r="L29" s="383"/>
      <c r="M29" s="383"/>
      <c r="N29" s="383"/>
      <c r="O29" s="384"/>
      <c r="P29" s="385"/>
      <c r="Q29" s="386"/>
      <c r="R29" s="936"/>
      <c r="S29" s="2224" t="s">
        <v>46</v>
      </c>
      <c r="T29" s="385"/>
      <c r="U29" s="386"/>
      <c r="V29" s="928"/>
      <c r="W29" s="389"/>
      <c r="X29" s="389"/>
      <c r="Y29" s="389"/>
      <c r="Z29" s="389"/>
      <c r="AA29" s="929"/>
      <c r="AB29" s="386"/>
      <c r="AC29" s="387"/>
      <c r="AD29" s="385"/>
      <c r="AE29" s="384"/>
      <c r="AF29" s="375"/>
      <c r="AG29" s="386"/>
      <c r="AH29" s="924"/>
      <c r="AI29" s="385"/>
      <c r="AJ29" s="386"/>
      <c r="AK29" s="387"/>
      <c r="AL29" s="385"/>
      <c r="AM29" s="386"/>
      <c r="AN29" s="387"/>
      <c r="AO29" s="385"/>
      <c r="AP29" s="387"/>
      <c r="AQ29" s="380" t="s">
        <v>46</v>
      </c>
      <c r="AR29" s="381"/>
      <c r="AS29" s="381"/>
      <c r="AT29" s="384"/>
      <c r="AU29" s="4966"/>
      <c r="AV29" s="4966"/>
      <c r="AW29" s="381"/>
      <c r="AX29" s="382"/>
      <c r="AY29" s="385"/>
      <c r="AZ29" s="3569"/>
      <c r="BA29" s="386"/>
      <c r="BB29" s="387"/>
      <c r="BC29" s="385"/>
      <c r="BD29" s="387"/>
      <c r="BE29" s="385"/>
      <c r="BF29" s="3569"/>
      <c r="BG29" s="386"/>
      <c r="BH29" s="388"/>
      <c r="BI29" s="3571"/>
    </row>
    <row r="30" spans="1:62" ht="18" customHeight="1">
      <c r="A30" s="368" t="s">
        <v>253</v>
      </c>
      <c r="B30" s="369"/>
      <c r="C30" s="370"/>
      <c r="D30" s="371"/>
      <c r="E30" s="372"/>
      <c r="F30" s="373"/>
      <c r="G30" s="371"/>
      <c r="H30" s="372"/>
      <c r="I30" s="373"/>
      <c r="J30" s="372"/>
      <c r="K30" s="372"/>
      <c r="L30" s="372"/>
      <c r="M30" s="372"/>
      <c r="N30" s="372"/>
      <c r="O30" s="374"/>
      <c r="P30" s="375"/>
      <c r="Q30" s="376"/>
      <c r="R30" s="935"/>
      <c r="S30" s="2223" t="s">
        <v>253</v>
      </c>
      <c r="T30" s="375"/>
      <c r="U30" s="376"/>
      <c r="V30" s="926"/>
      <c r="W30" s="379"/>
      <c r="X30" s="379"/>
      <c r="Y30" s="379"/>
      <c r="Z30" s="379"/>
      <c r="AA30" s="927"/>
      <c r="AB30" s="376"/>
      <c r="AC30" s="377"/>
      <c r="AD30" s="375"/>
      <c r="AE30" s="374"/>
      <c r="AF30" s="375"/>
      <c r="AG30" s="376"/>
      <c r="AH30" s="923"/>
      <c r="AI30" s="385"/>
      <c r="AJ30" s="376"/>
      <c r="AK30" s="377"/>
      <c r="AL30" s="375"/>
      <c r="AM30" s="376"/>
      <c r="AN30" s="377"/>
      <c r="AO30" s="375"/>
      <c r="AP30" s="377"/>
      <c r="AQ30" s="368" t="s">
        <v>253</v>
      </c>
      <c r="AR30" s="371"/>
      <c r="AS30" s="371"/>
      <c r="AT30" s="374"/>
      <c r="AU30" s="4965"/>
      <c r="AV30" s="4965"/>
      <c r="AW30" s="371"/>
      <c r="AX30" s="373"/>
      <c r="AY30" s="375"/>
      <c r="AZ30" s="3568"/>
      <c r="BA30" s="376"/>
      <c r="BB30" s="377"/>
      <c r="BC30" s="375"/>
      <c r="BD30" s="377"/>
      <c r="BE30" s="375"/>
      <c r="BF30" s="3568"/>
      <c r="BG30" s="376"/>
      <c r="BH30" s="378"/>
    </row>
    <row r="31" spans="1:62" ht="18" customHeight="1">
      <c r="A31" s="380" t="s">
        <v>254</v>
      </c>
      <c r="B31" s="381"/>
      <c r="C31" s="382"/>
      <c r="D31" s="381"/>
      <c r="E31" s="383"/>
      <c r="F31" s="382"/>
      <c r="G31" s="381"/>
      <c r="H31" s="383"/>
      <c r="I31" s="382"/>
      <c r="J31" s="383"/>
      <c r="K31" s="383"/>
      <c r="L31" s="383"/>
      <c r="M31" s="383"/>
      <c r="N31" s="383"/>
      <c r="O31" s="384"/>
      <c r="P31" s="385"/>
      <c r="Q31" s="386"/>
      <c r="R31" s="936"/>
      <c r="S31" s="2224" t="s">
        <v>254</v>
      </c>
      <c r="T31" s="385"/>
      <c r="U31" s="386"/>
      <c r="V31" s="928"/>
      <c r="W31" s="389"/>
      <c r="X31" s="389"/>
      <c r="Y31" s="389"/>
      <c r="Z31" s="389"/>
      <c r="AA31" s="929"/>
      <c r="AB31" s="386"/>
      <c r="AC31" s="387"/>
      <c r="AD31" s="385"/>
      <c r="AE31" s="384"/>
      <c r="AF31" s="375"/>
      <c r="AG31" s="386"/>
      <c r="AH31" s="924"/>
      <c r="AI31" s="385"/>
      <c r="AJ31" s="386"/>
      <c r="AK31" s="387"/>
      <c r="AL31" s="385"/>
      <c r="AM31" s="386"/>
      <c r="AN31" s="387"/>
      <c r="AO31" s="385"/>
      <c r="AP31" s="387"/>
      <c r="AQ31" s="380" t="s">
        <v>254</v>
      </c>
      <c r="AR31" s="381"/>
      <c r="AS31" s="381"/>
      <c r="AT31" s="384"/>
      <c r="AU31" s="4966"/>
      <c r="AV31" s="4966"/>
      <c r="AW31" s="381"/>
      <c r="AX31" s="382"/>
      <c r="AY31" s="385"/>
      <c r="AZ31" s="3569"/>
      <c r="BA31" s="386"/>
      <c r="BB31" s="387"/>
      <c r="BC31" s="385"/>
      <c r="BD31" s="387"/>
      <c r="BE31" s="385"/>
      <c r="BF31" s="3569"/>
      <c r="BG31" s="386"/>
      <c r="BH31" s="388"/>
    </row>
    <row r="32" spans="1:62" ht="18" customHeight="1">
      <c r="A32" s="368" t="s">
        <v>255</v>
      </c>
      <c r="B32" s="369"/>
      <c r="C32" s="370"/>
      <c r="D32" s="371"/>
      <c r="E32" s="372"/>
      <c r="F32" s="373"/>
      <c r="G32" s="371"/>
      <c r="H32" s="372"/>
      <c r="I32" s="373"/>
      <c r="J32" s="372"/>
      <c r="K32" s="372"/>
      <c r="L32" s="372"/>
      <c r="M32" s="372"/>
      <c r="N32" s="372"/>
      <c r="O32" s="374"/>
      <c r="P32" s="375"/>
      <c r="Q32" s="376"/>
      <c r="R32" s="935"/>
      <c r="S32" s="2223" t="s">
        <v>255</v>
      </c>
      <c r="T32" s="375"/>
      <c r="U32" s="376"/>
      <c r="V32" s="926"/>
      <c r="W32" s="379"/>
      <c r="X32" s="379"/>
      <c r="Y32" s="379"/>
      <c r="Z32" s="379"/>
      <c r="AA32" s="927"/>
      <c r="AB32" s="376"/>
      <c r="AC32" s="377"/>
      <c r="AD32" s="375"/>
      <c r="AE32" s="374"/>
      <c r="AF32" s="375"/>
      <c r="AG32" s="376"/>
      <c r="AH32" s="923"/>
      <c r="AI32" s="385"/>
      <c r="AJ32" s="376"/>
      <c r="AK32" s="377"/>
      <c r="AL32" s="375"/>
      <c r="AM32" s="376"/>
      <c r="AN32" s="377"/>
      <c r="AO32" s="375"/>
      <c r="AP32" s="377"/>
      <c r="AQ32" s="368" t="s">
        <v>255</v>
      </c>
      <c r="AR32" s="371"/>
      <c r="AS32" s="371"/>
      <c r="AT32" s="374"/>
      <c r="AU32" s="4965"/>
      <c r="AV32" s="4965"/>
      <c r="AW32" s="371"/>
      <c r="AX32" s="373"/>
      <c r="AY32" s="375"/>
      <c r="AZ32" s="3568"/>
      <c r="BA32" s="376"/>
      <c r="BB32" s="377"/>
      <c r="BC32" s="375"/>
      <c r="BD32" s="377"/>
      <c r="BE32" s="375"/>
      <c r="BF32" s="3568"/>
      <c r="BG32" s="376"/>
      <c r="BH32" s="378"/>
    </row>
    <row r="33" spans="1:60" ht="18" customHeight="1">
      <c r="A33" s="380" t="s">
        <v>256</v>
      </c>
      <c r="B33" s="381"/>
      <c r="C33" s="382"/>
      <c r="D33" s="381"/>
      <c r="E33" s="383"/>
      <c r="F33" s="382"/>
      <c r="G33" s="381"/>
      <c r="H33" s="383"/>
      <c r="I33" s="382"/>
      <c r="J33" s="383"/>
      <c r="K33" s="383"/>
      <c r="L33" s="383"/>
      <c r="M33" s="383"/>
      <c r="N33" s="383"/>
      <c r="O33" s="384"/>
      <c r="P33" s="385"/>
      <c r="Q33" s="386"/>
      <c r="R33" s="936"/>
      <c r="S33" s="2224" t="s">
        <v>256</v>
      </c>
      <c r="T33" s="385"/>
      <c r="U33" s="386"/>
      <c r="V33" s="928"/>
      <c r="W33" s="389"/>
      <c r="X33" s="389"/>
      <c r="Y33" s="389"/>
      <c r="Z33" s="389"/>
      <c r="AA33" s="929"/>
      <c r="AB33" s="386"/>
      <c r="AC33" s="387"/>
      <c r="AD33" s="385"/>
      <c r="AE33" s="384"/>
      <c r="AF33" s="375"/>
      <c r="AG33" s="386"/>
      <c r="AH33" s="924"/>
      <c r="AI33" s="385" t="str">
        <f t="shared" ref="AI33" si="0">PROPER(AI20)</f>
        <v/>
      </c>
      <c r="AJ33" s="386"/>
      <c r="AK33" s="387"/>
      <c r="AL33" s="385"/>
      <c r="AM33" s="386"/>
      <c r="AN33" s="387"/>
      <c r="AO33" s="385"/>
      <c r="AP33" s="387"/>
      <c r="AQ33" s="380" t="s">
        <v>256</v>
      </c>
      <c r="AR33" s="381"/>
      <c r="AS33" s="381"/>
      <c r="AT33" s="384"/>
      <c r="AU33" s="4966"/>
      <c r="AV33" s="4966"/>
      <c r="AW33" s="381"/>
      <c r="AX33" s="382"/>
      <c r="AY33" s="385"/>
      <c r="AZ33" s="3569"/>
      <c r="BA33" s="386"/>
      <c r="BB33" s="387"/>
      <c r="BC33" s="385"/>
      <c r="BD33" s="387"/>
      <c r="BE33" s="385"/>
      <c r="BF33" s="3569"/>
      <c r="BG33" s="386"/>
      <c r="BH33" s="388"/>
    </row>
    <row r="34" spans="1:60" ht="18" customHeight="1">
      <c r="A34" s="368" t="s">
        <v>257</v>
      </c>
      <c r="B34" s="369"/>
      <c r="C34" s="370"/>
      <c r="D34" s="371"/>
      <c r="E34" s="372"/>
      <c r="F34" s="373"/>
      <c r="G34" s="371"/>
      <c r="H34" s="372"/>
      <c r="I34" s="373"/>
      <c r="J34" s="372"/>
      <c r="K34" s="372"/>
      <c r="L34" s="372"/>
      <c r="M34" s="372"/>
      <c r="N34" s="372"/>
      <c r="O34" s="374"/>
      <c r="P34" s="375"/>
      <c r="Q34" s="376"/>
      <c r="R34" s="935"/>
      <c r="S34" s="2223" t="s">
        <v>257</v>
      </c>
      <c r="T34" s="375"/>
      <c r="U34" s="376"/>
      <c r="V34" s="926"/>
      <c r="W34" s="379"/>
      <c r="X34" s="379"/>
      <c r="Y34" s="379"/>
      <c r="Z34" s="379"/>
      <c r="AA34" s="927"/>
      <c r="AB34" s="376"/>
      <c r="AC34" s="377"/>
      <c r="AD34" s="375"/>
      <c r="AE34" s="374"/>
      <c r="AF34" s="375" t="str">
        <f t="shared" ref="AF34" si="1">PROPER(AF21)</f>
        <v/>
      </c>
      <c r="AG34" s="376"/>
      <c r="AH34" s="923"/>
      <c r="AI34" s="375"/>
      <c r="AJ34" s="376"/>
      <c r="AK34" s="377"/>
      <c r="AL34" s="375"/>
      <c r="AM34" s="376"/>
      <c r="AN34" s="377"/>
      <c r="AO34" s="375"/>
      <c r="AP34" s="377"/>
      <c r="AQ34" s="368" t="s">
        <v>257</v>
      </c>
      <c r="AR34" s="371"/>
      <c r="AS34" s="371"/>
      <c r="AT34" s="374"/>
      <c r="AU34" s="4965"/>
      <c r="AV34" s="4965"/>
      <c r="AW34" s="371"/>
      <c r="AX34" s="373"/>
      <c r="AY34" s="375"/>
      <c r="AZ34" s="3568"/>
      <c r="BA34" s="376"/>
      <c r="BB34" s="377"/>
      <c r="BC34" s="375"/>
      <c r="BD34" s="377"/>
      <c r="BE34" s="375"/>
      <c r="BF34" s="3568"/>
      <c r="BG34" s="376"/>
      <c r="BH34" s="378"/>
    </row>
    <row r="35" spans="1:60" ht="17.25" customHeight="1">
      <c r="A35" s="380" t="s">
        <v>258</v>
      </c>
      <c r="B35" s="381"/>
      <c r="C35" s="382"/>
      <c r="D35" s="381"/>
      <c r="E35" s="383"/>
      <c r="F35" s="382"/>
      <c r="G35" s="381"/>
      <c r="H35" s="383"/>
      <c r="I35" s="382"/>
      <c r="J35" s="383"/>
      <c r="K35" s="383"/>
      <c r="L35" s="383"/>
      <c r="M35" s="383"/>
      <c r="N35" s="383"/>
      <c r="O35" s="384"/>
      <c r="P35" s="385"/>
      <c r="Q35" s="386"/>
      <c r="R35" s="936"/>
      <c r="S35" s="2224" t="s">
        <v>258</v>
      </c>
      <c r="T35" s="385"/>
      <c r="U35" s="386"/>
      <c r="V35" s="928"/>
      <c r="W35" s="389"/>
      <c r="X35" s="389"/>
      <c r="Y35" s="389"/>
      <c r="Z35" s="389"/>
      <c r="AA35" s="929"/>
      <c r="AB35" s="386"/>
      <c r="AC35" s="387"/>
      <c r="AD35" s="385"/>
      <c r="AE35" s="384"/>
      <c r="AF35" s="385"/>
      <c r="AG35" s="386"/>
      <c r="AH35" s="924"/>
      <c r="AI35" s="385"/>
      <c r="AJ35" s="386"/>
      <c r="AK35" s="387"/>
      <c r="AL35" s="385"/>
      <c r="AM35" s="386"/>
      <c r="AN35" s="387"/>
      <c r="AO35" s="385"/>
      <c r="AP35" s="387"/>
      <c r="AQ35" s="380" t="s">
        <v>258</v>
      </c>
      <c r="AR35" s="381"/>
      <c r="AS35" s="381"/>
      <c r="AT35" s="384"/>
      <c r="AU35" s="4966"/>
      <c r="AV35" s="4966"/>
      <c r="AW35" s="381"/>
      <c r="AX35" s="382"/>
      <c r="AY35" s="385"/>
      <c r="AZ35" s="3569"/>
      <c r="BA35" s="386"/>
      <c r="BB35" s="387"/>
      <c r="BC35" s="385"/>
      <c r="BD35" s="387"/>
      <c r="BE35" s="385"/>
      <c r="BF35" s="3569"/>
      <c r="BG35" s="386"/>
      <c r="BH35" s="388"/>
    </row>
    <row r="36" spans="1:60" ht="15.75" customHeight="1" thickBot="1">
      <c r="A36" s="390" t="s">
        <v>259</v>
      </c>
      <c r="B36" s="391"/>
      <c r="C36" s="392"/>
      <c r="D36" s="393"/>
      <c r="E36" s="394"/>
      <c r="F36" s="395"/>
      <c r="G36" s="393"/>
      <c r="H36" s="394"/>
      <c r="I36" s="395"/>
      <c r="J36" s="394"/>
      <c r="K36" s="394"/>
      <c r="L36" s="394"/>
      <c r="M36" s="394"/>
      <c r="N36" s="394"/>
      <c r="O36" s="396"/>
      <c r="P36" s="397"/>
      <c r="Q36" s="398"/>
      <c r="R36" s="937"/>
      <c r="S36" s="2225" t="s">
        <v>259</v>
      </c>
      <c r="T36" s="397"/>
      <c r="U36" s="398"/>
      <c r="V36" s="930"/>
      <c r="W36" s="401"/>
      <c r="X36" s="401"/>
      <c r="Y36" s="401"/>
      <c r="Z36" s="401"/>
      <c r="AA36" s="931"/>
      <c r="AB36" s="398"/>
      <c r="AC36" s="399"/>
      <c r="AD36" s="397"/>
      <c r="AE36" s="396"/>
      <c r="AF36" s="397"/>
      <c r="AG36" s="398"/>
      <c r="AH36" s="925"/>
      <c r="AI36" s="397"/>
      <c r="AJ36" s="398"/>
      <c r="AK36" s="399"/>
      <c r="AL36" s="397"/>
      <c r="AM36" s="398"/>
      <c r="AN36" s="399"/>
      <c r="AO36" s="397"/>
      <c r="AP36" s="399"/>
      <c r="AQ36" s="390" t="s">
        <v>259</v>
      </c>
      <c r="AR36" s="393"/>
      <c r="AS36" s="393"/>
      <c r="AT36" s="396"/>
      <c r="AU36" s="5018"/>
      <c r="AV36" s="5018"/>
      <c r="AW36" s="393"/>
      <c r="AX36" s="395"/>
      <c r="AY36" s="397"/>
      <c r="AZ36" s="3570"/>
      <c r="BA36" s="398"/>
      <c r="BB36" s="399"/>
      <c r="BC36" s="397"/>
      <c r="BD36" s="399"/>
      <c r="BE36" s="397"/>
      <c r="BF36" s="3570"/>
      <c r="BG36" s="398"/>
      <c r="BH36" s="400"/>
    </row>
  </sheetData>
  <customSheetViews>
    <customSheetView guid="{BDF1A126-BD1D-4A5E-80B8-98941684E462}" showPageBreaks="1" showGridLines="0" printArea="1" view="pageBreakPreview" topLeftCell="Z1">
      <selection activeCell="AU14" sqref="AU14"/>
      <colBreaks count="2" manualBreakCount="2">
        <brk id="18" max="35" man="1"/>
        <brk id="42" max="35" man="1"/>
      </colBreaks>
      <pageMargins left="0.5" right="0.5" top="0.63" bottom="0" header="0" footer="0"/>
      <pageSetup paperSize="9" orientation="landscape" r:id="rId1"/>
      <headerFooter alignWithMargins="0">
        <oddFooter>&amp;L&amp;"Arial Narrow,Regular"&amp;8&amp;D&amp;C&amp;"Arial Narrow,Regular"&amp;8&amp;F</oddFooter>
      </headerFooter>
    </customSheetView>
    <customSheetView guid="{04F0793E-5444-463D-A1D5-E52E08A4C249}" showPageBreaks="1" showGridLines="0" view="pageBreakPreview">
      <selection activeCell="B5" sqref="B5:C18"/>
      <colBreaks count="2" manualBreakCount="2">
        <brk id="18" max="1048575" man="1"/>
        <brk id="41" max="1048575" man="1"/>
      </colBreaks>
      <pageMargins left="0.5" right="0.5" top="0.5" bottom="0" header="0" footer="0"/>
      <pageSetup paperSize="9" orientation="landscape" r:id="rId2"/>
      <headerFooter alignWithMargins="0">
        <oddFooter>&amp;L&amp;"Arial Narrow,Regular"&amp;8&amp;D&amp;C&amp;"Arial Narrow,Regular"&amp;8&amp;F</oddFooter>
      </headerFooter>
    </customSheetView>
    <customSheetView guid="{925F74B5-C2F5-4E55-AFE4-045C56169B44}" showPageBreaks="1" showGridLines="0" view="pageBreakPreview" topLeftCell="Z1">
      <selection activeCell="AU19" sqref="AU19"/>
      <colBreaks count="2" manualBreakCount="2">
        <brk id="18" max="1048575" man="1"/>
        <brk id="41" max="1048575" man="1"/>
      </colBreaks>
      <pageMargins left="0.5" right="0.5" top="0.5" bottom="0" header="0" footer="0"/>
      <pageSetup paperSize="9" orientation="landscape" r:id="rId3"/>
      <headerFooter alignWithMargins="0">
        <oddFooter>&amp;L&amp;"Arial Narrow,Regular"&amp;8&amp;D&amp;C&amp;"Arial Narrow,Regular"&amp;8&amp;F</oddFooter>
      </headerFooter>
    </customSheetView>
    <customSheetView guid="{1FF58891-F32F-4F97-9812-E2D02F4497AA}" showPageBreaks="1" showGridLines="0" printArea="1" view="pageBreakPreview" topLeftCell="Z1">
      <selection activeCell="B5" sqref="B5:C23"/>
      <colBreaks count="2" manualBreakCount="2">
        <brk id="18" max="35" man="1"/>
        <brk id="42" max="35" man="1"/>
      </colBreaks>
      <pageMargins left="0.5" right="0.5" top="0.63" bottom="0" header="0" footer="0"/>
      <pageSetup paperSize="9" orientation="landscape" r:id="rId4"/>
      <headerFooter alignWithMargins="0">
        <oddFooter>&amp;L&amp;"Arial Narrow,Regular"&amp;8&amp;D&amp;C&amp;"Arial Narrow,Regular"&amp;8&amp;F</oddFooter>
      </headerFooter>
    </customSheetView>
    <customSheetView guid="{2A6091F0-BAF4-46A2-BC20-0DE610E67601}" showPageBreaks="1" showGridLines="0" printArea="1" view="pageBreakPreview" topLeftCell="Z1">
      <selection activeCell="AU14" sqref="AU14"/>
      <colBreaks count="2" manualBreakCount="2">
        <brk id="18" max="35" man="1"/>
        <brk id="42" max="35" man="1"/>
      </colBreaks>
      <pageMargins left="0.5" right="0.5" top="0.63" bottom="0" header="0" footer="0"/>
      <pageSetup paperSize="9" orientation="landscape" r:id="rId5"/>
      <headerFooter alignWithMargins="0">
        <oddFooter>&amp;L&amp;"Arial Narrow,Regular"&amp;8&amp;D&amp;C&amp;"Arial Narrow,Regular"&amp;8&amp;F</oddFooter>
      </headerFooter>
    </customSheetView>
    <customSheetView guid="{5111FDC7-EEAC-46C3-8033-47A3563F0C00}" showPageBreaks="1" showGridLines="0" printArea="1" view="pageBreakPreview" topLeftCell="AA1">
      <selection activeCell="AR5" sqref="AR5:AT11"/>
      <colBreaks count="2" manualBreakCount="2">
        <brk id="18" max="35" man="1"/>
        <brk id="42" max="35" man="1"/>
      </colBreaks>
      <pageMargins left="0.5" right="0.5" top="0.63" bottom="0" header="0" footer="0"/>
      <pageSetup paperSize="9" orientation="landscape" r:id="rId6"/>
      <headerFooter alignWithMargins="0">
        <oddFooter>&amp;L&amp;"Arial Narrow,Regular"&amp;8&amp;D&amp;C&amp;"Arial Narrow,Regular"&amp;8&amp;F</oddFooter>
      </headerFooter>
    </customSheetView>
    <customSheetView guid="{2A5E79E4-584C-4F65-A220-87928CEA02AF}" showPageBreaks="1" showGridLines="0" printArea="1" view="pageBreakPreview" topLeftCell="AF1">
      <selection activeCell="AU20" sqref="AU20"/>
      <colBreaks count="2" manualBreakCount="2">
        <brk id="18" max="35" man="1"/>
        <brk id="42" max="35" man="1"/>
      </colBreaks>
      <pageMargins left="0.5" right="0.5" top="0.63" bottom="0" header="0" footer="0"/>
      <pageSetup paperSize="9" orientation="landscape" r:id="rId7"/>
      <headerFooter alignWithMargins="0">
        <oddFooter>&amp;L&amp;"Arial Narrow,Regular"&amp;8&amp;D&amp;C&amp;"Arial Narrow,Regular"&amp;8&amp;F</oddFooter>
      </headerFooter>
    </customSheetView>
    <customSheetView guid="{66872EF1-41BD-4D4B-B603-B8B0D03DAD22}" showPageBreaks="1" showGridLines="0" printArea="1" view="pageBreakPreview">
      <selection activeCell="A4" sqref="A4:A23"/>
      <colBreaks count="2" manualBreakCount="2">
        <brk id="18" max="35" man="1"/>
        <brk id="42" max="35" man="1"/>
      </colBreaks>
      <pageMargins left="0.5" right="0.5" top="0.63" bottom="0" header="0" footer="0"/>
      <pageSetup paperSize="9" orientation="landscape" r:id="rId8"/>
      <headerFooter alignWithMargins="0">
        <oddFooter>&amp;L&amp;"Arial Narrow,Regular"&amp;8&amp;D&amp;C&amp;"Arial Narrow,Regular"&amp;8&amp;F</oddFooter>
      </headerFooter>
    </customSheetView>
    <customSheetView guid="{ACE56013-11B3-4BF4-BD0B-BF59142DAC13}" showPageBreaks="1" showGridLines="0" printArea="1" view="pageBreakPreview" topLeftCell="AC1">
      <selection activeCell="AW12" sqref="AW12"/>
      <colBreaks count="2" manualBreakCount="2">
        <brk id="18" max="35" man="1"/>
        <brk id="42" max="35" man="1"/>
      </colBreaks>
      <pageMargins left="0.5" right="0.5" top="0.63" bottom="0" header="0" footer="0"/>
      <pageSetup paperSize="9" orientation="landscape" r:id="rId9"/>
      <headerFooter alignWithMargins="0">
        <oddFooter>&amp;L&amp;"Arial Narrow,Regular"&amp;8&amp;D&amp;C&amp;"Arial Narrow,Regular"&amp;8&amp;F</oddFooter>
      </headerFooter>
    </customSheetView>
  </customSheetViews>
  <mergeCells count="123">
    <mergeCell ref="AU34:AV34"/>
    <mergeCell ref="AU35:AV35"/>
    <mergeCell ref="AU36:AV36"/>
    <mergeCell ref="AU28:AV28"/>
    <mergeCell ref="AU29:AV29"/>
    <mergeCell ref="AU30:AV30"/>
    <mergeCell ref="AU31:AV31"/>
    <mergeCell ref="AU32:AV32"/>
    <mergeCell ref="AU33:AV33"/>
    <mergeCell ref="BG20:BH23"/>
    <mergeCell ref="F21:F23"/>
    <mergeCell ref="I21:I23"/>
    <mergeCell ref="AF21:AH21"/>
    <mergeCell ref="AI21:AK21"/>
    <mergeCell ref="BA20:BB23"/>
    <mergeCell ref="X13:X23"/>
    <mergeCell ref="Y13:Y23"/>
    <mergeCell ref="Z13:Z23"/>
    <mergeCell ref="AF19:AG19"/>
    <mergeCell ref="AI19:AJ19"/>
    <mergeCell ref="AW20:AX22"/>
    <mergeCell ref="BF15:BH18"/>
    <mergeCell ref="BA19:BB19"/>
    <mergeCell ref="BG19:BH19"/>
    <mergeCell ref="AK13:AK14"/>
    <mergeCell ref="AU17:AU18"/>
    <mergeCell ref="AY19:AZ19"/>
    <mergeCell ref="AY15:BB18"/>
    <mergeCell ref="AL23:AN23"/>
    <mergeCell ref="AY20:AZ23"/>
    <mergeCell ref="BE20:BF23"/>
    <mergeCell ref="AF15:AG15"/>
    <mergeCell ref="AI15:AJ15"/>
    <mergeCell ref="AU26:AV26"/>
    <mergeCell ref="AU27:AV27"/>
    <mergeCell ref="AU23:AV23"/>
    <mergeCell ref="AF17:AG17"/>
    <mergeCell ref="AI17:AJ17"/>
    <mergeCell ref="AF18:AG18"/>
    <mergeCell ref="AI18:AJ18"/>
    <mergeCell ref="AV17:AV18"/>
    <mergeCell ref="AU22:AV22"/>
    <mergeCell ref="AU5:AV10"/>
    <mergeCell ref="AW5:AX11"/>
    <mergeCell ref="D22:E23"/>
    <mergeCell ref="G22:H23"/>
    <mergeCell ref="J22:O23"/>
    <mergeCell ref="S4:S23"/>
    <mergeCell ref="H16:H17"/>
    <mergeCell ref="T16:U16"/>
    <mergeCell ref="AF16:AG16"/>
    <mergeCell ref="AI16:AJ16"/>
    <mergeCell ref="P17:Q18"/>
    <mergeCell ref="U17:U18"/>
    <mergeCell ref="O15:O16"/>
    <mergeCell ref="J20:N21"/>
    <mergeCell ref="O20:O21"/>
    <mergeCell ref="AF20:AG20"/>
    <mergeCell ref="AA13:AA23"/>
    <mergeCell ref="AF13:AG13"/>
    <mergeCell ref="AH13:AH14"/>
    <mergeCell ref="AI13:AJ13"/>
    <mergeCell ref="AD14:AD15"/>
    <mergeCell ref="AF14:AG14"/>
    <mergeCell ref="AI14:AJ14"/>
    <mergeCell ref="AI20:AJ20"/>
    <mergeCell ref="AY5:BB7"/>
    <mergeCell ref="AW4:AX4"/>
    <mergeCell ref="BE5:BH8"/>
    <mergeCell ref="D8:F12"/>
    <mergeCell ref="G8:I14"/>
    <mergeCell ref="P8:R8"/>
    <mergeCell ref="P10:Q12"/>
    <mergeCell ref="AD5:AE11"/>
    <mergeCell ref="AF5:AH8"/>
    <mergeCell ref="AI5:AK9"/>
    <mergeCell ref="AL5:AN11"/>
    <mergeCell ref="AO5:AP13"/>
    <mergeCell ref="AR5:AT11"/>
    <mergeCell ref="G5:I7"/>
    <mergeCell ref="J5:O7"/>
    <mergeCell ref="P5:R7"/>
    <mergeCell ref="T5:U11"/>
    <mergeCell ref="V5:AA8"/>
    <mergeCell ref="AB5:AC14"/>
    <mergeCell ref="R13:R15"/>
    <mergeCell ref="V13:V23"/>
    <mergeCell ref="W13:W23"/>
    <mergeCell ref="AW12:AX18"/>
    <mergeCell ref="AO16:AP22"/>
    <mergeCell ref="AY4:BB4"/>
    <mergeCell ref="T4:U4"/>
    <mergeCell ref="V4:AA4"/>
    <mergeCell ref="AB4:AC4"/>
    <mergeCell ref="AD4:AE4"/>
    <mergeCell ref="AI4:AJ4"/>
    <mergeCell ref="AL4:AN4"/>
    <mergeCell ref="AO4:AP4"/>
    <mergeCell ref="AR4:AT4"/>
    <mergeCell ref="BI7:BJ13"/>
    <mergeCell ref="BI14:BJ22"/>
    <mergeCell ref="BC16:BD22"/>
    <mergeCell ref="BC5:BD12"/>
    <mergeCell ref="AQ4:AQ23"/>
    <mergeCell ref="A4:A23"/>
    <mergeCell ref="B4:C4"/>
    <mergeCell ref="D4:F4"/>
    <mergeCell ref="G4:I4"/>
    <mergeCell ref="J4:O4"/>
    <mergeCell ref="P4:R4"/>
    <mergeCell ref="R10:R12"/>
    <mergeCell ref="K11:N19"/>
    <mergeCell ref="E13:E18"/>
    <mergeCell ref="P13:Q15"/>
    <mergeCell ref="B19:B23"/>
    <mergeCell ref="C19:C23"/>
    <mergeCell ref="P19:Q21"/>
    <mergeCell ref="R19:R20"/>
    <mergeCell ref="BC4:BD4"/>
    <mergeCell ref="BE4:BH4"/>
    <mergeCell ref="B5:C18"/>
    <mergeCell ref="D5:F7"/>
    <mergeCell ref="AU4:AV4"/>
  </mergeCells>
  <pageMargins left="0.5" right="0.5" top="0.63" bottom="0" header="0" footer="0"/>
  <pageSetup paperSize="9" orientation="landscape" r:id="rId10"/>
  <headerFooter alignWithMargins="0">
    <oddFooter>&amp;L&amp;"Arial Narrow,Regular"&amp;8&amp;D&amp;C&amp;"Arial Narrow,Regular"&amp;8&amp;F</oddFooter>
  </headerFooter>
  <colBreaks count="2" manualBreakCount="2">
    <brk id="18" max="35" man="1"/>
    <brk id="42" max="35" man="1"/>
  </colBreaks>
  <drawing r:id="rId11"/>
  <legacyDrawing r:id="rId1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W37"/>
  <sheetViews>
    <sheetView showGridLines="0" view="pageBreakPreview" zoomScale="75" zoomScaleNormal="100" zoomScaleSheetLayoutView="75" workbookViewId="0">
      <selection activeCell="J15" sqref="J15"/>
    </sheetView>
  </sheetViews>
  <sheetFormatPr defaultColWidth="2.7109375" defaultRowHeight="13.5"/>
  <cols>
    <col min="1" max="1" width="1.140625" style="406" customWidth="1"/>
    <col min="2" max="2" width="2.7109375" style="410"/>
    <col min="3" max="3" width="1.5703125" style="410" customWidth="1"/>
    <col min="4" max="14" width="2.7109375" style="492"/>
    <col min="15" max="15" width="2.42578125" style="492" customWidth="1"/>
    <col min="16" max="16" width="2.7109375" style="492"/>
    <col min="17" max="17" width="7.5703125" style="492" customWidth="1"/>
    <col min="18" max="29" width="2.7109375" style="492"/>
    <col min="30" max="30" width="2.7109375" style="408"/>
    <col min="31" max="31" width="3.140625" style="408" customWidth="1"/>
    <col min="32" max="32" width="5.140625" style="408" customWidth="1"/>
    <col min="33" max="33" width="4.28515625" style="408" customWidth="1"/>
    <col min="34" max="34" width="3.7109375" style="408" customWidth="1"/>
    <col min="35" max="35" width="3.85546875" style="408" customWidth="1"/>
    <col min="36" max="36" width="5.85546875" style="408" customWidth="1"/>
    <col min="37" max="37" width="2.7109375" style="408"/>
    <col min="38" max="38" width="2.140625" style="408" customWidth="1"/>
    <col min="39" max="39" width="5.5703125" style="408" customWidth="1"/>
    <col min="40" max="40" width="2.140625" style="408" customWidth="1"/>
    <col min="41" max="41" width="1.140625" style="408" customWidth="1"/>
    <col min="42" max="42" width="3" style="408" customWidth="1"/>
    <col min="43" max="43" width="3.7109375" style="408" customWidth="1"/>
    <col min="44" max="44" width="2.85546875" style="408" customWidth="1"/>
    <col min="45" max="45" width="5.42578125" style="408" customWidth="1"/>
    <col min="46" max="46" width="3.5703125" style="408" customWidth="1"/>
    <col min="47" max="47" width="1.85546875" style="408" customWidth="1"/>
    <col min="48" max="48" width="3.5703125" style="874" customWidth="1"/>
    <col min="49" max="49" width="1.5703125" style="874" customWidth="1"/>
    <col min="50" max="16384" width="2.7109375" style="408"/>
  </cols>
  <sheetData>
    <row r="1" spans="1:49" s="281" customFormat="1" ht="6.75" customHeight="1">
      <c r="A1" s="279"/>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c r="AP1" s="333"/>
      <c r="AQ1" s="333"/>
      <c r="AR1" s="333"/>
      <c r="AS1" s="333"/>
      <c r="AT1" s="333"/>
      <c r="AU1" s="333"/>
      <c r="AV1" s="893"/>
      <c r="AW1" s="893"/>
    </row>
    <row r="2" spans="1:49" s="283" customFormat="1" ht="20.100000000000001" customHeight="1">
      <c r="A2" s="402"/>
      <c r="B2" s="2000" t="s">
        <v>1258</v>
      </c>
      <c r="C2" s="403"/>
      <c r="S2" s="2818" t="s">
        <v>1561</v>
      </c>
      <c r="T2" s="2818"/>
      <c r="U2" s="2818"/>
      <c r="V2" s="2818"/>
      <c r="W2" s="2818"/>
      <c r="X2" s="2818"/>
      <c r="Y2" s="2818"/>
      <c r="Z2" s="2818"/>
      <c r="AA2" s="5032"/>
      <c r="AB2" s="5033"/>
      <c r="AP2" s="284"/>
      <c r="AR2" s="2003" t="s">
        <v>1279</v>
      </c>
    </row>
    <row r="3" spans="1:49" s="286" customFormat="1" ht="14.1" customHeight="1">
      <c r="A3" s="404" t="s">
        <v>1488</v>
      </c>
      <c r="B3" s="405"/>
      <c r="C3" s="405"/>
      <c r="AP3" s="287"/>
    </row>
    <row r="4" spans="1:49" s="286" customFormat="1" ht="8.25" customHeight="1" thickBot="1">
      <c r="A4" s="404"/>
      <c r="B4" s="405"/>
      <c r="C4" s="405"/>
      <c r="AP4" s="287"/>
    </row>
    <row r="5" spans="1:49" s="407" customFormat="1" ht="12" customHeight="1" thickBot="1">
      <c r="A5" s="406"/>
      <c r="B5" s="5034" t="s">
        <v>260</v>
      </c>
      <c r="C5" s="5035"/>
      <c r="D5" s="5040">
        <v>6.44</v>
      </c>
      <c r="E5" s="5030"/>
      <c r="F5" s="5030"/>
      <c r="G5" s="5030"/>
      <c r="H5" s="5030"/>
      <c r="I5" s="5030"/>
      <c r="J5" s="5030"/>
      <c r="K5" s="5030"/>
      <c r="L5" s="5030"/>
      <c r="M5" s="5030"/>
      <c r="N5" s="5030"/>
      <c r="O5" s="5030"/>
      <c r="P5" s="5030"/>
      <c r="Q5" s="5041"/>
      <c r="R5" s="5040">
        <f>D5+0.01</f>
        <v>6.45</v>
      </c>
      <c r="S5" s="5030"/>
      <c r="T5" s="5030"/>
      <c r="U5" s="5030"/>
      <c r="V5" s="5030"/>
      <c r="W5" s="5030"/>
      <c r="X5" s="5030"/>
      <c r="Y5" s="5030"/>
      <c r="Z5" s="5030"/>
      <c r="AA5" s="5031"/>
      <c r="AC5" s="5029">
        <f>R5+0.01</f>
        <v>6.46</v>
      </c>
      <c r="AD5" s="5030"/>
      <c r="AE5" s="5041"/>
      <c r="AF5" s="5040">
        <f>AC5+0.01</f>
        <v>6.47</v>
      </c>
      <c r="AG5" s="5030"/>
      <c r="AH5" s="5030"/>
      <c r="AI5" s="5041"/>
      <c r="AJ5" s="5040">
        <f>AF5+0.01</f>
        <v>6.4799999999999995</v>
      </c>
      <c r="AK5" s="5030"/>
      <c r="AL5" s="5041"/>
      <c r="AM5" s="5040">
        <f>AJ5+0.01</f>
        <v>6.4899999999999993</v>
      </c>
      <c r="AN5" s="5030"/>
      <c r="AO5" s="5041"/>
      <c r="AP5" s="5040">
        <f>AM5+0.01</f>
        <v>6.4999999999999991</v>
      </c>
      <c r="AQ5" s="5030"/>
      <c r="AR5" s="5041"/>
      <c r="AS5" s="5040">
        <f>AP5+0.01</f>
        <v>6.5099999999999989</v>
      </c>
      <c r="AT5" s="5030"/>
      <c r="AU5" s="5031"/>
      <c r="AV5" s="876"/>
      <c r="AW5" s="876"/>
    </row>
    <row r="6" spans="1:49" ht="13.5" customHeight="1">
      <c r="B6" s="5036"/>
      <c r="C6" s="5037"/>
      <c r="D6" s="3706" t="s">
        <v>694</v>
      </c>
      <c r="E6" s="3703"/>
      <c r="F6" s="3703"/>
      <c r="G6" s="3703"/>
      <c r="H6" s="3703"/>
      <c r="I6" s="3703"/>
      <c r="J6" s="3703"/>
      <c r="K6" s="3703"/>
      <c r="L6" s="3703"/>
      <c r="M6" s="3703"/>
      <c r="N6" s="3703"/>
      <c r="O6" s="3703"/>
      <c r="P6" s="3703"/>
      <c r="Q6" s="3704"/>
      <c r="R6" s="3706" t="s">
        <v>1428</v>
      </c>
      <c r="S6" s="3703"/>
      <c r="T6" s="3703"/>
      <c r="U6" s="3703"/>
      <c r="V6" s="3703"/>
      <c r="W6" s="3703"/>
      <c r="X6" s="3703"/>
      <c r="Y6" s="3703"/>
      <c r="Z6" s="3703"/>
      <c r="AA6" s="5052"/>
      <c r="AB6" s="408"/>
      <c r="AC6" s="3921" t="s">
        <v>734</v>
      </c>
      <c r="AD6" s="3922"/>
      <c r="AE6" s="3922"/>
      <c r="AF6" s="4401" t="s">
        <v>688</v>
      </c>
      <c r="AG6" s="3883"/>
      <c r="AH6" s="3883"/>
      <c r="AI6" s="4445"/>
      <c r="AJ6" s="3921" t="s">
        <v>684</v>
      </c>
      <c r="AK6" s="3922"/>
      <c r="AL6" s="3922"/>
      <c r="AM6" s="5053" t="s">
        <v>685</v>
      </c>
      <c r="AN6" s="5054"/>
      <c r="AO6" s="5055"/>
      <c r="AP6" s="5054" t="s">
        <v>680</v>
      </c>
      <c r="AQ6" s="5054"/>
      <c r="AR6" s="5055"/>
      <c r="AS6" s="5053" t="s">
        <v>1281</v>
      </c>
      <c r="AT6" s="5054"/>
      <c r="AU6" s="5082"/>
      <c r="AV6" s="894"/>
      <c r="AW6" s="894"/>
    </row>
    <row r="7" spans="1:49" ht="13.5" customHeight="1">
      <c r="B7" s="5036"/>
      <c r="C7" s="5037"/>
      <c r="D7" s="3706"/>
      <c r="E7" s="3703"/>
      <c r="F7" s="3703"/>
      <c r="G7" s="3703"/>
      <c r="H7" s="3703"/>
      <c r="I7" s="3703"/>
      <c r="J7" s="3703"/>
      <c r="K7" s="3703"/>
      <c r="L7" s="3703"/>
      <c r="M7" s="3703"/>
      <c r="N7" s="3703"/>
      <c r="O7" s="3703"/>
      <c r="P7" s="3703"/>
      <c r="Q7" s="3704"/>
      <c r="R7" s="3706"/>
      <c r="S7" s="3703"/>
      <c r="T7" s="3703"/>
      <c r="U7" s="3703"/>
      <c r="V7" s="3703"/>
      <c r="W7" s="3703"/>
      <c r="X7" s="3703"/>
      <c r="Y7" s="3703"/>
      <c r="Z7" s="3703"/>
      <c r="AA7" s="5052"/>
      <c r="AB7" s="408"/>
      <c r="AC7" s="3830"/>
      <c r="AD7" s="3703"/>
      <c r="AE7" s="3703"/>
      <c r="AF7" s="4402"/>
      <c r="AG7" s="3884"/>
      <c r="AH7" s="3884"/>
      <c r="AI7" s="3981"/>
      <c r="AJ7" s="3830"/>
      <c r="AK7" s="3703"/>
      <c r="AL7" s="3703"/>
      <c r="AM7" s="5056"/>
      <c r="AN7" s="5057"/>
      <c r="AO7" s="5058"/>
      <c r="AP7" s="5057"/>
      <c r="AQ7" s="5057"/>
      <c r="AR7" s="5058"/>
      <c r="AS7" s="5056"/>
      <c r="AT7" s="5057"/>
      <c r="AU7" s="5083"/>
      <c r="AV7" s="895"/>
      <c r="AW7" s="895"/>
    </row>
    <row r="8" spans="1:49" ht="13.5" customHeight="1">
      <c r="B8" s="5036"/>
      <c r="C8" s="5037"/>
      <c r="D8" s="5045" t="s">
        <v>1551</v>
      </c>
      <c r="E8" s="3852"/>
      <c r="F8" s="3852"/>
      <c r="G8" s="3852"/>
      <c r="H8" s="3852"/>
      <c r="I8" s="3852"/>
      <c r="J8" s="3852"/>
      <c r="K8" s="3852"/>
      <c r="L8" s="3852"/>
      <c r="M8" s="3852"/>
      <c r="N8" s="3852"/>
      <c r="O8" s="3852"/>
      <c r="P8" s="3852"/>
      <c r="Q8" s="5046"/>
      <c r="R8" s="3706"/>
      <c r="S8" s="3703"/>
      <c r="T8" s="3703"/>
      <c r="U8" s="3703"/>
      <c r="V8" s="3703"/>
      <c r="W8" s="3703"/>
      <c r="X8" s="3703"/>
      <c r="Y8" s="3703"/>
      <c r="Z8" s="3703"/>
      <c r="AA8" s="5052"/>
      <c r="AB8" s="408"/>
      <c r="AC8" s="3830"/>
      <c r="AD8" s="3703"/>
      <c r="AE8" s="3703"/>
      <c r="AF8" s="4402"/>
      <c r="AG8" s="3884"/>
      <c r="AH8" s="3884"/>
      <c r="AI8" s="3981"/>
      <c r="AJ8" s="3830"/>
      <c r="AK8" s="3703"/>
      <c r="AL8" s="3703"/>
      <c r="AM8" s="5056"/>
      <c r="AN8" s="5057"/>
      <c r="AO8" s="5058"/>
      <c r="AP8" s="5057"/>
      <c r="AQ8" s="5057"/>
      <c r="AR8" s="5058"/>
      <c r="AS8" s="5056"/>
      <c r="AT8" s="5057"/>
      <c r="AU8" s="5083"/>
      <c r="AV8" s="1252"/>
      <c r="AW8" s="1252"/>
    </row>
    <row r="9" spans="1:49" ht="13.5" customHeight="1">
      <c r="B9" s="5036"/>
      <c r="C9" s="5037"/>
      <c r="D9" s="5045"/>
      <c r="E9" s="3852"/>
      <c r="F9" s="3852"/>
      <c r="G9" s="3852"/>
      <c r="H9" s="3852"/>
      <c r="I9" s="3852"/>
      <c r="J9" s="3852"/>
      <c r="K9" s="3852"/>
      <c r="L9" s="3852"/>
      <c r="M9" s="3852"/>
      <c r="N9" s="3852"/>
      <c r="O9" s="3852"/>
      <c r="P9" s="3852"/>
      <c r="Q9" s="5046"/>
      <c r="R9" s="3706"/>
      <c r="S9" s="3703"/>
      <c r="T9" s="3703"/>
      <c r="U9" s="3703"/>
      <c r="V9" s="3703"/>
      <c r="W9" s="3703"/>
      <c r="X9" s="3703"/>
      <c r="Y9" s="3703"/>
      <c r="Z9" s="3703"/>
      <c r="AA9" s="5052"/>
      <c r="AB9" s="408"/>
      <c r="AC9" s="3830"/>
      <c r="AD9" s="3703"/>
      <c r="AE9" s="3703"/>
      <c r="AF9" s="1380" t="s">
        <v>682</v>
      </c>
      <c r="AG9" s="5084" t="s">
        <v>683</v>
      </c>
      <c r="AH9" s="5084"/>
      <c r="AI9" s="906"/>
      <c r="AJ9" s="3830"/>
      <c r="AK9" s="3703"/>
      <c r="AL9" s="3703"/>
      <c r="AM9" s="5056"/>
      <c r="AN9" s="5057"/>
      <c r="AO9" s="5058"/>
      <c r="AP9" s="5057"/>
      <c r="AQ9" s="5057"/>
      <c r="AR9" s="5058"/>
      <c r="AS9" s="5056"/>
      <c r="AT9" s="5057"/>
      <c r="AU9" s="5083"/>
      <c r="AV9" s="1252"/>
      <c r="AW9" s="1252"/>
    </row>
    <row r="10" spans="1:49" ht="15.75" customHeight="1">
      <c r="B10" s="5036"/>
      <c r="C10" s="5037"/>
      <c r="D10" s="5045"/>
      <c r="E10" s="3852"/>
      <c r="F10" s="3852"/>
      <c r="G10" s="3852"/>
      <c r="H10" s="3852"/>
      <c r="I10" s="3852"/>
      <c r="J10" s="3852"/>
      <c r="K10" s="3852"/>
      <c r="L10" s="3852"/>
      <c r="M10" s="3852"/>
      <c r="N10" s="3852"/>
      <c r="O10" s="3852"/>
      <c r="P10" s="3852"/>
      <c r="Q10" s="5046"/>
      <c r="R10" s="3706"/>
      <c r="S10" s="3703"/>
      <c r="T10" s="3703"/>
      <c r="U10" s="3703"/>
      <c r="V10" s="3703"/>
      <c r="W10" s="3703"/>
      <c r="X10" s="3703"/>
      <c r="Y10" s="3703"/>
      <c r="Z10" s="3703"/>
      <c r="AA10" s="5052"/>
      <c r="AB10" s="408"/>
      <c r="AC10" s="3830"/>
      <c r="AD10" s="3703"/>
      <c r="AE10" s="3703"/>
      <c r="AF10" s="5085" t="s">
        <v>1025</v>
      </c>
      <c r="AG10" s="5087" t="s">
        <v>1026</v>
      </c>
      <c r="AH10" s="5087" t="s">
        <v>1027</v>
      </c>
      <c r="AI10" s="5089" t="s">
        <v>1261</v>
      </c>
      <c r="AJ10" s="3830"/>
      <c r="AK10" s="3703"/>
      <c r="AL10" s="3703"/>
      <c r="AM10" s="5056"/>
      <c r="AN10" s="5057"/>
      <c r="AO10" s="5058"/>
      <c r="AP10" s="5057"/>
      <c r="AQ10" s="5057"/>
      <c r="AR10" s="5058"/>
      <c r="AS10" s="5056"/>
      <c r="AT10" s="5057"/>
      <c r="AU10" s="5083"/>
      <c r="AV10" s="1252"/>
      <c r="AW10" s="1252"/>
    </row>
    <row r="11" spans="1:49" ht="13.5" customHeight="1">
      <c r="B11" s="5036"/>
      <c r="C11" s="5037"/>
      <c r="D11" s="345" t="s">
        <v>1777</v>
      </c>
      <c r="Q11" s="3458"/>
      <c r="R11" s="3747" t="s">
        <v>1282</v>
      </c>
      <c r="S11" s="5042"/>
      <c r="T11" s="5042"/>
      <c r="U11" s="5042"/>
      <c r="V11" s="5042"/>
      <c r="W11" s="5042"/>
      <c r="X11" s="5042"/>
      <c r="Y11" s="5042"/>
      <c r="Z11" s="5042"/>
      <c r="AA11" s="5047"/>
      <c r="AB11" s="408"/>
      <c r="AC11" s="3830"/>
      <c r="AD11" s="3703"/>
      <c r="AE11" s="3703"/>
      <c r="AF11" s="5085"/>
      <c r="AG11" s="5087"/>
      <c r="AH11" s="5087"/>
      <c r="AI11" s="5089"/>
      <c r="AJ11" s="1252"/>
      <c r="AK11" s="1252"/>
      <c r="AL11" s="1252"/>
      <c r="AM11" s="5056"/>
      <c r="AN11" s="5057"/>
      <c r="AO11" s="5058"/>
      <c r="AP11" s="5057"/>
      <c r="AQ11" s="5057"/>
      <c r="AR11" s="5058"/>
      <c r="AS11" s="5056"/>
      <c r="AT11" s="5057"/>
      <c r="AU11" s="5083"/>
      <c r="AV11" s="1252"/>
      <c r="AW11" s="1252"/>
    </row>
    <row r="12" spans="1:49" ht="11.25" customHeight="1">
      <c r="B12" s="5036"/>
      <c r="C12" s="5037"/>
      <c r="D12" s="409"/>
      <c r="Q12" s="349"/>
      <c r="R12" s="3747"/>
      <c r="S12" s="5042"/>
      <c r="T12" s="5042"/>
      <c r="U12" s="5042"/>
      <c r="V12" s="5042"/>
      <c r="W12" s="5042"/>
      <c r="X12" s="5042"/>
      <c r="Y12" s="5042"/>
      <c r="Z12" s="5042"/>
      <c r="AA12" s="5047"/>
      <c r="AB12" s="408"/>
      <c r="AC12" s="3830"/>
      <c r="AD12" s="3703"/>
      <c r="AE12" s="3703"/>
      <c r="AF12" s="5085"/>
      <c r="AG12" s="5087"/>
      <c r="AH12" s="5087"/>
      <c r="AI12" s="5089"/>
      <c r="AJ12" s="1252"/>
      <c r="AK12" s="1252"/>
      <c r="AL12" s="1252"/>
      <c r="AM12" s="5056"/>
      <c r="AN12" s="5057"/>
      <c r="AO12" s="5058"/>
      <c r="AP12" s="5057"/>
      <c r="AQ12" s="5057"/>
      <c r="AR12" s="5058"/>
      <c r="AS12" s="5056"/>
      <c r="AT12" s="5057"/>
      <c r="AU12" s="5083"/>
      <c r="AV12" s="1252"/>
      <c r="AW12" s="1252"/>
    </row>
    <row r="13" spans="1:49" ht="11.25" customHeight="1">
      <c r="B13" s="5036"/>
      <c r="C13" s="5037"/>
      <c r="D13" s="409"/>
      <c r="Q13" s="349"/>
      <c r="R13" s="3747"/>
      <c r="S13" s="5042"/>
      <c r="T13" s="5042"/>
      <c r="U13" s="5042"/>
      <c r="V13" s="5042"/>
      <c r="W13" s="5042"/>
      <c r="X13" s="5042"/>
      <c r="Y13" s="5042"/>
      <c r="Z13" s="5042"/>
      <c r="AA13" s="5047"/>
      <c r="AB13" s="408"/>
      <c r="AC13" s="3830"/>
      <c r="AD13" s="3703"/>
      <c r="AE13" s="3703"/>
      <c r="AF13" s="5085"/>
      <c r="AG13" s="5087"/>
      <c r="AH13" s="5087"/>
      <c r="AI13" s="5089"/>
      <c r="AJ13" s="1252"/>
      <c r="AK13" s="1252"/>
      <c r="AL13" s="1252"/>
      <c r="AM13" s="5056"/>
      <c r="AN13" s="5057"/>
      <c r="AO13" s="5058"/>
      <c r="AP13" s="5057"/>
      <c r="AQ13" s="5057"/>
      <c r="AR13" s="5058"/>
      <c r="AS13" s="5056"/>
      <c r="AT13" s="5057"/>
      <c r="AU13" s="5083"/>
      <c r="AV13" s="1252"/>
      <c r="AW13" s="1252"/>
    </row>
    <row r="14" spans="1:49" ht="11.25" customHeight="1">
      <c r="B14" s="5036"/>
      <c r="C14" s="5037"/>
      <c r="D14" s="409"/>
      <c r="Q14" s="349"/>
      <c r="R14" s="3747" t="s">
        <v>689</v>
      </c>
      <c r="S14" s="5042"/>
      <c r="T14" s="3747" t="s">
        <v>690</v>
      </c>
      <c r="U14" s="5042"/>
      <c r="V14" s="3747" t="s">
        <v>691</v>
      </c>
      <c r="W14" s="5042"/>
      <c r="X14" s="3747" t="s">
        <v>692</v>
      </c>
      <c r="Y14" s="5042"/>
      <c r="Z14" s="3747" t="s">
        <v>693</v>
      </c>
      <c r="AA14" s="5047"/>
      <c r="AB14" s="408"/>
      <c r="AC14" s="1380" t="s">
        <v>48</v>
      </c>
      <c r="AD14" s="1381"/>
      <c r="AE14" s="2033">
        <v>1</v>
      </c>
      <c r="AF14" s="5085"/>
      <c r="AG14" s="5087"/>
      <c r="AH14" s="5087"/>
      <c r="AI14" s="5089"/>
      <c r="AJ14" s="1380" t="s">
        <v>862</v>
      </c>
      <c r="AK14" s="1381"/>
      <c r="AL14" s="1381">
        <v>1</v>
      </c>
      <c r="AM14" s="2028" t="s">
        <v>862</v>
      </c>
      <c r="AN14" s="2029"/>
      <c r="AO14" s="2034">
        <v>1</v>
      </c>
      <c r="AP14" s="5057"/>
      <c r="AQ14" s="5057"/>
      <c r="AR14" s="5058"/>
      <c r="AS14" s="5056"/>
      <c r="AT14" s="5057"/>
      <c r="AU14" s="5083"/>
      <c r="AV14" s="1252"/>
      <c r="AW14" s="1252"/>
    </row>
    <row r="15" spans="1:49" ht="11.25" customHeight="1">
      <c r="B15" s="5036"/>
      <c r="C15" s="5037"/>
      <c r="D15" s="409"/>
      <c r="Q15" s="349"/>
      <c r="R15" s="3747"/>
      <c r="S15" s="5042"/>
      <c r="T15" s="3747"/>
      <c r="U15" s="5042"/>
      <c r="V15" s="3747"/>
      <c r="W15" s="5042"/>
      <c r="X15" s="3747"/>
      <c r="Y15" s="5042"/>
      <c r="Z15" s="3747"/>
      <c r="AA15" s="5047"/>
      <c r="AB15" s="408"/>
      <c r="AC15" s="416" t="s">
        <v>697</v>
      </c>
      <c r="AE15" s="411">
        <v>2</v>
      </c>
      <c r="AF15" s="5085"/>
      <c r="AG15" s="5087"/>
      <c r="AH15" s="5087"/>
      <c r="AI15" s="5089"/>
      <c r="AJ15" s="416" t="s">
        <v>863</v>
      </c>
      <c r="AL15" s="408">
        <v>2</v>
      </c>
      <c r="AM15" s="2030" t="s">
        <v>863</v>
      </c>
      <c r="AN15" s="2031"/>
      <c r="AO15" s="2035">
        <v>2</v>
      </c>
      <c r="AP15" s="5057"/>
      <c r="AQ15" s="5057"/>
      <c r="AR15" s="5058"/>
      <c r="AS15" s="1260"/>
      <c r="AT15" s="1262"/>
      <c r="AU15" s="1295"/>
      <c r="AV15" s="1252"/>
      <c r="AW15" s="1252"/>
    </row>
    <row r="16" spans="1:49" ht="13.5" customHeight="1">
      <c r="B16" s="5036"/>
      <c r="C16" s="5037"/>
      <c r="D16" s="409"/>
      <c r="Q16" s="349"/>
      <c r="R16" s="3747"/>
      <c r="S16" s="5042"/>
      <c r="T16" s="3747"/>
      <c r="U16" s="5042"/>
      <c r="V16" s="3747"/>
      <c r="W16" s="5042"/>
      <c r="X16" s="3747"/>
      <c r="Y16" s="5042"/>
      <c r="Z16" s="3747"/>
      <c r="AA16" s="5047"/>
      <c r="AB16" s="408"/>
      <c r="AC16" s="5069" t="s">
        <v>1280</v>
      </c>
      <c r="AD16" s="4693"/>
      <c r="AE16" s="5070"/>
      <c r="AF16" s="5085"/>
      <c r="AG16" s="5087"/>
      <c r="AH16" s="5087"/>
      <c r="AI16" s="5089"/>
      <c r="AJ16" s="1367"/>
      <c r="AK16" s="1373"/>
      <c r="AL16" s="1373"/>
      <c r="AM16" s="1370"/>
      <c r="AN16" s="1373"/>
      <c r="AO16" s="1371"/>
      <c r="AP16" s="5080"/>
      <c r="AQ16" s="5080"/>
      <c r="AR16" s="5081"/>
      <c r="AS16" s="891"/>
      <c r="AT16" s="890"/>
      <c r="AU16" s="892"/>
      <c r="AV16" s="1252"/>
      <c r="AW16" s="1252"/>
    </row>
    <row r="17" spans="1:49" ht="12" customHeight="1" thickBot="1">
      <c r="B17" s="5038"/>
      <c r="C17" s="5039"/>
      <c r="D17" s="5071" t="s">
        <v>44</v>
      </c>
      <c r="E17" s="5072"/>
      <c r="F17" s="5072"/>
      <c r="G17" s="5072"/>
      <c r="H17" s="5072"/>
      <c r="I17" s="5072"/>
      <c r="J17" s="5072"/>
      <c r="K17" s="5072"/>
      <c r="L17" s="5072"/>
      <c r="M17" s="5072"/>
      <c r="N17" s="5072"/>
      <c r="O17" s="5073"/>
      <c r="P17" s="5074" t="s">
        <v>5</v>
      </c>
      <c r="Q17" s="5075"/>
      <c r="R17" s="5043"/>
      <c r="S17" s="5044"/>
      <c r="T17" s="5043"/>
      <c r="U17" s="5044"/>
      <c r="V17" s="5043"/>
      <c r="W17" s="5044"/>
      <c r="X17" s="5043"/>
      <c r="Y17" s="5044"/>
      <c r="Z17" s="5043"/>
      <c r="AA17" s="5068"/>
      <c r="AB17" s="408"/>
      <c r="AC17" s="5076"/>
      <c r="AD17" s="5077"/>
      <c r="AE17" s="5078"/>
      <c r="AF17" s="5086"/>
      <c r="AG17" s="5088"/>
      <c r="AH17" s="5088"/>
      <c r="AI17" s="5090"/>
      <c r="AJ17" s="5079"/>
      <c r="AK17" s="5079"/>
      <c r="AL17" s="5079"/>
      <c r="AM17" s="5091"/>
      <c r="AN17" s="5079"/>
      <c r="AO17" s="5092"/>
      <c r="AP17" s="5048" t="s">
        <v>24</v>
      </c>
      <c r="AQ17" s="5048"/>
      <c r="AR17" s="5049"/>
      <c r="AS17" s="5050" t="s">
        <v>219</v>
      </c>
      <c r="AT17" s="5048"/>
      <c r="AU17" s="5051"/>
      <c r="AV17" s="5059"/>
      <c r="AW17" s="5059"/>
    </row>
    <row r="18" spans="1:49" ht="20.100000000000001" customHeight="1">
      <c r="B18" s="5060" t="s">
        <v>6</v>
      </c>
      <c r="C18" s="5061"/>
      <c r="D18" s="5062"/>
      <c r="E18" s="5063"/>
      <c r="F18" s="5063"/>
      <c r="G18" s="5063"/>
      <c r="H18" s="5063"/>
      <c r="I18" s="5063"/>
      <c r="J18" s="5063"/>
      <c r="K18" s="5063"/>
      <c r="L18" s="5063"/>
      <c r="M18" s="5063"/>
      <c r="N18" s="5063"/>
      <c r="O18" s="5064"/>
      <c r="P18" s="5062"/>
      <c r="Q18" s="5064"/>
      <c r="R18" s="5062"/>
      <c r="S18" s="5064"/>
      <c r="T18" s="5062"/>
      <c r="U18" s="5064"/>
      <c r="V18" s="5062"/>
      <c r="W18" s="5064"/>
      <c r="X18" s="5062"/>
      <c r="Y18" s="5064"/>
      <c r="Z18" s="5062"/>
      <c r="AA18" s="5065"/>
      <c r="AB18" s="408"/>
      <c r="AC18" s="897"/>
      <c r="AD18" s="898"/>
      <c r="AE18" s="898"/>
      <c r="AF18" s="897"/>
      <c r="AG18" s="903"/>
      <c r="AH18" s="903"/>
      <c r="AI18" s="907"/>
      <c r="AJ18" s="5066"/>
      <c r="AK18" s="5066"/>
      <c r="AL18" s="5067"/>
      <c r="AM18" s="5093"/>
      <c r="AN18" s="5066"/>
      <c r="AO18" s="5067"/>
      <c r="AP18" s="5093"/>
      <c r="AQ18" s="5066"/>
      <c r="AR18" s="5067"/>
      <c r="AS18" s="5093"/>
      <c r="AT18" s="5066"/>
      <c r="AU18" s="5094"/>
      <c r="AV18" s="5059"/>
      <c r="AW18" s="5059"/>
    </row>
    <row r="19" spans="1:49" ht="20.100000000000001" customHeight="1">
      <c r="B19" s="5099" t="s">
        <v>7</v>
      </c>
      <c r="C19" s="5100"/>
      <c r="D19" s="4039"/>
      <c r="E19" s="4040"/>
      <c r="F19" s="4040"/>
      <c r="G19" s="4040"/>
      <c r="H19" s="4040"/>
      <c r="I19" s="4040"/>
      <c r="J19" s="4040"/>
      <c r="K19" s="4040"/>
      <c r="L19" s="4040"/>
      <c r="M19" s="4040"/>
      <c r="N19" s="4040"/>
      <c r="O19" s="4041"/>
      <c r="P19" s="5101"/>
      <c r="Q19" s="5102"/>
      <c r="R19" s="4039"/>
      <c r="S19" s="4041"/>
      <c r="T19" s="4039"/>
      <c r="U19" s="4041"/>
      <c r="V19" s="4039"/>
      <c r="W19" s="4041"/>
      <c r="X19" s="4039"/>
      <c r="Y19" s="4041"/>
      <c r="Z19" s="4039"/>
      <c r="AA19" s="5103"/>
      <c r="AB19" s="408"/>
      <c r="AC19" s="899"/>
      <c r="AD19" s="875"/>
      <c r="AE19" s="875"/>
      <c r="AF19" s="899"/>
      <c r="AG19" s="904"/>
      <c r="AH19" s="904"/>
      <c r="AI19" s="908"/>
      <c r="AJ19" s="5096"/>
      <c r="AK19" s="5096"/>
      <c r="AL19" s="5097"/>
      <c r="AM19" s="5095"/>
      <c r="AN19" s="5096"/>
      <c r="AO19" s="5097"/>
      <c r="AP19" s="5095"/>
      <c r="AQ19" s="5096"/>
      <c r="AR19" s="5097"/>
      <c r="AS19" s="5095"/>
      <c r="AT19" s="5096"/>
      <c r="AU19" s="5098"/>
      <c r="AV19" s="5059"/>
      <c r="AW19" s="5059"/>
    </row>
    <row r="20" spans="1:49" ht="20.100000000000001" customHeight="1">
      <c r="B20" s="5099" t="s">
        <v>8</v>
      </c>
      <c r="C20" s="5100"/>
      <c r="D20" s="4039"/>
      <c r="E20" s="4040"/>
      <c r="F20" s="4040"/>
      <c r="G20" s="4040"/>
      <c r="H20" s="4040"/>
      <c r="I20" s="4040"/>
      <c r="J20" s="4040"/>
      <c r="K20" s="4040"/>
      <c r="L20" s="4040"/>
      <c r="M20" s="4040"/>
      <c r="N20" s="4040"/>
      <c r="O20" s="4041"/>
      <c r="P20" s="5101"/>
      <c r="Q20" s="5102"/>
      <c r="R20" s="4039"/>
      <c r="S20" s="4041"/>
      <c r="T20" s="4039"/>
      <c r="U20" s="4041"/>
      <c r="V20" s="4039"/>
      <c r="W20" s="4041"/>
      <c r="X20" s="4039"/>
      <c r="Y20" s="4041"/>
      <c r="Z20" s="4039"/>
      <c r="AA20" s="5103"/>
      <c r="AB20" s="408"/>
      <c r="AC20" s="899"/>
      <c r="AD20" s="875"/>
      <c r="AE20" s="875"/>
      <c r="AF20" s="899"/>
      <c r="AG20" s="904"/>
      <c r="AH20" s="904"/>
      <c r="AI20" s="908"/>
      <c r="AJ20" s="5096"/>
      <c r="AK20" s="5096"/>
      <c r="AL20" s="5097"/>
      <c r="AM20" s="5095"/>
      <c r="AN20" s="5096"/>
      <c r="AO20" s="5097"/>
      <c r="AP20" s="5095"/>
      <c r="AQ20" s="5096"/>
      <c r="AR20" s="5097"/>
      <c r="AS20" s="5095"/>
      <c r="AT20" s="5096"/>
      <c r="AU20" s="5098"/>
      <c r="AV20" s="5059"/>
      <c r="AW20" s="5059"/>
    </row>
    <row r="21" spans="1:49" ht="20.100000000000001" customHeight="1" thickBot="1">
      <c r="B21" s="5104" t="s">
        <v>45</v>
      </c>
      <c r="C21" s="5105"/>
      <c r="D21" s="5071"/>
      <c r="E21" s="5072"/>
      <c r="F21" s="5072"/>
      <c r="G21" s="5072"/>
      <c r="H21" s="5072"/>
      <c r="I21" s="5072"/>
      <c r="J21" s="5072"/>
      <c r="K21" s="5072"/>
      <c r="L21" s="5072"/>
      <c r="M21" s="5072"/>
      <c r="N21" s="5072"/>
      <c r="O21" s="5073"/>
      <c r="P21" s="5106"/>
      <c r="Q21" s="5107"/>
      <c r="R21" s="5071"/>
      <c r="S21" s="5073"/>
      <c r="T21" s="5071"/>
      <c r="U21" s="5073"/>
      <c r="V21" s="5071"/>
      <c r="W21" s="5073"/>
      <c r="X21" s="5071"/>
      <c r="Y21" s="5073"/>
      <c r="Z21" s="5071"/>
      <c r="AA21" s="5108"/>
      <c r="AB21" s="408"/>
      <c r="AC21" s="900"/>
      <c r="AD21" s="901"/>
      <c r="AE21" s="901"/>
      <c r="AF21" s="900"/>
      <c r="AG21" s="905"/>
      <c r="AH21" s="905"/>
      <c r="AI21" s="909"/>
      <c r="AJ21" s="5048"/>
      <c r="AK21" s="5048"/>
      <c r="AL21" s="5049"/>
      <c r="AM21" s="5050"/>
      <c r="AN21" s="5048"/>
      <c r="AO21" s="5049"/>
      <c r="AP21" s="5050"/>
      <c r="AQ21" s="5048"/>
      <c r="AR21" s="5049"/>
      <c r="AS21" s="5050"/>
      <c r="AT21" s="5048"/>
      <c r="AU21" s="5051"/>
      <c r="AV21" s="5059"/>
      <c r="AW21" s="5059"/>
    </row>
    <row r="22" spans="1:49" ht="17.25" customHeight="1" thickBot="1"/>
    <row r="23" spans="1:49" s="407" customFormat="1" ht="12" customHeight="1" thickBot="1">
      <c r="A23" s="406"/>
      <c r="B23" s="5034" t="s">
        <v>260</v>
      </c>
      <c r="C23" s="5035"/>
      <c r="D23" s="5040">
        <v>6.52</v>
      </c>
      <c r="E23" s="5109"/>
      <c r="F23" s="5110"/>
      <c r="G23" s="5040">
        <f>D23+0.01</f>
        <v>6.5299999999999994</v>
      </c>
      <c r="H23" s="5109"/>
      <c r="I23" s="5110"/>
      <c r="J23" s="5040">
        <f>G23+0.01</f>
        <v>6.5399999999999991</v>
      </c>
      <c r="K23" s="5109"/>
      <c r="L23" s="5110"/>
      <c r="M23" s="5040">
        <f>J23+0.01</f>
        <v>6.5499999999999989</v>
      </c>
      <c r="N23" s="5109"/>
      <c r="O23" s="5110"/>
      <c r="P23" s="5040">
        <f>M23+0.01</f>
        <v>6.5599999999999987</v>
      </c>
      <c r="Q23" s="5109"/>
      <c r="R23" s="5110"/>
      <c r="S23" s="5040">
        <f>P23+0.01</f>
        <v>6.5699999999999985</v>
      </c>
      <c r="T23" s="5109"/>
      <c r="U23" s="5110"/>
      <c r="V23" s="5040">
        <f>S23+0.01</f>
        <v>6.5799999999999983</v>
      </c>
      <c r="W23" s="5109"/>
      <c r="X23" s="5110"/>
      <c r="Y23" s="5040">
        <f>V23+0.01</f>
        <v>6.5899999999999981</v>
      </c>
      <c r="Z23" s="5109"/>
      <c r="AA23" s="5110"/>
      <c r="AB23" s="5040">
        <f>Y23+0.01</f>
        <v>6.5999999999999979</v>
      </c>
      <c r="AC23" s="5109"/>
      <c r="AD23" s="5109"/>
      <c r="AE23" s="5040">
        <f>AB23+0.01</f>
        <v>6.6099999999999977</v>
      </c>
      <c r="AF23" s="5041"/>
      <c r="AG23" s="5040">
        <f>AE23+0.01</f>
        <v>6.6199999999999974</v>
      </c>
      <c r="AH23" s="5041"/>
      <c r="AI23" s="5040">
        <f>+AG23+0.01</f>
        <v>6.6299999999999972</v>
      </c>
      <c r="AJ23" s="5041"/>
      <c r="AK23" s="5029">
        <f>+AI23+0.01</f>
        <v>6.639999999999997</v>
      </c>
      <c r="AL23" s="5030"/>
      <c r="AM23" s="5031"/>
      <c r="AP23" s="5029">
        <f>+AK23+0.01</f>
        <v>6.6499999999999968</v>
      </c>
      <c r="AQ23" s="5030"/>
      <c r="AR23" s="5031"/>
      <c r="AS23" s="5029">
        <f>+AP23+0.01</f>
        <v>6.6599999999999966</v>
      </c>
      <c r="AT23" s="5030"/>
      <c r="AU23" s="5031"/>
    </row>
    <row r="24" spans="1:49" ht="13.5" customHeight="1">
      <c r="B24" s="5036"/>
      <c r="C24" s="5037"/>
      <c r="D24" s="2032" t="s">
        <v>709</v>
      </c>
      <c r="E24" s="615"/>
      <c r="F24" s="615"/>
      <c r="G24" s="615"/>
      <c r="H24" s="615"/>
      <c r="I24" s="615"/>
      <c r="J24" s="615"/>
      <c r="K24" s="615"/>
      <c r="L24" s="615"/>
      <c r="M24" s="615"/>
      <c r="N24" s="615"/>
      <c r="O24" s="615"/>
      <c r="P24" s="615"/>
      <c r="Q24" s="615"/>
      <c r="R24" s="615"/>
      <c r="S24" s="615"/>
      <c r="T24" s="615"/>
      <c r="U24" s="615"/>
      <c r="V24" s="615"/>
      <c r="W24" s="615"/>
      <c r="X24" s="615"/>
      <c r="Y24" s="615"/>
      <c r="Z24" s="615"/>
      <c r="AA24" s="615"/>
      <c r="AB24" s="615"/>
      <c r="AC24" s="615"/>
      <c r="AD24" s="615"/>
      <c r="AE24" s="614"/>
      <c r="AF24" s="613"/>
      <c r="AG24" s="614"/>
      <c r="AH24" s="613"/>
      <c r="AI24" s="614"/>
      <c r="AJ24" s="615"/>
      <c r="AK24" s="5116"/>
      <c r="AL24" s="5117"/>
      <c r="AM24" s="5118"/>
      <c r="AP24" s="5022" t="s">
        <v>686</v>
      </c>
      <c r="AQ24" s="3972"/>
      <c r="AR24" s="5023"/>
      <c r="AS24" s="5022" t="s">
        <v>735</v>
      </c>
      <c r="AT24" s="3972"/>
      <c r="AU24" s="5023"/>
      <c r="AW24" s="408"/>
    </row>
    <row r="25" spans="1:49" ht="13.5" customHeight="1">
      <c r="B25" s="5036"/>
      <c r="C25" s="5037"/>
      <c r="D25" s="4058" t="s">
        <v>261</v>
      </c>
      <c r="E25" s="4059"/>
      <c r="F25" s="4060"/>
      <c r="G25" s="4058" t="s">
        <v>262</v>
      </c>
      <c r="H25" s="4059"/>
      <c r="I25" s="4060"/>
      <c r="J25" s="4058" t="s">
        <v>263</v>
      </c>
      <c r="K25" s="4059"/>
      <c r="L25" s="4060"/>
      <c r="M25" s="4058" t="s">
        <v>264</v>
      </c>
      <c r="N25" s="4059"/>
      <c r="O25" s="4060"/>
      <c r="P25" s="4058" t="s">
        <v>265</v>
      </c>
      <c r="Q25" s="4059"/>
      <c r="R25" s="4060"/>
      <c r="S25" s="4058" t="s">
        <v>687</v>
      </c>
      <c r="T25" s="4059"/>
      <c r="U25" s="4060"/>
      <c r="V25" s="4058" t="s">
        <v>266</v>
      </c>
      <c r="W25" s="4059"/>
      <c r="X25" s="4060"/>
      <c r="Y25" s="4058" t="s">
        <v>267</v>
      </c>
      <c r="Z25" s="4059"/>
      <c r="AA25" s="4060"/>
      <c r="AB25" s="4058" t="s">
        <v>268</v>
      </c>
      <c r="AC25" s="4059"/>
      <c r="AD25" s="4059"/>
      <c r="AE25" s="5113" t="s">
        <v>681</v>
      </c>
      <c r="AF25" s="5114"/>
      <c r="AG25" s="5113" t="s">
        <v>269</v>
      </c>
      <c r="AH25" s="5114"/>
      <c r="AI25" s="5119" t="s">
        <v>1613</v>
      </c>
      <c r="AJ25" s="5120"/>
      <c r="AK25" s="2752"/>
      <c r="AL25" s="4059" t="s">
        <v>31</v>
      </c>
      <c r="AM25" s="5115"/>
      <c r="AP25" s="5024"/>
      <c r="AQ25" s="3973"/>
      <c r="AR25" s="5025"/>
      <c r="AS25" s="5024"/>
      <c r="AT25" s="3973"/>
      <c r="AU25" s="5025"/>
      <c r="AW25" s="408"/>
    </row>
    <row r="26" spans="1:49" ht="12.75" customHeight="1">
      <c r="B26" s="5036"/>
      <c r="C26" s="5037"/>
      <c r="D26" s="4058"/>
      <c r="E26" s="4059"/>
      <c r="F26" s="4060"/>
      <c r="G26" s="4058"/>
      <c r="H26" s="4059"/>
      <c r="I26" s="4060"/>
      <c r="J26" s="4058"/>
      <c r="K26" s="4059"/>
      <c r="L26" s="4060"/>
      <c r="M26" s="4058"/>
      <c r="N26" s="4059"/>
      <c r="O26" s="4060"/>
      <c r="P26" s="4058"/>
      <c r="Q26" s="4059"/>
      <c r="R26" s="4060"/>
      <c r="S26" s="4058"/>
      <c r="T26" s="4059"/>
      <c r="U26" s="4060"/>
      <c r="V26" s="4058"/>
      <c r="W26" s="4059"/>
      <c r="X26" s="4060"/>
      <c r="Y26" s="4058"/>
      <c r="Z26" s="4059"/>
      <c r="AA26" s="4060"/>
      <c r="AB26" s="4058"/>
      <c r="AC26" s="4059"/>
      <c r="AD26" s="4059"/>
      <c r="AE26" s="4058"/>
      <c r="AF26" s="4060"/>
      <c r="AG26" s="4058"/>
      <c r="AH26" s="4060"/>
      <c r="AI26" s="5121"/>
      <c r="AJ26" s="5122"/>
      <c r="AK26" s="2752"/>
      <c r="AL26" s="4059"/>
      <c r="AM26" s="5115"/>
      <c r="AP26" s="5024"/>
      <c r="AQ26" s="3973"/>
      <c r="AR26" s="5025"/>
      <c r="AS26" s="5024"/>
      <c r="AT26" s="3973"/>
      <c r="AU26" s="5025"/>
      <c r="AW26" s="408"/>
    </row>
    <row r="27" spans="1:49" ht="13.5" customHeight="1">
      <c r="B27" s="5036"/>
      <c r="C27" s="5037"/>
      <c r="D27" s="4058"/>
      <c r="E27" s="4059"/>
      <c r="F27" s="4060"/>
      <c r="G27" s="4058"/>
      <c r="H27" s="4059"/>
      <c r="I27" s="4060"/>
      <c r="J27" s="4058"/>
      <c r="K27" s="4059"/>
      <c r="L27" s="4060"/>
      <c r="M27" s="4058"/>
      <c r="N27" s="4059"/>
      <c r="O27" s="4060"/>
      <c r="P27" s="4058"/>
      <c r="Q27" s="4059"/>
      <c r="R27" s="4060"/>
      <c r="S27" s="4058"/>
      <c r="T27" s="4059"/>
      <c r="U27" s="4060"/>
      <c r="V27" s="4058"/>
      <c r="W27" s="4059"/>
      <c r="X27" s="4060"/>
      <c r="Y27" s="4058"/>
      <c r="Z27" s="4059"/>
      <c r="AA27" s="4060"/>
      <c r="AB27" s="4058"/>
      <c r="AC27" s="4059"/>
      <c r="AD27" s="4059"/>
      <c r="AE27" s="4058"/>
      <c r="AF27" s="4060"/>
      <c r="AG27" s="4058"/>
      <c r="AH27" s="4060"/>
      <c r="AK27" s="2752"/>
      <c r="AL27" s="4059"/>
      <c r="AM27" s="5115"/>
      <c r="AP27" s="5024"/>
      <c r="AQ27" s="3973"/>
      <c r="AR27" s="5025"/>
      <c r="AS27" s="5024"/>
      <c r="AT27" s="3973"/>
      <c r="AU27" s="5025"/>
      <c r="AW27" s="408"/>
    </row>
    <row r="28" spans="1:49">
      <c r="B28" s="5036"/>
      <c r="C28" s="5037"/>
      <c r="D28" s="4058"/>
      <c r="E28" s="4059"/>
      <c r="F28" s="4060"/>
      <c r="G28" s="4058"/>
      <c r="H28" s="4059"/>
      <c r="I28" s="4060"/>
      <c r="J28" s="4058"/>
      <c r="K28" s="4059"/>
      <c r="L28" s="4060"/>
      <c r="M28" s="4058"/>
      <c r="N28" s="4059"/>
      <c r="O28" s="4060"/>
      <c r="P28" s="4058"/>
      <c r="Q28" s="4059"/>
      <c r="R28" s="4060"/>
      <c r="S28" s="4058"/>
      <c r="T28" s="4059"/>
      <c r="U28" s="4060"/>
      <c r="V28" s="4058"/>
      <c r="W28" s="4059"/>
      <c r="X28" s="4060"/>
      <c r="Y28" s="4058"/>
      <c r="Z28" s="4059"/>
      <c r="AA28" s="4060"/>
      <c r="AB28" s="4058"/>
      <c r="AC28" s="4059"/>
      <c r="AD28" s="4059"/>
      <c r="AE28" s="4058"/>
      <c r="AF28" s="4060"/>
      <c r="AG28" s="4058"/>
      <c r="AH28" s="4060"/>
      <c r="AI28" s="2728"/>
      <c r="AJ28" s="2736"/>
      <c r="AK28" s="2752"/>
      <c r="AL28" s="2737"/>
      <c r="AM28" s="1505"/>
      <c r="AP28" s="5024"/>
      <c r="AQ28" s="3973"/>
      <c r="AR28" s="5025"/>
      <c r="AS28" s="5024"/>
      <c r="AT28" s="3973"/>
      <c r="AU28" s="5025"/>
      <c r="AW28" s="408"/>
    </row>
    <row r="29" spans="1:49">
      <c r="B29" s="5036"/>
      <c r="C29" s="5037"/>
      <c r="D29" s="4058"/>
      <c r="E29" s="4059"/>
      <c r="F29" s="4060"/>
      <c r="G29" s="4058"/>
      <c r="H29" s="4059"/>
      <c r="I29" s="4060"/>
      <c r="J29" s="4058"/>
      <c r="K29" s="4059"/>
      <c r="L29" s="4060"/>
      <c r="M29" s="4058"/>
      <c r="N29" s="4059"/>
      <c r="O29" s="4060"/>
      <c r="P29" s="4058"/>
      <c r="Q29" s="4059"/>
      <c r="R29" s="4060"/>
      <c r="S29" s="4058"/>
      <c r="T29" s="4059"/>
      <c r="U29" s="4060"/>
      <c r="V29" s="4058"/>
      <c r="W29" s="4059"/>
      <c r="X29" s="4060"/>
      <c r="Y29" s="4058"/>
      <c r="Z29" s="4059"/>
      <c r="AA29" s="4060"/>
      <c r="AB29" s="4058"/>
      <c r="AC29" s="4059"/>
      <c r="AD29" s="4059"/>
      <c r="AE29" s="4058"/>
      <c r="AF29" s="4060"/>
      <c r="AG29" s="4058"/>
      <c r="AH29" s="4060"/>
      <c r="AI29" s="2728"/>
      <c r="AJ29" s="2736"/>
      <c r="AK29" s="2752"/>
      <c r="AL29" s="2737"/>
      <c r="AM29" s="1505"/>
      <c r="AP29" s="5024"/>
      <c r="AQ29" s="3973"/>
      <c r="AR29" s="5025"/>
      <c r="AS29" s="5024"/>
      <c r="AT29" s="3973"/>
      <c r="AU29" s="5025"/>
      <c r="AW29" s="408"/>
    </row>
    <row r="30" spans="1:49">
      <c r="B30" s="5036"/>
      <c r="C30" s="5037"/>
      <c r="D30" s="4058"/>
      <c r="E30" s="4059"/>
      <c r="F30" s="4060"/>
      <c r="G30" s="4058"/>
      <c r="H30" s="4059"/>
      <c r="I30" s="4060"/>
      <c r="J30" s="4058"/>
      <c r="K30" s="4059"/>
      <c r="L30" s="4060"/>
      <c r="M30" s="4058"/>
      <c r="N30" s="4059"/>
      <c r="O30" s="4060"/>
      <c r="P30" s="4058"/>
      <c r="Q30" s="4059"/>
      <c r="R30" s="4060"/>
      <c r="S30" s="4058"/>
      <c r="T30" s="4059"/>
      <c r="U30" s="4060"/>
      <c r="V30" s="4058"/>
      <c r="W30" s="4059"/>
      <c r="X30" s="4060"/>
      <c r="Y30" s="4058"/>
      <c r="Z30" s="4059"/>
      <c r="AA30" s="4060"/>
      <c r="AB30" s="4058"/>
      <c r="AC30" s="4059"/>
      <c r="AD30" s="4059"/>
      <c r="AE30" s="4058"/>
      <c r="AF30" s="4060"/>
      <c r="AG30" s="4058"/>
      <c r="AH30" s="4060"/>
      <c r="AI30" s="2728"/>
      <c r="AJ30" s="2736"/>
      <c r="AK30" s="2752"/>
      <c r="AL30" s="2737"/>
      <c r="AM30" s="1505"/>
      <c r="AP30" s="5024"/>
      <c r="AQ30" s="3973"/>
      <c r="AR30" s="5025"/>
      <c r="AS30" s="5024"/>
      <c r="AT30" s="3973"/>
      <c r="AU30" s="5025"/>
      <c r="AW30" s="408"/>
    </row>
    <row r="31" spans="1:49">
      <c r="B31" s="5036"/>
      <c r="C31" s="5037"/>
      <c r="D31" s="4058"/>
      <c r="E31" s="4059"/>
      <c r="F31" s="4060"/>
      <c r="G31" s="4058"/>
      <c r="H31" s="4059"/>
      <c r="I31" s="4060"/>
      <c r="J31" s="4058"/>
      <c r="K31" s="4059"/>
      <c r="L31" s="4060"/>
      <c r="M31" s="4058"/>
      <c r="N31" s="4059"/>
      <c r="O31" s="4060"/>
      <c r="P31" s="4058"/>
      <c r="Q31" s="4059"/>
      <c r="R31" s="4060"/>
      <c r="S31" s="4058"/>
      <c r="T31" s="4059"/>
      <c r="U31" s="4060"/>
      <c r="V31" s="4058"/>
      <c r="W31" s="4059"/>
      <c r="X31" s="4060"/>
      <c r="Y31" s="4058"/>
      <c r="Z31" s="4059"/>
      <c r="AA31" s="4060"/>
      <c r="AB31" s="4058"/>
      <c r="AC31" s="4059"/>
      <c r="AD31" s="4059"/>
      <c r="AE31" s="1966"/>
      <c r="AF31" s="1967"/>
      <c r="AG31" s="1966"/>
      <c r="AH31" s="1967"/>
      <c r="AI31" s="2728"/>
      <c r="AJ31" s="2736"/>
      <c r="AK31" s="2752"/>
      <c r="AL31" s="2737"/>
      <c r="AM31" s="1505"/>
      <c r="AP31" s="5024"/>
      <c r="AQ31" s="3973"/>
      <c r="AR31" s="5025"/>
      <c r="AS31" s="5024"/>
      <c r="AT31" s="3973"/>
      <c r="AU31" s="5025"/>
      <c r="AW31" s="408"/>
    </row>
    <row r="32" spans="1:49" ht="13.5" customHeight="1" thickBot="1">
      <c r="B32" s="5036"/>
      <c r="C32" s="5037"/>
      <c r="D32" s="4058"/>
      <c r="E32" s="4059"/>
      <c r="F32" s="4060"/>
      <c r="G32" s="4058"/>
      <c r="H32" s="4059"/>
      <c r="I32" s="4060"/>
      <c r="J32" s="4058"/>
      <c r="K32" s="4059"/>
      <c r="L32" s="4060"/>
      <c r="M32" s="4058"/>
      <c r="N32" s="4059"/>
      <c r="O32" s="4060"/>
      <c r="P32" s="4058"/>
      <c r="Q32" s="4059"/>
      <c r="R32" s="4060"/>
      <c r="S32" s="4058"/>
      <c r="T32" s="4059"/>
      <c r="U32" s="4060"/>
      <c r="V32" s="4058"/>
      <c r="W32" s="4059"/>
      <c r="X32" s="4060"/>
      <c r="Y32" s="4058"/>
      <c r="Z32" s="4059"/>
      <c r="AA32" s="4060"/>
      <c r="AB32" s="4058"/>
      <c r="AC32" s="4059"/>
      <c r="AD32" s="4059"/>
      <c r="AE32" s="1966"/>
      <c r="AF32" s="1967"/>
      <c r="AG32" s="1966"/>
      <c r="AH32" s="1967"/>
      <c r="AI32" s="2728"/>
      <c r="AJ32" s="2736"/>
      <c r="AK32" s="2753"/>
      <c r="AL32" s="2754"/>
      <c r="AM32" s="2755"/>
      <c r="AP32" s="5026"/>
      <c r="AQ32" s="5027"/>
      <c r="AR32" s="5028"/>
      <c r="AS32" s="5026"/>
      <c r="AT32" s="5027"/>
      <c r="AU32" s="5028"/>
      <c r="AW32" s="408"/>
    </row>
    <row r="33" spans="2:49" thickBot="1">
      <c r="B33" s="5038"/>
      <c r="C33" s="5123"/>
      <c r="D33" s="5019" t="s">
        <v>219</v>
      </c>
      <c r="E33" s="5020"/>
      <c r="F33" s="5111"/>
      <c r="G33" s="5112" t="s">
        <v>219</v>
      </c>
      <c r="H33" s="5020"/>
      <c r="I33" s="5111"/>
      <c r="J33" s="5112" t="s">
        <v>219</v>
      </c>
      <c r="K33" s="5020"/>
      <c r="L33" s="5111"/>
      <c r="M33" s="5112" t="s">
        <v>219</v>
      </c>
      <c r="N33" s="5020"/>
      <c r="O33" s="5111"/>
      <c r="P33" s="5112" t="s">
        <v>219</v>
      </c>
      <c r="Q33" s="5020"/>
      <c r="R33" s="5111"/>
      <c r="S33" s="5112" t="s">
        <v>219</v>
      </c>
      <c r="T33" s="5020"/>
      <c r="U33" s="5111"/>
      <c r="V33" s="5112" t="s">
        <v>219</v>
      </c>
      <c r="W33" s="5020"/>
      <c r="X33" s="5111"/>
      <c r="Y33" s="5112" t="s">
        <v>219</v>
      </c>
      <c r="Z33" s="5020"/>
      <c r="AA33" s="5111"/>
      <c r="AB33" s="5112" t="s">
        <v>219</v>
      </c>
      <c r="AC33" s="5020"/>
      <c r="AD33" s="5111"/>
      <c r="AE33" s="5112" t="s">
        <v>219</v>
      </c>
      <c r="AF33" s="5111"/>
      <c r="AG33" s="5112" t="s">
        <v>219</v>
      </c>
      <c r="AH33" s="5111"/>
      <c r="AI33" s="5112" t="s">
        <v>219</v>
      </c>
      <c r="AJ33" s="5020"/>
      <c r="AK33" s="5019" t="s">
        <v>219</v>
      </c>
      <c r="AL33" s="5020"/>
      <c r="AM33" s="5021"/>
      <c r="AP33" s="5019" t="s">
        <v>219</v>
      </c>
      <c r="AQ33" s="5020"/>
      <c r="AR33" s="5021"/>
      <c r="AS33" s="5019" t="s">
        <v>219</v>
      </c>
      <c r="AT33" s="5020"/>
      <c r="AU33" s="5021"/>
      <c r="AW33" s="408"/>
    </row>
    <row r="34" spans="2:49" ht="20.100000000000001" customHeight="1">
      <c r="B34" s="5060" t="s">
        <v>6</v>
      </c>
      <c r="C34" s="5061"/>
      <c r="D34" s="5093"/>
      <c r="E34" s="5066"/>
      <c r="F34" s="5067"/>
      <c r="G34" s="5093"/>
      <c r="H34" s="5066"/>
      <c r="I34" s="5067"/>
      <c r="J34" s="5093"/>
      <c r="K34" s="5066"/>
      <c r="L34" s="5067"/>
      <c r="M34" s="5093"/>
      <c r="N34" s="5066"/>
      <c r="O34" s="5067"/>
      <c r="P34" s="5093"/>
      <c r="Q34" s="5066"/>
      <c r="R34" s="5067"/>
      <c r="S34" s="5093"/>
      <c r="T34" s="5066"/>
      <c r="U34" s="5067"/>
      <c r="V34" s="5093"/>
      <c r="W34" s="5066"/>
      <c r="X34" s="5067"/>
      <c r="Y34" s="5093"/>
      <c r="Z34" s="5066"/>
      <c r="AA34" s="5067"/>
      <c r="AB34" s="5093"/>
      <c r="AC34" s="5066"/>
      <c r="AD34" s="5067"/>
      <c r="AE34" s="917"/>
      <c r="AF34" s="919"/>
      <c r="AG34" s="917"/>
      <c r="AH34" s="919"/>
      <c r="AI34" s="917"/>
      <c r="AJ34" s="918"/>
      <c r="AK34" s="2732"/>
      <c r="AL34" s="918"/>
      <c r="AM34" s="2729"/>
      <c r="AP34" s="2732"/>
      <c r="AQ34" s="918"/>
      <c r="AR34" s="2729"/>
      <c r="AS34" s="910"/>
      <c r="AT34" s="2740"/>
      <c r="AU34" s="2741"/>
      <c r="AW34" s="408"/>
    </row>
    <row r="35" spans="2:49" ht="20.100000000000001" customHeight="1">
      <c r="B35" s="5099" t="s">
        <v>7</v>
      </c>
      <c r="C35" s="5100"/>
      <c r="D35" s="5095"/>
      <c r="E35" s="5096"/>
      <c r="F35" s="5097"/>
      <c r="G35" s="5095"/>
      <c r="H35" s="5096"/>
      <c r="I35" s="5097"/>
      <c r="J35" s="5095"/>
      <c r="K35" s="5096"/>
      <c r="L35" s="5097"/>
      <c r="M35" s="5095"/>
      <c r="N35" s="5096"/>
      <c r="O35" s="5097"/>
      <c r="P35" s="5095"/>
      <c r="Q35" s="5096"/>
      <c r="R35" s="5097"/>
      <c r="S35" s="5095"/>
      <c r="T35" s="5096"/>
      <c r="U35" s="5097"/>
      <c r="V35" s="5095"/>
      <c r="W35" s="5096"/>
      <c r="X35" s="5097"/>
      <c r="Y35" s="5095"/>
      <c r="Z35" s="5096"/>
      <c r="AA35" s="5097"/>
      <c r="AB35" s="5095"/>
      <c r="AC35" s="5096"/>
      <c r="AD35" s="5097"/>
      <c r="AE35" s="914"/>
      <c r="AF35" s="915"/>
      <c r="AG35" s="914"/>
      <c r="AH35" s="915"/>
      <c r="AI35" s="914"/>
      <c r="AJ35" s="916"/>
      <c r="AK35" s="2733"/>
      <c r="AL35" s="916"/>
      <c r="AM35" s="2730"/>
      <c r="AP35" s="2733"/>
      <c r="AQ35" s="916"/>
      <c r="AR35" s="2730"/>
      <c r="AS35" s="896"/>
      <c r="AT35" s="2742"/>
      <c r="AU35" s="2743"/>
      <c r="AW35" s="408"/>
    </row>
    <row r="36" spans="2:49" ht="20.100000000000001" customHeight="1">
      <c r="B36" s="5099" t="s">
        <v>8</v>
      </c>
      <c r="C36" s="5100"/>
      <c r="D36" s="5095"/>
      <c r="E36" s="5096"/>
      <c r="F36" s="5097"/>
      <c r="G36" s="5095"/>
      <c r="H36" s="5096"/>
      <c r="I36" s="5097"/>
      <c r="J36" s="5095"/>
      <c r="K36" s="5096"/>
      <c r="L36" s="5097"/>
      <c r="M36" s="5095"/>
      <c r="N36" s="5096"/>
      <c r="O36" s="5097"/>
      <c r="P36" s="5095"/>
      <c r="Q36" s="5096"/>
      <c r="R36" s="5097"/>
      <c r="S36" s="5095"/>
      <c r="T36" s="5096"/>
      <c r="U36" s="5097"/>
      <c r="V36" s="5095"/>
      <c r="W36" s="5096"/>
      <c r="X36" s="5097"/>
      <c r="Y36" s="5095"/>
      <c r="Z36" s="5096"/>
      <c r="AA36" s="5097"/>
      <c r="AB36" s="5095"/>
      <c r="AC36" s="5096"/>
      <c r="AD36" s="5097"/>
      <c r="AE36" s="914"/>
      <c r="AF36" s="915"/>
      <c r="AG36" s="914"/>
      <c r="AH36" s="915"/>
      <c r="AI36" s="914"/>
      <c r="AJ36" s="916"/>
      <c r="AK36" s="2733"/>
      <c r="AL36" s="916"/>
      <c r="AM36" s="2730"/>
      <c r="AP36" s="2733"/>
      <c r="AQ36" s="916"/>
      <c r="AR36" s="2730"/>
      <c r="AS36" s="896"/>
      <c r="AT36" s="2742"/>
      <c r="AU36" s="2743"/>
      <c r="AW36" s="408"/>
    </row>
    <row r="37" spans="2:49" ht="20.100000000000001" customHeight="1" thickBot="1">
      <c r="B37" s="5104" t="s">
        <v>45</v>
      </c>
      <c r="C37" s="5105"/>
      <c r="D37" s="5050"/>
      <c r="E37" s="5048"/>
      <c r="F37" s="5049"/>
      <c r="G37" s="5050"/>
      <c r="H37" s="5048"/>
      <c r="I37" s="5049"/>
      <c r="J37" s="5050"/>
      <c r="K37" s="5048"/>
      <c r="L37" s="5049"/>
      <c r="M37" s="5050"/>
      <c r="N37" s="5048"/>
      <c r="O37" s="5049"/>
      <c r="P37" s="5050"/>
      <c r="Q37" s="5048"/>
      <c r="R37" s="5049"/>
      <c r="S37" s="5050"/>
      <c r="T37" s="5048"/>
      <c r="U37" s="5049"/>
      <c r="V37" s="5050"/>
      <c r="W37" s="5048"/>
      <c r="X37" s="5049"/>
      <c r="Y37" s="5050"/>
      <c r="Z37" s="5048"/>
      <c r="AA37" s="5049"/>
      <c r="AB37" s="5050"/>
      <c r="AC37" s="5048"/>
      <c r="AD37" s="5049"/>
      <c r="AE37" s="913"/>
      <c r="AF37" s="912"/>
      <c r="AG37" s="913"/>
      <c r="AH37" s="912"/>
      <c r="AI37" s="913"/>
      <c r="AJ37" s="911"/>
      <c r="AK37" s="2734"/>
      <c r="AL37" s="911"/>
      <c r="AM37" s="2731"/>
      <c r="AP37" s="2734"/>
      <c r="AQ37" s="911"/>
      <c r="AR37" s="2731"/>
      <c r="AS37" s="1294"/>
      <c r="AT37" s="2738"/>
      <c r="AU37" s="2739"/>
      <c r="AW37" s="408"/>
    </row>
  </sheetData>
  <customSheetViews>
    <customSheetView guid="{BDF1A126-BD1D-4A5E-80B8-98941684E462}" showPageBreaks="1" showGridLines="0" printArea="1">
      <selection activeCell="BD20" sqref="BD20"/>
      <pageMargins left="0.5" right="0.5" top="0.56999999999999995" bottom="0" header="0" footer="0"/>
      <pageSetup paperSize="9" orientation="landscape" r:id="rId1"/>
      <headerFooter alignWithMargins="0">
        <oddFooter>&amp;L&amp;"Arial Narrow,Regular"&amp;8&amp;D&amp;C&amp;"Arial Narrow,Regular"&amp;8&amp;F</oddFooter>
      </headerFooter>
    </customSheetView>
    <customSheetView guid="{04F0793E-5444-463D-A1D5-E52E08A4C249}" showPageBreaks="1" showGridLines="0" printArea="1" topLeftCell="A3">
      <selection activeCell="AS6" sqref="AS6:AU14"/>
      <pageMargins left="0.5" right="0.5" top="0.5" bottom="0" header="0" footer="0"/>
      <pageSetup paperSize="9" orientation="landscape" r:id="rId2"/>
      <headerFooter alignWithMargins="0">
        <oddFooter>&amp;L&amp;"Arial Narrow,Regular"&amp;8&amp;D&amp;C&amp;"Arial Narrow,Regular"&amp;8&amp;F</oddFooter>
      </headerFooter>
    </customSheetView>
    <customSheetView guid="{925F74B5-C2F5-4E55-AFE4-045C56169B44}" showPageBreaks="1" showGridLines="0" printArea="1">
      <selection activeCell="AI10" sqref="AI10:AI17"/>
      <pageMargins left="0.5" right="0.5" top="0.5" bottom="0" header="0" footer="0"/>
      <pageSetup paperSize="9" orientation="landscape" r:id="rId3"/>
      <headerFooter alignWithMargins="0">
        <oddFooter>&amp;L&amp;"Arial Narrow,Regular"&amp;8&amp;D&amp;C&amp;"Arial Narrow,Regular"&amp;8&amp;F</oddFooter>
      </headerFooter>
    </customSheetView>
    <customSheetView guid="{1FF58891-F32F-4F97-9812-E2D02F4497AA}" showGridLines="0">
      <selection activeCell="B5" sqref="B5:C33"/>
      <pageMargins left="0.5" right="0.5" top="0.56999999999999995" bottom="0" header="0" footer="0"/>
      <pageSetup paperSize="9" orientation="landscape" r:id="rId4"/>
      <headerFooter alignWithMargins="0">
        <oddFooter>&amp;L&amp;"Arial Narrow,Regular"&amp;8&amp;D&amp;C&amp;"Arial Narrow,Regular"&amp;8&amp;F</oddFooter>
      </headerFooter>
    </customSheetView>
    <customSheetView guid="{2A6091F0-BAF4-46A2-BC20-0DE610E67601}" showPageBreaks="1" showGridLines="0" printArea="1">
      <selection activeCell="BD20" sqref="BD20"/>
      <pageMargins left="0.5" right="0.5" top="0.56999999999999995" bottom="0" header="0" footer="0"/>
      <pageSetup paperSize="9" orientation="landscape" r:id="rId5"/>
      <headerFooter alignWithMargins="0">
        <oddFooter>&amp;L&amp;"Arial Narrow,Regular"&amp;8&amp;D&amp;C&amp;"Arial Narrow,Regular"&amp;8&amp;F</oddFooter>
      </headerFooter>
    </customSheetView>
    <customSheetView guid="{5111FDC7-EEAC-46C3-8033-47A3563F0C00}" showPageBreaks="1" showGridLines="0" printArea="1">
      <selection activeCell="AC16" sqref="AC16:AE16"/>
      <pageMargins left="0.5" right="0.5" top="0.56999999999999995" bottom="0" header="0" footer="0"/>
      <pageSetup paperSize="9" orientation="landscape" r:id="rId6"/>
      <headerFooter alignWithMargins="0">
        <oddFooter>&amp;L&amp;"Arial Narrow,Regular"&amp;8&amp;D&amp;C&amp;"Arial Narrow,Regular"&amp;8&amp;F</oddFooter>
      </headerFooter>
    </customSheetView>
    <customSheetView guid="{2A5E79E4-584C-4F65-A220-87928CEA02AF}" showPageBreaks="1" showGridLines="0" printArea="1" topLeftCell="A25">
      <selection activeCell="D8" sqref="D8:Q10"/>
      <pageMargins left="0.5" right="0.5" top="0.56999999999999995" bottom="0" header="0" footer="0"/>
      <pageSetup paperSize="9" orientation="landscape" r:id="rId7"/>
      <headerFooter alignWithMargins="0">
        <oddFooter>&amp;L&amp;"Arial Narrow,Regular"&amp;8&amp;D&amp;C&amp;"Arial Narrow,Regular"&amp;8&amp;F</oddFooter>
      </headerFooter>
    </customSheetView>
    <customSheetView guid="{66872EF1-41BD-4D4B-B603-B8B0D03DAD22}" showPageBreaks="1" showGridLines="0" printArea="1">
      <selection activeCell="D1" sqref="D1"/>
      <pageMargins left="0.5" right="0.5" top="0.56999999999999995" bottom="0" header="0" footer="0"/>
      <pageSetup paperSize="9" orientation="landscape" r:id="rId8"/>
      <headerFooter alignWithMargins="0">
        <oddFooter>&amp;L&amp;"Arial Narrow,Regular"&amp;8&amp;D&amp;C&amp;"Arial Narrow,Regular"&amp;8&amp;F</oddFooter>
      </headerFooter>
    </customSheetView>
    <customSheetView guid="{ACE56013-11B3-4BF4-BD0B-BF59142DAC13}" showPageBreaks="1" showGridLines="0" printArea="1" topLeftCell="C1">
      <selection activeCell="Q11" sqref="Q11"/>
      <pageMargins left="0.5" right="0.5" top="0.56999999999999995" bottom="0" header="0" footer="0"/>
      <pageSetup paperSize="9" orientation="landscape" r:id="rId9"/>
      <headerFooter alignWithMargins="0">
        <oddFooter>&amp;L&amp;"Arial Narrow,Regular"&amp;8&amp;D&amp;C&amp;"Arial Narrow,Regular"&amp;8&amp;F</oddFooter>
      </headerFooter>
    </customSheetView>
  </customSheetViews>
  <mergeCells count="178">
    <mergeCell ref="V36:X36"/>
    <mergeCell ref="Y36:AA36"/>
    <mergeCell ref="AB36:AD36"/>
    <mergeCell ref="P36:R36"/>
    <mergeCell ref="Y35:AA35"/>
    <mergeCell ref="AB35:AD35"/>
    <mergeCell ref="S34:U34"/>
    <mergeCell ref="V34:X34"/>
    <mergeCell ref="Y34:AA34"/>
    <mergeCell ref="AB34:AD34"/>
    <mergeCell ref="P37:R37"/>
    <mergeCell ref="S37:U37"/>
    <mergeCell ref="V37:X37"/>
    <mergeCell ref="Y37:AA37"/>
    <mergeCell ref="AB37:AD37"/>
    <mergeCell ref="B35:C35"/>
    <mergeCell ref="D35:F35"/>
    <mergeCell ref="G35:I35"/>
    <mergeCell ref="J35:L35"/>
    <mergeCell ref="M35:O35"/>
    <mergeCell ref="P35:R35"/>
    <mergeCell ref="S35:U35"/>
    <mergeCell ref="V35:X35"/>
    <mergeCell ref="B37:C37"/>
    <mergeCell ref="D37:F37"/>
    <mergeCell ref="G37:I37"/>
    <mergeCell ref="J37:L37"/>
    <mergeCell ref="M37:O37"/>
    <mergeCell ref="B36:C36"/>
    <mergeCell ref="D36:F36"/>
    <mergeCell ref="G36:I36"/>
    <mergeCell ref="J36:L36"/>
    <mergeCell ref="M36:O36"/>
    <mergeCell ref="S36:U36"/>
    <mergeCell ref="AP24:AR32"/>
    <mergeCell ref="AI33:AJ33"/>
    <mergeCell ref="B34:C34"/>
    <mergeCell ref="D34:F34"/>
    <mergeCell ref="G34:I34"/>
    <mergeCell ref="J34:L34"/>
    <mergeCell ref="M34:O34"/>
    <mergeCell ref="P34:R34"/>
    <mergeCell ref="S33:U33"/>
    <mergeCell ref="V33:X33"/>
    <mergeCell ref="Y33:AA33"/>
    <mergeCell ref="AB33:AD33"/>
    <mergeCell ref="AE33:AF33"/>
    <mergeCell ref="AG33:AH33"/>
    <mergeCell ref="B23:C33"/>
    <mergeCell ref="M23:O23"/>
    <mergeCell ref="P23:R23"/>
    <mergeCell ref="D25:F32"/>
    <mergeCell ref="G25:I32"/>
    <mergeCell ref="J25:L32"/>
    <mergeCell ref="M25:O32"/>
    <mergeCell ref="P25:R32"/>
    <mergeCell ref="S25:U32"/>
    <mergeCell ref="AB23:AD23"/>
    <mergeCell ref="AE23:AF23"/>
    <mergeCell ref="AG23:AH23"/>
    <mergeCell ref="AI23:AJ23"/>
    <mergeCell ref="Y25:AA32"/>
    <mergeCell ref="AB25:AD32"/>
    <mergeCell ref="AE25:AF30"/>
    <mergeCell ref="AG25:AH30"/>
    <mergeCell ref="AL25:AM27"/>
    <mergeCell ref="AK23:AM23"/>
    <mergeCell ref="AK24:AM24"/>
    <mergeCell ref="AI25:AJ26"/>
    <mergeCell ref="V20:W20"/>
    <mergeCell ref="X20:Y20"/>
    <mergeCell ref="Z20:AA20"/>
    <mergeCell ref="J23:L23"/>
    <mergeCell ref="S23:U23"/>
    <mergeCell ref="V23:X23"/>
    <mergeCell ref="Y23:AA23"/>
    <mergeCell ref="D33:F33"/>
    <mergeCell ref="G33:I33"/>
    <mergeCell ref="J33:L33"/>
    <mergeCell ref="M33:O33"/>
    <mergeCell ref="P33:R33"/>
    <mergeCell ref="V25:X32"/>
    <mergeCell ref="D23:F23"/>
    <mergeCell ref="G23:I23"/>
    <mergeCell ref="B21:C21"/>
    <mergeCell ref="D21:O21"/>
    <mergeCell ref="P21:Q21"/>
    <mergeCell ref="R21:S21"/>
    <mergeCell ref="T21:U21"/>
    <mergeCell ref="V21:W21"/>
    <mergeCell ref="AV21:AW21"/>
    <mergeCell ref="X21:Y21"/>
    <mergeCell ref="Z21:AA21"/>
    <mergeCell ref="AJ21:AL21"/>
    <mergeCell ref="AM21:AO21"/>
    <mergeCell ref="AP21:AR21"/>
    <mergeCell ref="AS21:AU21"/>
    <mergeCell ref="AV18:AW18"/>
    <mergeCell ref="AM20:AO20"/>
    <mergeCell ref="AJ20:AL20"/>
    <mergeCell ref="AP20:AR20"/>
    <mergeCell ref="AS20:AU20"/>
    <mergeCell ref="AV20:AW20"/>
    <mergeCell ref="B19:C19"/>
    <mergeCell ref="D19:O19"/>
    <mergeCell ref="P19:Q19"/>
    <mergeCell ref="R19:S19"/>
    <mergeCell ref="T19:U19"/>
    <mergeCell ref="V19:W19"/>
    <mergeCell ref="AV19:AW19"/>
    <mergeCell ref="X19:Y19"/>
    <mergeCell ref="Z19:AA19"/>
    <mergeCell ref="AJ19:AL19"/>
    <mergeCell ref="AM19:AO19"/>
    <mergeCell ref="AP19:AR19"/>
    <mergeCell ref="AS19:AU19"/>
    <mergeCell ref="B20:C20"/>
    <mergeCell ref="D20:O20"/>
    <mergeCell ref="P20:Q20"/>
    <mergeCell ref="R20:S20"/>
    <mergeCell ref="T20:U20"/>
    <mergeCell ref="AG9:AH9"/>
    <mergeCell ref="AF10:AF17"/>
    <mergeCell ref="AG10:AG17"/>
    <mergeCell ref="AH10:AH17"/>
    <mergeCell ref="AI10:AI17"/>
    <mergeCell ref="AM17:AO17"/>
    <mergeCell ref="AM18:AO18"/>
    <mergeCell ref="AP18:AR18"/>
    <mergeCell ref="AS18:AU18"/>
    <mergeCell ref="AS5:AU5"/>
    <mergeCell ref="D6:Q7"/>
    <mergeCell ref="R6:AA10"/>
    <mergeCell ref="AC6:AE13"/>
    <mergeCell ref="AJ6:AL10"/>
    <mergeCell ref="AM6:AO13"/>
    <mergeCell ref="AV17:AW17"/>
    <mergeCell ref="B18:C18"/>
    <mergeCell ref="D18:O18"/>
    <mergeCell ref="P18:Q18"/>
    <mergeCell ref="R18:S18"/>
    <mergeCell ref="T18:U18"/>
    <mergeCell ref="V18:W18"/>
    <mergeCell ref="X18:Y18"/>
    <mergeCell ref="Z18:AA18"/>
    <mergeCell ref="AJ18:AL18"/>
    <mergeCell ref="Z14:AA17"/>
    <mergeCell ref="AC16:AE16"/>
    <mergeCell ref="D17:O17"/>
    <mergeCell ref="P17:Q17"/>
    <mergeCell ref="AC17:AE17"/>
    <mergeCell ref="AJ17:AL17"/>
    <mergeCell ref="AP6:AR16"/>
    <mergeCell ref="AS6:AU14"/>
    <mergeCell ref="AS33:AU33"/>
    <mergeCell ref="AP33:AR33"/>
    <mergeCell ref="AK33:AM33"/>
    <mergeCell ref="AS24:AU32"/>
    <mergeCell ref="AP23:AR23"/>
    <mergeCell ref="AS23:AU23"/>
    <mergeCell ref="AA2:AB2"/>
    <mergeCell ref="B5:C17"/>
    <mergeCell ref="D5:Q5"/>
    <mergeCell ref="R5:AA5"/>
    <mergeCell ref="AC5:AE5"/>
    <mergeCell ref="AF5:AI5"/>
    <mergeCell ref="R14:S17"/>
    <mergeCell ref="T14:U17"/>
    <mergeCell ref="V14:W17"/>
    <mergeCell ref="X14:Y17"/>
    <mergeCell ref="D8:Q10"/>
    <mergeCell ref="AF6:AI8"/>
    <mergeCell ref="R11:AA13"/>
    <mergeCell ref="AP17:AR17"/>
    <mergeCell ref="AS17:AU17"/>
    <mergeCell ref="AJ5:AL5"/>
    <mergeCell ref="AM5:AO5"/>
    <mergeCell ref="AP5:AR5"/>
  </mergeCells>
  <pageMargins left="0.5" right="0.5" top="0.56999999999999995" bottom="0" header="0" footer="0"/>
  <pageSetup paperSize="9" scale="96" orientation="landscape" r:id="rId10"/>
  <headerFooter alignWithMargins="0">
    <oddFooter>&amp;L&amp;"Arial Narrow,Regular"&amp;8&amp;D&amp;C&amp;"Arial Narrow,Regular"&amp;8&amp;F</oddFooter>
  </headerFooter>
  <drawing r:id="rId11"/>
  <legacyDrawing r:id="rId1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56"/>
  <sheetViews>
    <sheetView zoomScaleNormal="100" workbookViewId="0">
      <selection activeCell="Y5" sqref="Y5"/>
    </sheetView>
  </sheetViews>
  <sheetFormatPr defaultColWidth="9.140625" defaultRowHeight="14.25"/>
  <cols>
    <col min="1" max="1" width="2.7109375" style="205" customWidth="1"/>
    <col min="2" max="2" width="14.42578125" style="205" customWidth="1"/>
    <col min="3" max="3" width="10" style="205" customWidth="1"/>
    <col min="4" max="4" width="2.85546875" style="205" customWidth="1"/>
    <col min="5" max="5" width="3.85546875" style="205" customWidth="1"/>
    <col min="6" max="6" width="2.85546875" style="205" customWidth="1"/>
    <col min="7" max="7" width="2.42578125" style="205" customWidth="1"/>
    <col min="8" max="9" width="2.85546875" style="205" customWidth="1"/>
    <col min="10" max="10" width="6.5703125" style="205" customWidth="1"/>
    <col min="11" max="12" width="2.85546875" style="205" customWidth="1"/>
    <col min="13" max="13" width="4.28515625" style="205" customWidth="1"/>
    <col min="14" max="14" width="3.28515625" style="205" customWidth="1"/>
    <col min="15" max="15" width="4.28515625" style="205" customWidth="1"/>
    <col min="16" max="16" width="1.7109375" style="205" customWidth="1"/>
    <col min="17" max="17" width="1.85546875" style="205" customWidth="1"/>
    <col min="18" max="18" width="3.85546875" style="205" customWidth="1"/>
    <col min="19" max="19" width="3" style="205" customWidth="1"/>
    <col min="20" max="20" width="3.42578125" style="205" customWidth="1"/>
    <col min="21" max="21" width="4.5703125" style="205" customWidth="1"/>
    <col min="22" max="22" width="3.42578125" style="205" customWidth="1"/>
    <col min="23" max="16384" width="9.140625" style="205"/>
  </cols>
  <sheetData>
    <row r="1" spans="1:23" ht="16.5">
      <c r="A1" s="2101" t="s">
        <v>1398</v>
      </c>
      <c r="C1" s="204"/>
      <c r="D1" s="204"/>
      <c r="E1" s="204"/>
      <c r="F1" s="204"/>
      <c r="G1" s="204"/>
      <c r="H1" s="204"/>
      <c r="I1" s="204"/>
      <c r="J1" s="204"/>
      <c r="K1" s="204"/>
      <c r="L1" s="204"/>
      <c r="M1" s="204"/>
      <c r="N1" s="204"/>
      <c r="O1" s="204"/>
      <c r="P1" s="204"/>
      <c r="Q1" s="204"/>
      <c r="R1" s="204"/>
      <c r="S1" s="204"/>
    </row>
    <row r="2" spans="1:23" ht="12" customHeight="1" thickBot="1"/>
    <row r="3" spans="1:23" ht="14.25" customHeight="1">
      <c r="B3" s="1383">
        <v>7.01</v>
      </c>
      <c r="C3" s="5170" t="s">
        <v>1675</v>
      </c>
      <c r="D3" s="5170"/>
      <c r="E3" s="5170"/>
      <c r="F3" s="5170"/>
      <c r="G3" s="5170"/>
      <c r="H3" s="5170"/>
      <c r="I3" s="5170"/>
      <c r="J3" s="5170"/>
      <c r="K3" s="5170"/>
      <c r="L3" s="5170"/>
      <c r="M3" s="5170"/>
      <c r="N3" s="5170"/>
      <c r="O3" s="5170"/>
      <c r="P3" s="5168" t="s">
        <v>351</v>
      </c>
      <c r="Q3" s="5168"/>
      <c r="R3" s="5168"/>
      <c r="S3" s="5168"/>
      <c r="T3" s="5169"/>
      <c r="U3" s="457"/>
      <c r="V3" s="5164"/>
      <c r="W3" s="464"/>
    </row>
    <row r="4" spans="1:23" ht="12" customHeight="1" thickBot="1">
      <c r="B4" s="2707"/>
      <c r="C4" s="5170"/>
      <c r="D4" s="5170"/>
      <c r="E4" s="5170"/>
      <c r="F4" s="5170"/>
      <c r="G4" s="5170"/>
      <c r="H4" s="5170"/>
      <c r="I4" s="5170"/>
      <c r="J4" s="5170"/>
      <c r="K4" s="5170"/>
      <c r="L4" s="5170"/>
      <c r="M4" s="5170"/>
      <c r="N4" s="5170"/>
      <c r="O4" s="5170"/>
      <c r="P4" s="5168" t="s">
        <v>1564</v>
      </c>
      <c r="Q4" s="5168"/>
      <c r="R4" s="5168"/>
      <c r="S4" s="5168"/>
      <c r="T4" s="5169"/>
      <c r="U4" s="457"/>
      <c r="V4" s="5165"/>
      <c r="W4" s="464"/>
    </row>
    <row r="5" spans="1:23" ht="12" customHeight="1">
      <c r="B5" s="1383" t="s">
        <v>1668</v>
      </c>
      <c r="C5" s="3600" t="s">
        <v>1671</v>
      </c>
      <c r="D5" s="2757"/>
      <c r="E5" s="2757"/>
      <c r="F5" s="2757"/>
      <c r="G5" s="2757"/>
      <c r="H5" s="2757"/>
      <c r="I5" s="2757"/>
      <c r="J5" s="2757"/>
      <c r="K5" s="2757"/>
      <c r="L5" s="2757"/>
      <c r="M5" s="2757"/>
      <c r="N5" s="2757"/>
      <c r="O5" s="2757"/>
      <c r="P5" s="2758"/>
      <c r="Q5" s="2758"/>
      <c r="R5" s="3601" t="s">
        <v>862</v>
      </c>
      <c r="S5" s="3602">
        <v>1</v>
      </c>
      <c r="T5" s="2758"/>
      <c r="U5" s="3603"/>
      <c r="V5" s="5166"/>
      <c r="W5" s="464"/>
    </row>
    <row r="6" spans="1:23" s="3265" customFormat="1" ht="12" customHeight="1" thickBot="1">
      <c r="B6" s="3266"/>
      <c r="C6" s="3600" t="s">
        <v>1676</v>
      </c>
      <c r="D6" s="3604"/>
      <c r="E6" s="3604"/>
      <c r="F6" s="3602" t="s">
        <v>1677</v>
      </c>
      <c r="G6" s="5162">
        <v>7.08</v>
      </c>
      <c r="H6" s="5163"/>
      <c r="I6" s="3604"/>
      <c r="J6" s="3604"/>
      <c r="K6" s="3604"/>
      <c r="L6" s="3602"/>
      <c r="M6" s="3605"/>
      <c r="N6" s="3604"/>
      <c r="O6" s="3604"/>
      <c r="P6" s="2758"/>
      <c r="Q6" s="2758"/>
      <c r="R6" s="3601" t="s">
        <v>863</v>
      </c>
      <c r="S6" s="3602">
        <v>2</v>
      </c>
      <c r="T6" s="3602" t="s">
        <v>12</v>
      </c>
      <c r="U6" s="3601">
        <v>7.02</v>
      </c>
      <c r="V6" s="5167"/>
      <c r="W6" s="3267"/>
    </row>
    <row r="7" spans="1:23" ht="12" customHeight="1" thickBot="1">
      <c r="B7" s="2707"/>
      <c r="C7" s="2757"/>
      <c r="D7" s="2757"/>
      <c r="E7" s="2757"/>
      <c r="F7" s="2757"/>
      <c r="G7" s="2757"/>
      <c r="H7" s="2757"/>
      <c r="I7" s="2757"/>
      <c r="J7" s="2757"/>
      <c r="K7" s="2757"/>
      <c r="L7" s="2757"/>
      <c r="M7" s="2757"/>
      <c r="N7" s="2757"/>
      <c r="O7" s="2757"/>
      <c r="P7" s="2758"/>
      <c r="Q7" s="2758"/>
      <c r="R7" s="3601"/>
      <c r="S7" s="2758"/>
      <c r="T7" s="2758" t="s">
        <v>219</v>
      </c>
      <c r="U7" s="3603"/>
      <c r="V7" s="3603"/>
      <c r="W7" s="464"/>
    </row>
    <row r="8" spans="1:23" ht="12" customHeight="1" thickBot="1">
      <c r="B8" s="1383" t="s">
        <v>1669</v>
      </c>
      <c r="C8" s="3606" t="s">
        <v>1672</v>
      </c>
      <c r="D8" s="2757"/>
      <c r="E8" s="2757"/>
      <c r="F8" s="2757"/>
      <c r="G8" s="2757"/>
      <c r="H8" s="2757"/>
      <c r="I8" s="2757"/>
      <c r="J8" s="2757"/>
      <c r="K8" s="2757"/>
      <c r="L8" s="2757"/>
      <c r="M8" s="2757"/>
      <c r="N8" s="2757"/>
      <c r="O8" s="2757"/>
      <c r="P8" s="2758"/>
      <c r="Q8" s="2758"/>
      <c r="R8" s="2758"/>
      <c r="S8" s="3607"/>
      <c r="T8" s="3608"/>
      <c r="U8" s="3609"/>
      <c r="V8" s="3603"/>
      <c r="W8" s="464"/>
    </row>
    <row r="9" spans="1:23" ht="12" customHeight="1" thickBot="1">
      <c r="B9" s="2707"/>
      <c r="C9" s="2757"/>
      <c r="D9" s="2757"/>
      <c r="E9" s="2757"/>
      <c r="F9" s="2757"/>
      <c r="G9" s="2757"/>
      <c r="H9" s="2757"/>
      <c r="I9" s="2757"/>
      <c r="J9" s="2757"/>
      <c r="K9" s="2757"/>
      <c r="L9" s="2757"/>
      <c r="M9" s="2757"/>
      <c r="N9" s="2757"/>
      <c r="O9" s="2757"/>
      <c r="P9" s="2758"/>
      <c r="Q9" s="2758"/>
      <c r="R9" s="2758"/>
      <c r="S9" s="2758"/>
      <c r="T9" s="2758" t="s">
        <v>219</v>
      </c>
      <c r="U9" s="3603"/>
      <c r="V9" s="3603"/>
      <c r="W9" s="464"/>
    </row>
    <row r="10" spans="1:23" ht="20.25" customHeight="1" thickBot="1">
      <c r="B10" s="1383" t="s">
        <v>1670</v>
      </c>
      <c r="C10" s="3606" t="s">
        <v>1673</v>
      </c>
      <c r="D10" s="2757"/>
      <c r="E10" s="2757"/>
      <c r="F10" s="2757"/>
      <c r="G10" s="2757"/>
      <c r="H10" s="2757"/>
      <c r="I10" s="2757"/>
      <c r="J10" s="2757"/>
      <c r="K10" s="3600"/>
      <c r="L10" s="2757"/>
      <c r="M10" s="2757"/>
      <c r="N10" s="2757"/>
      <c r="O10" s="2757"/>
      <c r="P10" s="2758"/>
      <c r="Q10" s="2758"/>
      <c r="R10" s="2758"/>
      <c r="S10" s="3607"/>
      <c r="T10" s="3608"/>
      <c r="U10" s="3609"/>
      <c r="V10" s="3603"/>
      <c r="W10" s="464"/>
    </row>
    <row r="11" spans="1:23" ht="12.75" customHeight="1">
      <c r="B11" s="504"/>
      <c r="C11" s="3600" t="s">
        <v>1674</v>
      </c>
      <c r="D11" s="2708"/>
      <c r="E11" s="2708"/>
      <c r="F11" s="2707"/>
      <c r="G11" s="2707"/>
      <c r="H11" s="2707"/>
      <c r="I11" s="2707"/>
      <c r="J11" s="2707"/>
      <c r="L11" s="2707"/>
      <c r="M11" s="2707"/>
      <c r="N11" s="1144"/>
      <c r="O11" s="1144"/>
      <c r="P11" s="1144"/>
      <c r="Q11" s="1144"/>
      <c r="R11" s="1144"/>
      <c r="S11" s="1144"/>
      <c r="T11" s="457"/>
      <c r="U11" s="457"/>
      <c r="V11" s="2710"/>
    </row>
    <row r="12" spans="1:23" ht="13.5" customHeight="1" thickBot="1">
      <c r="B12" s="5185">
        <v>7.02</v>
      </c>
      <c r="C12" s="5180"/>
      <c r="D12" s="5177">
        <f>+B12+0.01</f>
        <v>7.0299999999999994</v>
      </c>
      <c r="E12" s="5178"/>
      <c r="F12" s="5178"/>
      <c r="G12" s="5180"/>
      <c r="H12" s="5177">
        <f>+D12+0.01</f>
        <v>7.0399999999999991</v>
      </c>
      <c r="I12" s="5178"/>
      <c r="J12" s="5178"/>
      <c r="K12" s="5180"/>
      <c r="L12" s="5177">
        <f>+H12+0.01</f>
        <v>7.0499999999999989</v>
      </c>
      <c r="M12" s="5178"/>
      <c r="N12" s="5178"/>
      <c r="O12" s="5177">
        <f>+L12+0.01</f>
        <v>7.0599999999999987</v>
      </c>
      <c r="P12" s="5178"/>
      <c r="Q12" s="5178"/>
      <c r="R12" s="5180"/>
      <c r="S12" s="5177">
        <f>+O12+0.01</f>
        <v>7.0699999999999985</v>
      </c>
      <c r="T12" s="5178"/>
      <c r="U12" s="5178"/>
      <c r="V12" s="5179"/>
    </row>
    <row r="13" spans="1:23" ht="12.75" customHeight="1">
      <c r="B13" s="5181" t="s">
        <v>1538</v>
      </c>
      <c r="C13" s="5182"/>
      <c r="D13" s="5186" t="s">
        <v>1905</v>
      </c>
      <c r="E13" s="5187"/>
      <c r="F13" s="5187"/>
      <c r="G13" s="5188"/>
      <c r="H13" s="5195" t="s">
        <v>1906</v>
      </c>
      <c r="I13" s="5187"/>
      <c r="J13" s="5187"/>
      <c r="K13" s="5188"/>
      <c r="L13" s="5195" t="s">
        <v>1907</v>
      </c>
      <c r="M13" s="5187"/>
      <c r="N13" s="5187"/>
      <c r="O13" s="5171" t="s">
        <v>1233</v>
      </c>
      <c r="P13" s="5172"/>
      <c r="Q13" s="5172"/>
      <c r="R13" s="5173"/>
      <c r="S13" s="5171" t="s">
        <v>368</v>
      </c>
      <c r="T13" s="5172"/>
      <c r="U13" s="5172"/>
      <c r="V13" s="5193"/>
    </row>
    <row r="14" spans="1:23" ht="12.75" customHeight="1">
      <c r="B14" s="4920"/>
      <c r="C14" s="4922"/>
      <c r="D14" s="5189"/>
      <c r="E14" s="4613"/>
      <c r="F14" s="4613"/>
      <c r="G14" s="4616"/>
      <c r="H14" s="4615"/>
      <c r="I14" s="4613"/>
      <c r="J14" s="4613"/>
      <c r="K14" s="4616"/>
      <c r="L14" s="4615"/>
      <c r="M14" s="4613"/>
      <c r="N14" s="4613"/>
      <c r="O14" s="5174"/>
      <c r="P14" s="5175"/>
      <c r="Q14" s="5175"/>
      <c r="R14" s="5176"/>
      <c r="S14" s="5174"/>
      <c r="T14" s="5175"/>
      <c r="U14" s="5175"/>
      <c r="V14" s="5194"/>
    </row>
    <row r="15" spans="1:23" ht="12.75" customHeight="1">
      <c r="B15" s="4920"/>
      <c r="C15" s="4922"/>
      <c r="D15" s="5189"/>
      <c r="E15" s="4613"/>
      <c r="F15" s="4613"/>
      <c r="G15" s="4616"/>
      <c r="H15" s="4615"/>
      <c r="I15" s="4613"/>
      <c r="J15" s="4613"/>
      <c r="K15" s="4616"/>
      <c r="L15" s="4615"/>
      <c r="M15" s="4613"/>
      <c r="N15" s="4613"/>
      <c r="O15" s="5174"/>
      <c r="P15" s="5175"/>
      <c r="Q15" s="5175"/>
      <c r="R15" s="5176"/>
      <c r="S15" s="5174"/>
      <c r="T15" s="5175"/>
      <c r="U15" s="5175"/>
      <c r="V15" s="5194"/>
    </row>
    <row r="16" spans="1:23" ht="27" customHeight="1">
      <c r="B16" s="5183" t="s">
        <v>521</v>
      </c>
      <c r="C16" s="5184"/>
      <c r="D16" s="5189"/>
      <c r="E16" s="4613"/>
      <c r="F16" s="4613"/>
      <c r="G16" s="4616"/>
      <c r="H16" s="4615"/>
      <c r="I16" s="4613"/>
      <c r="J16" s="4613"/>
      <c r="K16" s="4616"/>
      <c r="L16" s="4615"/>
      <c r="M16" s="4613"/>
      <c r="N16" s="4613"/>
      <c r="O16" s="5174"/>
      <c r="P16" s="5175"/>
      <c r="Q16" s="5175"/>
      <c r="R16" s="5176"/>
      <c r="S16" s="5174"/>
      <c r="T16" s="5175"/>
      <c r="U16" s="5175"/>
      <c r="V16" s="5194"/>
    </row>
    <row r="17" spans="1:22" ht="18.75" customHeight="1">
      <c r="B17" s="5183"/>
      <c r="C17" s="5184"/>
      <c r="D17" s="5189"/>
      <c r="E17" s="4613"/>
      <c r="F17" s="4613"/>
      <c r="G17" s="4616"/>
      <c r="H17" s="4615"/>
      <c r="I17" s="4613"/>
      <c r="J17" s="4613"/>
      <c r="K17" s="4616"/>
      <c r="L17" s="4615"/>
      <c r="M17" s="4613"/>
      <c r="N17" s="4613"/>
      <c r="O17" s="5174"/>
      <c r="P17" s="5175"/>
      <c r="Q17" s="5175"/>
      <c r="R17" s="5176"/>
      <c r="S17" s="5174"/>
      <c r="T17" s="5175"/>
      <c r="U17" s="5175"/>
      <c r="V17" s="5194"/>
    </row>
    <row r="18" spans="1:22" ht="12.75" customHeight="1">
      <c r="B18" s="2709"/>
      <c r="C18" s="3268" t="s">
        <v>55</v>
      </c>
      <c r="D18" s="5189"/>
      <c r="E18" s="4613"/>
      <c r="F18" s="4613"/>
      <c r="G18" s="4616"/>
      <c r="H18" s="4615"/>
      <c r="I18" s="4613"/>
      <c r="J18" s="4613"/>
      <c r="K18" s="4616"/>
      <c r="L18" s="4615"/>
      <c r="M18" s="4613"/>
      <c r="N18" s="4613"/>
      <c r="O18" s="5174"/>
      <c r="P18" s="5175"/>
      <c r="Q18" s="5175"/>
      <c r="R18" s="5176"/>
      <c r="S18" s="5174"/>
      <c r="T18" s="5175"/>
      <c r="U18" s="5175"/>
      <c r="V18" s="5194"/>
    </row>
    <row r="19" spans="1:22" ht="12.75" customHeight="1">
      <c r="B19" s="2709"/>
      <c r="C19" s="2973" t="s">
        <v>116</v>
      </c>
      <c r="D19" s="5190"/>
      <c r="E19" s="5191"/>
      <c r="F19" s="5191"/>
      <c r="G19" s="5192"/>
      <c r="H19" s="4615"/>
      <c r="I19" s="4613"/>
      <c r="J19" s="4613"/>
      <c r="K19" s="4616"/>
      <c r="L19" s="4615"/>
      <c r="M19" s="4613"/>
      <c r="N19" s="4613"/>
      <c r="O19" s="5174"/>
      <c r="P19" s="5175"/>
      <c r="Q19" s="5175"/>
      <c r="R19" s="5176"/>
      <c r="S19" s="5174"/>
      <c r="T19" s="5175"/>
      <c r="U19" s="5175"/>
      <c r="V19" s="5194"/>
    </row>
    <row r="20" spans="1:22" ht="12" customHeight="1">
      <c r="B20" s="543"/>
      <c r="C20" s="2710"/>
      <c r="D20" s="5124" t="s">
        <v>1611</v>
      </c>
      <c r="E20" s="5125"/>
      <c r="F20" s="5125"/>
      <c r="G20" s="5126"/>
      <c r="H20" s="5124" t="s">
        <v>1611</v>
      </c>
      <c r="I20" s="5125"/>
      <c r="J20" s="5125"/>
      <c r="K20" s="5126"/>
      <c r="L20" s="5124" t="s">
        <v>1611</v>
      </c>
      <c r="M20" s="5125"/>
      <c r="N20" s="5125"/>
      <c r="O20" s="5124" t="s">
        <v>1611</v>
      </c>
      <c r="P20" s="5125"/>
      <c r="Q20" s="5125"/>
      <c r="R20" s="5126"/>
      <c r="S20" s="5139" t="s">
        <v>219</v>
      </c>
      <c r="T20" s="5140"/>
      <c r="U20" s="5140"/>
      <c r="V20" s="5141"/>
    </row>
    <row r="21" spans="1:22" s="204" customFormat="1" ht="12" customHeight="1">
      <c r="A21" s="465">
        <v>1</v>
      </c>
      <c r="B21" s="2975" t="s">
        <v>1419</v>
      </c>
      <c r="C21" s="2711"/>
      <c r="D21" s="2712"/>
      <c r="E21" s="2713"/>
      <c r="F21" s="2713"/>
      <c r="G21" s="2714"/>
      <c r="H21" s="2712"/>
      <c r="I21" s="2713"/>
      <c r="J21" s="2713"/>
      <c r="K21" s="2714"/>
      <c r="L21" s="2712"/>
      <c r="M21" s="2713"/>
      <c r="N21" s="2713"/>
      <c r="O21" s="2712"/>
      <c r="P21" s="2713"/>
      <c r="Q21" s="2713"/>
      <c r="R21" s="2714"/>
      <c r="S21" s="2712"/>
      <c r="T21" s="2713"/>
      <c r="U21" s="2713"/>
      <c r="V21" s="2715"/>
    </row>
    <row r="22" spans="1:22" s="204" customFormat="1" ht="12" customHeight="1">
      <c r="A22" s="465">
        <v>2</v>
      </c>
      <c r="B22" s="2212" t="s">
        <v>1418</v>
      </c>
      <c r="C22" s="2711"/>
      <c r="D22" s="2712"/>
      <c r="E22" s="2713"/>
      <c r="F22" s="2713"/>
      <c r="G22" s="2714"/>
      <c r="H22" s="2712"/>
      <c r="I22" s="2713"/>
      <c r="J22" s="2713"/>
      <c r="K22" s="2714"/>
      <c r="L22" s="2712"/>
      <c r="M22" s="2713"/>
      <c r="N22" s="2713"/>
      <c r="O22" s="2712"/>
      <c r="P22" s="2713"/>
      <c r="Q22" s="2713"/>
      <c r="R22" s="2714"/>
      <c r="S22" s="2712"/>
      <c r="T22" s="2713"/>
      <c r="U22" s="2713"/>
      <c r="V22" s="2715"/>
    </row>
    <row r="23" spans="1:22" s="204" customFormat="1" ht="12" customHeight="1">
      <c r="A23" s="465">
        <v>3</v>
      </c>
      <c r="B23" s="2213" t="s">
        <v>354</v>
      </c>
      <c r="C23" s="2711"/>
      <c r="D23" s="2712"/>
      <c r="E23" s="2713"/>
      <c r="F23" s="2713"/>
      <c r="G23" s="2714"/>
      <c r="H23" s="2712"/>
      <c r="I23" s="2713"/>
      <c r="J23" s="2713"/>
      <c r="K23" s="2714"/>
      <c r="L23" s="2712"/>
      <c r="M23" s="2713"/>
      <c r="N23" s="2713"/>
      <c r="O23" s="2712"/>
      <c r="P23" s="2713"/>
      <c r="Q23" s="2713"/>
      <c r="R23" s="2714"/>
      <c r="S23" s="2712"/>
      <c r="T23" s="2713"/>
      <c r="U23" s="2713"/>
      <c r="V23" s="2715"/>
    </row>
    <row r="24" spans="1:22" s="204" customFormat="1" ht="12" customHeight="1">
      <c r="A24" s="465">
        <v>4</v>
      </c>
      <c r="B24" s="2213" t="s">
        <v>355</v>
      </c>
      <c r="C24" s="2711"/>
      <c r="D24" s="2712"/>
      <c r="E24" s="2713"/>
      <c r="F24" s="2713"/>
      <c r="G24" s="2714"/>
      <c r="H24" s="2712"/>
      <c r="I24" s="2713"/>
      <c r="J24" s="2713"/>
      <c r="K24" s="2714"/>
      <c r="L24" s="2712"/>
      <c r="M24" s="2713"/>
      <c r="N24" s="2713"/>
      <c r="O24" s="2712"/>
      <c r="P24" s="2713"/>
      <c r="Q24" s="2713"/>
      <c r="R24" s="2714"/>
      <c r="S24" s="2712"/>
      <c r="T24" s="2713"/>
      <c r="U24" s="2713"/>
      <c r="V24" s="2715"/>
    </row>
    <row r="25" spans="1:22" s="204" customFormat="1" ht="12" customHeight="1">
      <c r="A25" s="465">
        <v>5</v>
      </c>
      <c r="B25" s="2975" t="s">
        <v>356</v>
      </c>
      <c r="C25" s="2711"/>
      <c r="D25" s="2712"/>
      <c r="E25" s="2713"/>
      <c r="F25" s="2713"/>
      <c r="G25" s="2714"/>
      <c r="H25" s="2712"/>
      <c r="I25" s="2713"/>
      <c r="J25" s="2713"/>
      <c r="K25" s="2714"/>
      <c r="L25" s="2712"/>
      <c r="M25" s="2713"/>
      <c r="N25" s="2713"/>
      <c r="O25" s="2712"/>
      <c r="P25" s="2713"/>
      <c r="Q25" s="2713"/>
      <c r="R25" s="2714"/>
      <c r="S25" s="2712"/>
      <c r="T25" s="2713"/>
      <c r="U25" s="2713"/>
      <c r="V25" s="2715"/>
    </row>
    <row r="26" spans="1:22" s="204" customFormat="1" ht="12" customHeight="1">
      <c r="A26" s="465">
        <v>6</v>
      </c>
      <c r="B26" s="2213" t="s">
        <v>1028</v>
      </c>
      <c r="C26" s="2711"/>
      <c r="D26" s="2712"/>
      <c r="E26" s="2713"/>
      <c r="F26" s="2713"/>
      <c r="G26" s="2714"/>
      <c r="H26" s="2712"/>
      <c r="I26" s="2713"/>
      <c r="J26" s="2713"/>
      <c r="K26" s="2714"/>
      <c r="L26" s="2712"/>
      <c r="M26" s="2713"/>
      <c r="N26" s="2713"/>
      <c r="O26" s="2712"/>
      <c r="P26" s="2713"/>
      <c r="Q26" s="2713"/>
      <c r="R26" s="2714"/>
      <c r="S26" s="2712"/>
      <c r="T26" s="2713"/>
      <c r="U26" s="2713"/>
      <c r="V26" s="2715"/>
    </row>
    <row r="27" spans="1:22" s="204" customFormat="1" ht="12" customHeight="1">
      <c r="A27" s="465">
        <v>7</v>
      </c>
      <c r="B27" s="2975" t="s">
        <v>1029</v>
      </c>
      <c r="C27" s="2711"/>
      <c r="D27" s="2712"/>
      <c r="E27" s="2713"/>
      <c r="F27" s="2713"/>
      <c r="G27" s="2714"/>
      <c r="H27" s="2712"/>
      <c r="I27" s="2713"/>
      <c r="J27" s="2713"/>
      <c r="K27" s="2714"/>
      <c r="L27" s="2712"/>
      <c r="M27" s="2713"/>
      <c r="N27" s="2713"/>
      <c r="O27" s="2712"/>
      <c r="P27" s="2713"/>
      <c r="Q27" s="2713"/>
      <c r="R27" s="2714"/>
      <c r="S27" s="2712"/>
      <c r="T27" s="2713"/>
      <c r="U27" s="2713"/>
      <c r="V27" s="2715"/>
    </row>
    <row r="28" spans="1:22" s="204" customFormat="1" ht="12" customHeight="1">
      <c r="A28" s="465">
        <v>8</v>
      </c>
      <c r="B28" s="2213" t="s">
        <v>357</v>
      </c>
      <c r="C28" s="2711"/>
      <c r="D28" s="2712"/>
      <c r="E28" s="2713"/>
      <c r="F28" s="2713"/>
      <c r="G28" s="2714"/>
      <c r="H28" s="2712"/>
      <c r="I28" s="2713"/>
      <c r="J28" s="2713"/>
      <c r="K28" s="2714"/>
      <c r="L28" s="2712"/>
      <c r="M28" s="2713"/>
      <c r="N28" s="2713"/>
      <c r="O28" s="2712"/>
      <c r="P28" s="2713"/>
      <c r="Q28" s="2713"/>
      <c r="R28" s="2714"/>
      <c r="S28" s="2712"/>
      <c r="T28" s="2713"/>
      <c r="U28" s="2713"/>
      <c r="V28" s="2715"/>
    </row>
    <row r="29" spans="1:22" s="204" customFormat="1" ht="12" customHeight="1">
      <c r="A29" s="465">
        <v>9</v>
      </c>
      <c r="B29" s="2213" t="s">
        <v>1420</v>
      </c>
      <c r="C29" s="2711"/>
      <c r="D29" s="2712"/>
      <c r="E29" s="2713"/>
      <c r="F29" s="2713"/>
      <c r="G29" s="2714"/>
      <c r="H29" s="2712"/>
      <c r="I29" s="2713"/>
      <c r="J29" s="2713"/>
      <c r="K29" s="2714"/>
      <c r="L29" s="2712"/>
      <c r="M29" s="2713"/>
      <c r="N29" s="2713"/>
      <c r="O29" s="2712"/>
      <c r="P29" s="2713"/>
      <c r="Q29" s="2713"/>
      <c r="R29" s="2714"/>
      <c r="S29" s="2712"/>
      <c r="T29" s="2713"/>
      <c r="U29" s="2713"/>
      <c r="V29" s="2715"/>
    </row>
    <row r="30" spans="1:22" s="204" customFormat="1" ht="12" customHeight="1">
      <c r="A30" s="465">
        <v>10</v>
      </c>
      <c r="B30" s="2213" t="s">
        <v>358</v>
      </c>
      <c r="C30" s="2711"/>
      <c r="D30" s="2712"/>
      <c r="E30" s="2713"/>
      <c r="F30" s="2713"/>
      <c r="G30" s="2714"/>
      <c r="H30" s="2712"/>
      <c r="I30" s="2713"/>
      <c r="J30" s="2713"/>
      <c r="K30" s="2714"/>
      <c r="L30" s="2712"/>
      <c r="M30" s="2713"/>
      <c r="N30" s="2713"/>
      <c r="O30" s="2712"/>
      <c r="P30" s="2713"/>
      <c r="Q30" s="2713"/>
      <c r="R30" s="2714"/>
      <c r="S30" s="2712"/>
      <c r="T30" s="2713"/>
      <c r="U30" s="2713"/>
      <c r="V30" s="2715"/>
    </row>
    <row r="31" spans="1:22" s="204" customFormat="1" ht="12" customHeight="1">
      <c r="A31" s="465">
        <v>11</v>
      </c>
      <c r="B31" s="2975" t="s">
        <v>359</v>
      </c>
      <c r="C31" s="2711"/>
      <c r="D31" s="2712"/>
      <c r="E31" s="2713"/>
      <c r="F31" s="2713"/>
      <c r="G31" s="2714"/>
      <c r="H31" s="2712"/>
      <c r="I31" s="2713"/>
      <c r="J31" s="2713"/>
      <c r="K31" s="2714"/>
      <c r="L31" s="2712"/>
      <c r="M31" s="2713"/>
      <c r="N31" s="2713"/>
      <c r="O31" s="2712"/>
      <c r="P31" s="2713"/>
      <c r="Q31" s="2713"/>
      <c r="R31" s="2714"/>
      <c r="S31" s="2712"/>
      <c r="T31" s="2713"/>
      <c r="U31" s="2713"/>
      <c r="V31" s="2715"/>
    </row>
    <row r="32" spans="1:22" s="204" customFormat="1" ht="12" customHeight="1">
      <c r="A32" s="465">
        <v>12</v>
      </c>
      <c r="B32" s="2213" t="s">
        <v>360</v>
      </c>
      <c r="C32" s="2711"/>
      <c r="D32" s="2712"/>
      <c r="E32" s="2713"/>
      <c r="F32" s="2713"/>
      <c r="G32" s="2714"/>
      <c r="H32" s="2712"/>
      <c r="I32" s="2713"/>
      <c r="J32" s="2713"/>
      <c r="K32" s="2714"/>
      <c r="L32" s="2712"/>
      <c r="M32" s="2713"/>
      <c r="N32" s="2713"/>
      <c r="O32" s="2712"/>
      <c r="P32" s="2713"/>
      <c r="Q32" s="2713"/>
      <c r="R32" s="2714"/>
      <c r="S32" s="2712"/>
      <c r="T32" s="2713"/>
      <c r="U32" s="2713"/>
      <c r="V32" s="2716"/>
    </row>
    <row r="33" spans="1:26" s="204" customFormat="1" ht="12" customHeight="1">
      <c r="A33" s="465">
        <v>13</v>
      </c>
      <c r="B33" s="2975" t="s">
        <v>361</v>
      </c>
      <c r="C33" s="2711"/>
      <c r="D33" s="2712"/>
      <c r="E33" s="2713"/>
      <c r="F33" s="2713"/>
      <c r="G33" s="2714"/>
      <c r="H33" s="2712"/>
      <c r="I33" s="2713"/>
      <c r="J33" s="2713"/>
      <c r="K33" s="2714"/>
      <c r="L33" s="2712"/>
      <c r="M33" s="2713"/>
      <c r="N33" s="2713"/>
      <c r="O33" s="2712"/>
      <c r="P33" s="2713"/>
      <c r="Q33" s="2713"/>
      <c r="R33" s="2714"/>
      <c r="S33" s="2712"/>
      <c r="T33" s="2713"/>
      <c r="U33" s="2713"/>
      <c r="V33" s="2715"/>
    </row>
    <row r="34" spans="1:26" s="204" customFormat="1" ht="12" customHeight="1">
      <c r="A34" s="465">
        <v>14</v>
      </c>
      <c r="B34" s="2706" t="s">
        <v>1319</v>
      </c>
      <c r="C34" s="2711"/>
      <c r="D34" s="2712"/>
      <c r="E34" s="2713"/>
      <c r="F34" s="2713"/>
      <c r="G34" s="2714"/>
      <c r="H34" s="2712"/>
      <c r="I34" s="2713"/>
      <c r="J34" s="2713"/>
      <c r="K34" s="2714"/>
      <c r="L34" s="2712"/>
      <c r="M34" s="2713"/>
      <c r="N34" s="2713"/>
      <c r="O34" s="2712"/>
      <c r="P34" s="2713"/>
      <c r="Q34" s="2713"/>
      <c r="R34" s="2714"/>
      <c r="S34" s="2712"/>
      <c r="T34" s="2713"/>
      <c r="U34" s="2713"/>
      <c r="V34" s="2715"/>
    </row>
    <row r="35" spans="1:26" s="204" customFormat="1" ht="12" customHeight="1">
      <c r="A35" s="465">
        <v>15</v>
      </c>
      <c r="B35" s="2976" t="s">
        <v>1863</v>
      </c>
      <c r="C35" s="2711"/>
      <c r="D35" s="2712"/>
      <c r="E35" s="2713"/>
      <c r="F35" s="2713"/>
      <c r="G35" s="2714"/>
      <c r="H35" s="2712"/>
      <c r="I35" s="2713"/>
      <c r="J35" s="2713"/>
      <c r="K35" s="2714"/>
      <c r="L35" s="2712"/>
      <c r="M35" s="2713"/>
      <c r="N35" s="2713"/>
      <c r="O35" s="2712"/>
      <c r="P35" s="2713"/>
      <c r="Q35" s="2713"/>
      <c r="R35" s="2714"/>
      <c r="S35" s="2712"/>
      <c r="T35" s="2713"/>
      <c r="U35" s="2713"/>
      <c r="V35" s="2715"/>
      <c r="Y35" s="2083"/>
    </row>
    <row r="36" spans="1:26" ht="12" customHeight="1">
      <c r="A36" s="465">
        <v>16</v>
      </c>
      <c r="B36" s="2824" t="s">
        <v>1320</v>
      </c>
      <c r="C36" s="2717"/>
      <c r="D36" s="2718"/>
      <c r="E36" s="2719"/>
      <c r="F36" s="2719"/>
      <c r="G36" s="2720"/>
      <c r="H36" s="2718"/>
      <c r="I36" s="2719"/>
      <c r="J36" s="2719"/>
      <c r="K36" s="2720"/>
      <c r="L36" s="2718"/>
      <c r="M36" s="2719"/>
      <c r="N36" s="2719"/>
      <c r="O36" s="2718"/>
      <c r="P36" s="2719"/>
      <c r="Q36" s="2719"/>
      <c r="R36" s="2720"/>
      <c r="S36" s="2718"/>
      <c r="T36" s="2719"/>
      <c r="U36" s="2719"/>
      <c r="V36" s="2721"/>
    </row>
    <row r="37" spans="1:26" ht="12" customHeight="1" thickBot="1">
      <c r="A37" s="465">
        <v>17</v>
      </c>
      <c r="B37" s="2824" t="s">
        <v>1320</v>
      </c>
      <c r="C37" s="2722"/>
      <c r="D37" s="2723"/>
      <c r="E37" s="2724"/>
      <c r="F37" s="2724"/>
      <c r="G37" s="2725"/>
      <c r="H37" s="2723"/>
      <c r="I37" s="2724"/>
      <c r="J37" s="2724"/>
      <c r="K37" s="2725"/>
      <c r="L37" s="2723"/>
      <c r="M37" s="2724"/>
      <c r="N37" s="2724"/>
      <c r="O37" s="2723"/>
      <c r="P37" s="2724"/>
      <c r="Q37" s="2724"/>
      <c r="R37" s="2725"/>
      <c r="S37" s="2723"/>
      <c r="T37" s="2724"/>
      <c r="U37" s="2724"/>
      <c r="V37" s="2726"/>
    </row>
    <row r="38" spans="1:26" ht="14.25" customHeight="1">
      <c r="B38" s="1999">
        <v>7.08</v>
      </c>
      <c r="C38" s="5151" t="s">
        <v>1652</v>
      </c>
      <c r="D38" s="5151"/>
      <c r="E38" s="5151"/>
      <c r="F38" s="5151"/>
      <c r="G38" s="5151"/>
      <c r="H38" s="5151"/>
      <c r="I38" s="5151"/>
      <c r="J38" s="5151"/>
      <c r="K38" s="5151"/>
      <c r="L38" s="5151"/>
      <c r="M38" s="5151"/>
      <c r="N38" s="5151"/>
      <c r="O38" s="5151"/>
      <c r="P38" s="5137" t="s">
        <v>351</v>
      </c>
      <c r="Q38" s="5137"/>
      <c r="R38" s="5137"/>
      <c r="S38" s="5137"/>
      <c r="T38" s="5138"/>
      <c r="U38" s="2503"/>
      <c r="V38" s="2504"/>
      <c r="W38" s="464"/>
    </row>
    <row r="39" spans="1:26" ht="25.5" customHeight="1" thickBot="1">
      <c r="C39" s="5151"/>
      <c r="D39" s="5151"/>
      <c r="E39" s="5151"/>
      <c r="F39" s="5151"/>
      <c r="G39" s="5151"/>
      <c r="H39" s="5151"/>
      <c r="I39" s="5151"/>
      <c r="J39" s="5151"/>
      <c r="K39" s="5151"/>
      <c r="L39" s="5151"/>
      <c r="M39" s="5151"/>
      <c r="N39" s="5151"/>
      <c r="O39" s="5151"/>
      <c r="P39" s="5137" t="s">
        <v>1323</v>
      </c>
      <c r="Q39" s="5137"/>
      <c r="R39" s="5137"/>
      <c r="S39" s="5137"/>
      <c r="T39" s="5138"/>
      <c r="U39" s="2505"/>
      <c r="V39" s="2506"/>
      <c r="W39" s="464"/>
    </row>
    <row r="40" spans="1:26" ht="15" customHeight="1">
      <c r="B40" s="211"/>
      <c r="C40" s="209"/>
      <c r="D40" s="5148">
        <v>7.09</v>
      </c>
      <c r="E40" s="5149"/>
      <c r="F40" s="5149"/>
      <c r="G40" s="5149"/>
      <c r="H40" s="5149"/>
      <c r="I40" s="5150"/>
      <c r="J40" s="5160">
        <v>7.1</v>
      </c>
      <c r="K40" s="5161"/>
      <c r="L40" s="5161"/>
      <c r="M40" s="5161"/>
      <c r="N40" s="5161"/>
      <c r="O40" s="5148">
        <v>7.11</v>
      </c>
      <c r="P40" s="5149"/>
      <c r="Q40" s="5149"/>
      <c r="R40" s="5150"/>
    </row>
    <row r="41" spans="1:26" ht="35.25" customHeight="1">
      <c r="B41" s="466"/>
      <c r="C41" s="470"/>
      <c r="D41" s="5142" t="s">
        <v>1321</v>
      </c>
      <c r="E41" s="5143"/>
      <c r="F41" s="5143"/>
      <c r="G41" s="5143"/>
      <c r="H41" s="5143"/>
      <c r="I41" s="5144"/>
      <c r="J41" s="5142" t="s">
        <v>1322</v>
      </c>
      <c r="K41" s="5143"/>
      <c r="L41" s="5143"/>
      <c r="M41" s="5143"/>
      <c r="N41" s="5143"/>
      <c r="O41" s="5159" t="s">
        <v>518</v>
      </c>
      <c r="P41" s="5143"/>
      <c r="Q41" s="5143"/>
      <c r="R41" s="5144"/>
    </row>
    <row r="42" spans="1:26" ht="28.5" customHeight="1">
      <c r="B42" s="208"/>
      <c r="C42" s="209"/>
      <c r="D42" s="5145"/>
      <c r="E42" s="5146"/>
      <c r="F42" s="5146"/>
      <c r="G42" s="5146"/>
      <c r="H42" s="5146"/>
      <c r="I42" s="5147"/>
      <c r="J42" s="5145"/>
      <c r="K42" s="5146"/>
      <c r="L42" s="5146"/>
      <c r="M42" s="5146"/>
      <c r="N42" s="5146"/>
      <c r="O42" s="5145"/>
      <c r="P42" s="5146"/>
      <c r="Q42" s="5146"/>
      <c r="R42" s="5147"/>
      <c r="Y42" s="2082"/>
    </row>
    <row r="43" spans="1:26" ht="16.5" customHeight="1">
      <c r="B43" s="210"/>
      <c r="C43" s="212"/>
      <c r="D43" s="5127" t="s">
        <v>365</v>
      </c>
      <c r="E43" s="5128"/>
      <c r="F43" s="5128"/>
      <c r="G43" s="462" t="s">
        <v>364</v>
      </c>
      <c r="H43" s="462"/>
      <c r="I43" s="2502"/>
      <c r="J43" s="5127" t="s">
        <v>365</v>
      </c>
      <c r="K43" s="5128"/>
      <c r="L43" s="5128"/>
      <c r="M43" s="462" t="s">
        <v>364</v>
      </c>
      <c r="N43" s="462"/>
      <c r="O43" s="5127" t="s">
        <v>219</v>
      </c>
      <c r="P43" s="5128"/>
      <c r="Q43" s="5128"/>
      <c r="R43" s="5158"/>
    </row>
    <row r="44" spans="1:26" ht="15" customHeight="1">
      <c r="A44" s="465">
        <v>1</v>
      </c>
      <c r="B44" s="545" t="s">
        <v>26</v>
      </c>
      <c r="C44" s="544"/>
      <c r="D44" s="213"/>
      <c r="E44" s="461"/>
      <c r="F44" s="503"/>
      <c r="G44" s="5131" t="s">
        <v>363</v>
      </c>
      <c r="H44" s="5132"/>
      <c r="I44" s="5133"/>
      <c r="J44" s="213"/>
      <c r="K44" s="461"/>
      <c r="L44" s="503"/>
      <c r="M44" s="5129" t="s">
        <v>363</v>
      </c>
      <c r="N44" s="5134" t="s">
        <v>363</v>
      </c>
      <c r="O44" s="213"/>
      <c r="P44" s="461"/>
      <c r="Q44" s="461"/>
      <c r="R44" s="544"/>
      <c r="X44" s="5157"/>
      <c r="Y44" s="5157"/>
      <c r="Z44" s="5157"/>
    </row>
    <row r="45" spans="1:26" ht="15" customHeight="1">
      <c r="A45" s="465">
        <v>2</v>
      </c>
      <c r="B45" s="545" t="s">
        <v>1324</v>
      </c>
      <c r="C45" s="544"/>
      <c r="D45" s="213"/>
      <c r="E45" s="461"/>
      <c r="F45" s="462"/>
      <c r="G45" s="5131" t="s">
        <v>362</v>
      </c>
      <c r="H45" s="5132"/>
      <c r="I45" s="5133"/>
      <c r="J45" s="213"/>
      <c r="K45" s="461"/>
      <c r="L45" s="462"/>
      <c r="M45" s="5135" t="s">
        <v>362</v>
      </c>
      <c r="N45" s="5136"/>
      <c r="O45" s="213"/>
      <c r="P45" s="461"/>
      <c r="Q45" s="461"/>
      <c r="R45" s="544"/>
    </row>
    <row r="46" spans="1:26" ht="15" customHeight="1">
      <c r="A46" s="465">
        <v>3</v>
      </c>
      <c r="B46" s="545" t="s">
        <v>1612</v>
      </c>
      <c r="C46" s="544"/>
      <c r="D46" s="213"/>
      <c r="E46" s="461"/>
      <c r="F46" s="462"/>
      <c r="G46" s="2819"/>
      <c r="H46" s="2786" t="s">
        <v>1582</v>
      </c>
      <c r="I46" s="2787"/>
      <c r="J46" s="213"/>
      <c r="K46" s="461"/>
      <c r="L46" s="462"/>
      <c r="M46" s="5129" t="s">
        <v>1582</v>
      </c>
      <c r="N46" s="5130"/>
      <c r="O46" s="213"/>
      <c r="P46" s="461"/>
      <c r="Q46" s="461"/>
      <c r="R46" s="544"/>
    </row>
    <row r="47" spans="1:26" ht="15" customHeight="1">
      <c r="A47" s="465">
        <v>4</v>
      </c>
      <c r="B47" s="545" t="s">
        <v>1599</v>
      </c>
      <c r="C47" s="544"/>
      <c r="D47" s="213"/>
      <c r="E47" s="461"/>
      <c r="F47" s="462"/>
      <c r="G47" s="5131" t="s">
        <v>362</v>
      </c>
      <c r="H47" s="5132" t="s">
        <v>362</v>
      </c>
      <c r="I47" s="5133"/>
      <c r="J47" s="213"/>
      <c r="K47" s="461"/>
      <c r="L47" s="462"/>
      <c r="M47" s="5131" t="s">
        <v>362</v>
      </c>
      <c r="N47" s="5132" t="s">
        <v>362</v>
      </c>
      <c r="O47" s="213"/>
      <c r="P47" s="461"/>
      <c r="Q47" s="461"/>
      <c r="R47" s="544"/>
      <c r="S47" s="217"/>
      <c r="T47" s="207"/>
      <c r="U47" s="207"/>
      <c r="V47" s="207"/>
    </row>
    <row r="48" spans="1:26" ht="15" customHeight="1">
      <c r="A48" s="465">
        <v>5</v>
      </c>
      <c r="B48" s="5152" t="s">
        <v>726</v>
      </c>
      <c r="C48" s="5153"/>
      <c r="D48" s="1384"/>
      <c r="E48" s="1385"/>
      <c r="F48" s="1385"/>
      <c r="G48" s="5154" t="s">
        <v>362</v>
      </c>
      <c r="H48" s="5155" t="s">
        <v>362</v>
      </c>
      <c r="I48" s="5156"/>
      <c r="J48" s="1385" t="s">
        <v>713</v>
      </c>
      <c r="K48" s="1385"/>
      <c r="L48" s="1385"/>
      <c r="M48" s="5154" t="s">
        <v>362</v>
      </c>
      <c r="N48" s="5155" t="s">
        <v>362</v>
      </c>
      <c r="O48" s="1384"/>
      <c r="P48" s="1385"/>
      <c r="Q48" s="1385"/>
      <c r="R48" s="1386"/>
      <c r="S48" s="207"/>
      <c r="T48" s="207"/>
      <c r="U48" s="207"/>
      <c r="V48" s="207"/>
    </row>
    <row r="49" spans="1:18" ht="15">
      <c r="A49" s="205">
        <v>6</v>
      </c>
      <c r="B49" s="2823" t="s">
        <v>1557</v>
      </c>
      <c r="C49" s="544"/>
      <c r="D49" s="213"/>
      <c r="E49" s="461"/>
      <c r="F49" s="462"/>
      <c r="G49" s="5129" t="s">
        <v>1583</v>
      </c>
      <c r="H49" s="5134" t="s">
        <v>362</v>
      </c>
      <c r="I49" s="5130"/>
      <c r="J49" s="2820"/>
      <c r="K49" s="2821"/>
      <c r="L49" s="2822"/>
      <c r="M49" s="5129" t="s">
        <v>1583</v>
      </c>
      <c r="N49" s="5134" t="s">
        <v>362</v>
      </c>
      <c r="O49" s="213"/>
      <c r="P49" s="461"/>
      <c r="Q49" s="461"/>
      <c r="R49" s="544"/>
    </row>
    <row r="50" spans="1:18">
      <c r="A50" s="205">
        <v>7</v>
      </c>
      <c r="B50" s="2823" t="s">
        <v>1623</v>
      </c>
      <c r="C50" s="216"/>
      <c r="D50" s="3610"/>
      <c r="E50" s="3611"/>
      <c r="F50" s="3611"/>
      <c r="G50" s="3611"/>
      <c r="H50" s="3611"/>
      <c r="I50" s="3612"/>
      <c r="J50" s="3610"/>
      <c r="K50" s="3611"/>
      <c r="L50" s="3611"/>
      <c r="M50" s="3611"/>
      <c r="N50" s="3611"/>
      <c r="O50" s="458"/>
      <c r="P50" s="541"/>
      <c r="Q50" s="541"/>
      <c r="R50" s="216"/>
    </row>
    <row r="51" spans="1:18">
      <c r="B51" s="214"/>
      <c r="C51" s="207"/>
      <c r="D51" s="207"/>
      <c r="E51" s="207"/>
      <c r="F51" s="207"/>
      <c r="G51" s="207"/>
      <c r="H51" s="207"/>
      <c r="I51" s="207"/>
      <c r="J51" s="207"/>
      <c r="K51" s="207"/>
      <c r="L51" s="207"/>
      <c r="M51" s="207"/>
      <c r="N51" s="207"/>
      <c r="O51" s="207"/>
      <c r="P51" s="207"/>
      <c r="Q51" s="207"/>
    </row>
    <row r="52" spans="1:18">
      <c r="B52" s="214"/>
      <c r="C52" s="207"/>
      <c r="D52" s="207"/>
      <c r="E52" s="207"/>
      <c r="F52" s="207"/>
      <c r="G52" s="207"/>
      <c r="H52" s="207"/>
      <c r="I52" s="207"/>
      <c r="J52" s="207"/>
      <c r="K52" s="207"/>
      <c r="L52" s="207"/>
      <c r="M52" s="207"/>
      <c r="N52" s="207"/>
      <c r="O52" s="207"/>
      <c r="P52" s="207"/>
      <c r="Q52" s="207"/>
    </row>
    <row r="53" spans="1:18">
      <c r="B53" s="214"/>
      <c r="C53" s="207"/>
      <c r="D53" s="207"/>
      <c r="E53" s="207"/>
      <c r="F53" s="207"/>
      <c r="G53" s="207"/>
      <c r="H53" s="207"/>
      <c r="I53" s="207"/>
      <c r="J53" s="207"/>
      <c r="K53" s="207"/>
      <c r="L53" s="207"/>
      <c r="M53" s="207"/>
      <c r="N53" s="207"/>
      <c r="O53" s="207"/>
      <c r="P53" s="207"/>
      <c r="Q53" s="207"/>
    </row>
    <row r="54" spans="1:18">
      <c r="B54" s="214"/>
      <c r="C54" s="207"/>
      <c r="D54" s="207"/>
      <c r="E54" s="207"/>
      <c r="F54" s="207"/>
      <c r="G54" s="207"/>
      <c r="H54" s="207"/>
      <c r="I54" s="207"/>
      <c r="J54" s="207"/>
      <c r="K54" s="207"/>
      <c r="L54" s="207"/>
      <c r="M54" s="207"/>
      <c r="N54" s="207"/>
      <c r="O54" s="207"/>
      <c r="P54" s="207"/>
      <c r="Q54" s="207"/>
    </row>
    <row r="55" spans="1:18">
      <c r="B55" s="215"/>
      <c r="C55" s="207"/>
      <c r="D55" s="207"/>
      <c r="E55" s="207"/>
      <c r="F55" s="207"/>
      <c r="G55" s="207"/>
      <c r="H55" s="207"/>
      <c r="I55" s="207"/>
      <c r="J55" s="207"/>
      <c r="K55" s="207"/>
      <c r="L55" s="207"/>
      <c r="M55" s="207"/>
      <c r="N55" s="207"/>
      <c r="O55" s="207"/>
      <c r="P55" s="207"/>
      <c r="Q55" s="207"/>
    </row>
    <row r="56" spans="1:18">
      <c r="B56" s="215"/>
      <c r="C56" s="207"/>
      <c r="D56" s="207"/>
      <c r="E56" s="207"/>
      <c r="F56" s="207"/>
      <c r="G56" s="207"/>
      <c r="H56" s="207"/>
      <c r="I56" s="207"/>
      <c r="J56" s="207"/>
      <c r="K56" s="207"/>
      <c r="L56" s="207"/>
      <c r="M56" s="207"/>
      <c r="N56" s="207"/>
      <c r="O56" s="207"/>
      <c r="P56" s="207"/>
      <c r="Q56" s="207"/>
    </row>
  </sheetData>
  <customSheetViews>
    <customSheetView guid="{BDF1A126-BD1D-4A5E-80B8-98941684E462}" showPageBreaks="1" printArea="1" topLeftCell="A6">
      <selection activeCell="B19" sqref="B19"/>
      <pageMargins left="0.92" right="0.39" top="0.75" bottom="0.75" header="0.3" footer="0.3"/>
      <pageSetup paperSize="9" orientation="portrait" r:id="rId1"/>
    </customSheetView>
    <customSheetView guid="{04F0793E-5444-463D-A1D5-E52E08A4C249}" showPageBreaks="1" printArea="1">
      <selection activeCell="B35" sqref="B35"/>
      <pageMargins left="0.7" right="0.7" top="0.75" bottom="0.75" header="0.3" footer="0.3"/>
      <pageSetup paperSize="9" orientation="portrait" r:id="rId2"/>
    </customSheetView>
    <customSheetView guid="{925F74B5-C2F5-4E55-AFE4-045C56169B44}" showPageBreaks="1" printArea="1" topLeftCell="A19">
      <selection activeCell="B35" sqref="B35"/>
      <pageMargins left="0.7" right="0.7" top="0.75" bottom="0.75" header="0.3" footer="0.3"/>
      <pageSetup paperSize="9" orientation="portrait" r:id="rId3"/>
    </customSheetView>
    <customSheetView guid="{1FF58891-F32F-4F97-9812-E2D02F4497AA}" topLeftCell="A26">
      <selection activeCell="B5" sqref="B5:D23"/>
      <pageMargins left="0.92" right="0.39" top="0.75" bottom="0.75" header="0.3" footer="0.3"/>
      <pageSetup paperSize="9" orientation="portrait" r:id="rId4"/>
    </customSheetView>
    <customSheetView guid="{2A6091F0-BAF4-46A2-BC20-0DE610E67601}" showPageBreaks="1" printArea="1" topLeftCell="A6">
      <selection activeCell="B19" sqref="B19"/>
      <pageMargins left="0.92" right="0.39" top="0.75" bottom="0.75" header="0.3" footer="0.3"/>
      <pageSetup paperSize="9" orientation="portrait" r:id="rId5"/>
    </customSheetView>
    <customSheetView guid="{5111FDC7-EEAC-46C3-8033-47A3563F0C00}" showPageBreaks="1" printArea="1">
      <selection activeCell="AA11" sqref="AA11"/>
      <pageMargins left="0.92" right="0.39" top="0.75" bottom="0.75" header="0.3" footer="0.3"/>
      <pageSetup paperSize="9" orientation="portrait" r:id="rId6"/>
    </customSheetView>
    <customSheetView guid="{2A5E79E4-584C-4F65-A220-87928CEA02AF}" showPageBreaks="1" printArea="1" topLeftCell="A37">
      <selection activeCell="C28" sqref="C28"/>
      <pageMargins left="0.92" right="0.39" top="0.75" bottom="0.75" header="0.3" footer="0.3"/>
      <pageSetup paperSize="9" orientation="portrait" r:id="rId7"/>
    </customSheetView>
    <customSheetView guid="{66872EF1-41BD-4D4B-B603-B8B0D03DAD22}" showPageBreaks="1" printArea="1">
      <selection activeCell="B10" sqref="B10"/>
      <pageMargins left="0.92" right="0.39" top="0.75" bottom="0.75" header="0.3" footer="0.3"/>
      <pageSetup paperSize="9" orientation="portrait" r:id="rId8"/>
    </customSheetView>
    <customSheetView guid="{ACE56013-11B3-4BF4-BD0B-BF59142DAC13}" showPageBreaks="1" printArea="1">
      <selection activeCell="B10" sqref="B10"/>
      <pageMargins left="0.92" right="0.39" top="0.75" bottom="0.75" header="0.3" footer="0.3"/>
      <pageSetup paperSize="9" orientation="portrait" r:id="rId9"/>
    </customSheetView>
  </customSheetViews>
  <mergeCells count="49">
    <mergeCell ref="O13:R19"/>
    <mergeCell ref="S12:V12"/>
    <mergeCell ref="O12:R12"/>
    <mergeCell ref="B13:C15"/>
    <mergeCell ref="B16:C17"/>
    <mergeCell ref="B12:C12"/>
    <mergeCell ref="D13:G19"/>
    <mergeCell ref="L12:N12"/>
    <mergeCell ref="H12:K12"/>
    <mergeCell ref="D12:G12"/>
    <mergeCell ref="S13:V19"/>
    <mergeCell ref="H13:K19"/>
    <mergeCell ref="L13:N19"/>
    <mergeCell ref="G6:H6"/>
    <mergeCell ref="V3:V4"/>
    <mergeCell ref="V5:V6"/>
    <mergeCell ref="P3:T3"/>
    <mergeCell ref="P4:T4"/>
    <mergeCell ref="C3:O4"/>
    <mergeCell ref="X44:Z44"/>
    <mergeCell ref="J43:L43"/>
    <mergeCell ref="O40:R40"/>
    <mergeCell ref="O43:R43"/>
    <mergeCell ref="O41:R42"/>
    <mergeCell ref="J40:N40"/>
    <mergeCell ref="J41:N42"/>
    <mergeCell ref="G49:I49"/>
    <mergeCell ref="M49:N49"/>
    <mergeCell ref="P38:T38"/>
    <mergeCell ref="P39:T39"/>
    <mergeCell ref="S20:V20"/>
    <mergeCell ref="O20:R20"/>
    <mergeCell ref="D41:I42"/>
    <mergeCell ref="D40:I40"/>
    <mergeCell ref="L20:N20"/>
    <mergeCell ref="C38:O39"/>
    <mergeCell ref="D20:G20"/>
    <mergeCell ref="B48:C48"/>
    <mergeCell ref="G48:I48"/>
    <mergeCell ref="M48:N48"/>
    <mergeCell ref="G47:I47"/>
    <mergeCell ref="M47:N47"/>
    <mergeCell ref="H20:K20"/>
    <mergeCell ref="D43:F43"/>
    <mergeCell ref="M46:N46"/>
    <mergeCell ref="G44:I44"/>
    <mergeCell ref="G45:I45"/>
    <mergeCell ref="M44:N44"/>
    <mergeCell ref="M45:N45"/>
  </mergeCells>
  <pageMargins left="0.92" right="0.39" top="0.75" bottom="0.75" header="0.3" footer="0.3"/>
  <pageSetup paperSize="9" orientation="portrait" r:id="rId10"/>
  <drawing r:id="rId11"/>
  <legacyDrawing r:id="rId1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59"/>
  <sheetViews>
    <sheetView zoomScaleNormal="100" workbookViewId="0"/>
  </sheetViews>
  <sheetFormatPr defaultColWidth="9.140625" defaultRowHeight="14.25"/>
  <cols>
    <col min="1" max="1" width="2.7109375" style="205" customWidth="1"/>
    <col min="2" max="2" width="2.5703125" style="205" customWidth="1"/>
    <col min="3" max="3" width="11.5703125" style="205" customWidth="1"/>
    <col min="4" max="4" width="5.42578125" style="205" customWidth="1"/>
    <col min="5" max="8" width="1.85546875" style="205" customWidth="1"/>
    <col min="9" max="10" width="2.28515625" style="205" customWidth="1"/>
    <col min="11" max="12" width="1.85546875" style="205" customWidth="1"/>
    <col min="13" max="13" width="1.7109375" style="205" customWidth="1"/>
    <col min="14" max="14" width="1.85546875" style="205" customWidth="1"/>
    <col min="15" max="16" width="1.7109375" style="205" customWidth="1"/>
    <col min="17" max="19" width="2.28515625" style="205" customWidth="1"/>
    <col min="20" max="20" width="1.42578125" style="205" customWidth="1"/>
    <col min="21" max="24" width="2.28515625" style="205" customWidth="1"/>
    <col min="25" max="32" width="2.140625" style="205" customWidth="1"/>
    <col min="33" max="33" width="2.5703125" style="205" customWidth="1"/>
    <col min="34" max="34" width="1" style="205" customWidth="1"/>
    <col min="35" max="35" width="0.7109375" style="205" customWidth="1"/>
    <col min="36" max="36" width="5.28515625" style="205" customWidth="1"/>
    <col min="37" max="37" width="2.85546875" style="205" customWidth="1"/>
    <col min="38" max="16384" width="9.140625" style="205"/>
  </cols>
  <sheetData>
    <row r="1" spans="1:43" ht="16.5">
      <c r="A1" s="2101" t="s">
        <v>1398</v>
      </c>
      <c r="D1" s="204"/>
      <c r="E1" s="204"/>
      <c r="F1" s="204"/>
      <c r="G1" s="204"/>
      <c r="H1" s="204"/>
      <c r="I1" s="204"/>
      <c r="J1" s="204"/>
      <c r="K1" s="204"/>
      <c r="L1" s="204"/>
      <c r="M1" s="204"/>
      <c r="N1" s="204"/>
      <c r="O1" s="204"/>
      <c r="P1" s="204"/>
      <c r="Q1" s="204"/>
      <c r="R1" s="204"/>
      <c r="S1" s="204"/>
      <c r="T1" s="204"/>
      <c r="U1" s="204"/>
    </row>
    <row r="2" spans="1:43" ht="5.25" customHeight="1" thickBot="1">
      <c r="C2" s="203"/>
    </row>
    <row r="3" spans="1:43" ht="13.5" customHeight="1">
      <c r="A3" s="5208">
        <v>7.12</v>
      </c>
      <c r="B3" s="5208"/>
      <c r="C3" s="5228" t="s">
        <v>366</v>
      </c>
      <c r="D3" s="5228"/>
      <c r="E3" s="5228"/>
      <c r="F3" s="5228"/>
      <c r="G3" s="5228"/>
      <c r="H3" s="5228"/>
      <c r="I3" s="5228"/>
      <c r="J3" s="5228"/>
      <c r="K3" s="5228"/>
      <c r="L3" s="5228"/>
      <c r="M3" s="5228"/>
      <c r="N3" s="5228"/>
      <c r="O3" s="5228"/>
      <c r="P3" s="5228"/>
      <c r="Q3" s="5228"/>
      <c r="R3" s="5228"/>
      <c r="S3" s="2757"/>
      <c r="T3" s="2757"/>
      <c r="U3" s="5226" t="s">
        <v>351</v>
      </c>
      <c r="V3" s="5226"/>
      <c r="W3" s="5226"/>
      <c r="X3" s="5226"/>
      <c r="Y3" s="5227"/>
      <c r="Z3" s="5227"/>
      <c r="AA3" s="5227"/>
      <c r="AB3" s="5227"/>
      <c r="AC3" s="5227"/>
      <c r="AD3" s="5227"/>
      <c r="AE3" s="5227"/>
      <c r="AF3" s="5227"/>
      <c r="AG3" s="5226"/>
      <c r="AH3" s="5226"/>
      <c r="AI3" s="2757"/>
      <c r="AJ3" s="2825"/>
    </row>
    <row r="4" spans="1:43" ht="11.25" customHeight="1" thickBot="1">
      <c r="B4" s="464"/>
      <c r="C4" s="5228"/>
      <c r="D4" s="5228"/>
      <c r="E4" s="5228"/>
      <c r="F4" s="5228"/>
      <c r="G4" s="5228"/>
      <c r="H4" s="5228"/>
      <c r="I4" s="5228"/>
      <c r="J4" s="5228"/>
      <c r="K4" s="5228"/>
      <c r="L4" s="5228"/>
      <c r="M4" s="5228"/>
      <c r="N4" s="5228"/>
      <c r="O4" s="5228"/>
      <c r="P4" s="5228"/>
      <c r="Q4" s="5228"/>
      <c r="R4" s="5228"/>
      <c r="S4" s="2757"/>
      <c r="T4" s="2757"/>
      <c r="U4" s="5226" t="s">
        <v>1564</v>
      </c>
      <c r="V4" s="5226"/>
      <c r="W4" s="5226"/>
      <c r="X4" s="5226"/>
      <c r="Y4" s="5227"/>
      <c r="Z4" s="5227"/>
      <c r="AA4" s="5227"/>
      <c r="AB4" s="5227"/>
      <c r="AC4" s="5227"/>
      <c r="AD4" s="5227"/>
      <c r="AE4" s="5227"/>
      <c r="AF4" s="5227"/>
      <c r="AG4" s="5226"/>
      <c r="AH4" s="5226"/>
      <c r="AI4" s="2757"/>
      <c r="AJ4" s="2826"/>
      <c r="AL4" s="457"/>
    </row>
    <row r="5" spans="1:43" ht="5.25" customHeight="1" thickBot="1">
      <c r="B5" s="464"/>
      <c r="C5" s="2756"/>
      <c r="D5" s="2756"/>
      <c r="E5" s="2756"/>
      <c r="F5" s="2756"/>
      <c r="G5" s="2756"/>
      <c r="H5" s="2756"/>
      <c r="I5" s="2756"/>
      <c r="J5" s="2756"/>
      <c r="K5" s="2756"/>
      <c r="L5" s="2756"/>
      <c r="M5" s="2756"/>
      <c r="N5" s="2756"/>
      <c r="O5" s="2756"/>
      <c r="P5" s="2756"/>
      <c r="Q5" s="2756"/>
      <c r="R5" s="2756"/>
      <c r="S5" s="2757"/>
      <c r="T5" s="2757"/>
      <c r="U5" s="2758"/>
      <c r="V5" s="2758"/>
      <c r="W5" s="2758"/>
      <c r="X5" s="2758"/>
      <c r="Y5" s="2756"/>
      <c r="Z5" s="2756"/>
      <c r="AA5" s="2756"/>
      <c r="AB5" s="2756"/>
      <c r="AC5" s="2756"/>
      <c r="AD5" s="2756"/>
      <c r="AE5" s="2756"/>
      <c r="AF5" s="2756"/>
      <c r="AG5" s="2758"/>
      <c r="AH5" s="2758"/>
      <c r="AI5" s="2757"/>
      <c r="AJ5" s="2759"/>
      <c r="AL5" s="457"/>
    </row>
    <row r="6" spans="1:43" ht="13.5" customHeight="1">
      <c r="A6" s="5208">
        <v>7.13</v>
      </c>
      <c r="B6" s="5208"/>
      <c r="C6" s="5233" t="s">
        <v>367</v>
      </c>
      <c r="D6" s="5233"/>
      <c r="E6" s="5233"/>
      <c r="F6" s="5233"/>
      <c r="G6" s="5233"/>
      <c r="H6" s="5233"/>
      <c r="I6" s="5233"/>
      <c r="J6" s="5233"/>
      <c r="K6" s="5233"/>
      <c r="L6" s="5233"/>
      <c r="M6" s="5233"/>
      <c r="N6" s="5233"/>
      <c r="O6" s="5233"/>
      <c r="P6" s="5233"/>
      <c r="Q6" s="5233"/>
      <c r="R6" s="5233"/>
      <c r="S6" s="5233"/>
      <c r="T6" s="2757"/>
      <c r="U6" s="5226" t="s">
        <v>351</v>
      </c>
      <c r="V6" s="5226"/>
      <c r="W6" s="5226"/>
      <c r="X6" s="5226"/>
      <c r="Y6" s="5227"/>
      <c r="Z6" s="5227"/>
      <c r="AA6" s="5227"/>
      <c r="AB6" s="5227"/>
      <c r="AC6" s="5227"/>
      <c r="AD6" s="5227"/>
      <c r="AE6" s="5227"/>
      <c r="AF6" s="5227"/>
      <c r="AG6" s="5226"/>
      <c r="AH6" s="5226"/>
      <c r="AI6" s="2757"/>
      <c r="AJ6" s="2825"/>
      <c r="AL6" s="457"/>
    </row>
    <row r="7" spans="1:43" ht="12.75" customHeight="1" thickBot="1">
      <c r="A7" s="2757"/>
      <c r="B7" s="2827"/>
      <c r="C7" s="5234"/>
      <c r="D7" s="5234"/>
      <c r="E7" s="5234"/>
      <c r="F7" s="5234"/>
      <c r="G7" s="5234"/>
      <c r="H7" s="5234"/>
      <c r="I7" s="5234"/>
      <c r="J7" s="5234"/>
      <c r="K7" s="5234"/>
      <c r="L7" s="5234"/>
      <c r="M7" s="5234"/>
      <c r="N7" s="5234"/>
      <c r="O7" s="5234"/>
      <c r="P7" s="5234"/>
      <c r="Q7" s="5234"/>
      <c r="R7" s="5234"/>
      <c r="S7" s="5234"/>
      <c r="T7" s="2757"/>
      <c r="U7" s="5226" t="s">
        <v>520</v>
      </c>
      <c r="V7" s="5226"/>
      <c r="W7" s="5226"/>
      <c r="X7" s="5226"/>
      <c r="Y7" s="5227"/>
      <c r="Z7" s="5227"/>
      <c r="AA7" s="5227"/>
      <c r="AB7" s="5227"/>
      <c r="AC7" s="5227"/>
      <c r="AD7" s="5227"/>
      <c r="AE7" s="5227"/>
      <c r="AF7" s="5227"/>
      <c r="AG7" s="5226"/>
      <c r="AH7" s="5226"/>
      <c r="AI7" s="2757"/>
      <c r="AJ7" s="2826"/>
      <c r="AL7" s="457"/>
    </row>
    <row r="8" spans="1:43" ht="13.5" customHeight="1">
      <c r="B8" s="5177"/>
      <c r="C8" s="5178"/>
      <c r="D8" s="5180"/>
      <c r="E8" s="5177">
        <v>7.14</v>
      </c>
      <c r="F8" s="5178"/>
      <c r="G8" s="5178"/>
      <c r="H8" s="5180"/>
      <c r="I8" s="5177">
        <f>+E8+0.01</f>
        <v>7.1499999999999995</v>
      </c>
      <c r="J8" s="5178"/>
      <c r="K8" s="5178"/>
      <c r="L8" s="5180"/>
      <c r="M8" s="5177">
        <f>+I8+0.01</f>
        <v>7.1599999999999993</v>
      </c>
      <c r="N8" s="5178"/>
      <c r="O8" s="5178"/>
      <c r="P8" s="5180"/>
      <c r="Q8" s="5177">
        <f>+M8+0.01</f>
        <v>7.169999999999999</v>
      </c>
      <c r="R8" s="5178"/>
      <c r="S8" s="5178"/>
      <c r="T8" s="5180"/>
      <c r="U8" s="5177">
        <f>+Q8+0.01</f>
        <v>7.1799999999999988</v>
      </c>
      <c r="V8" s="5178"/>
      <c r="W8" s="5178"/>
      <c r="X8" s="5180"/>
      <c r="Y8" s="5177">
        <f>+U8+0.01</f>
        <v>7.1899999999999986</v>
      </c>
      <c r="Z8" s="5178"/>
      <c r="AA8" s="5178"/>
      <c r="AB8" s="5180"/>
      <c r="AC8" s="5256">
        <f>+Y8+0.01</f>
        <v>7.1999999999999984</v>
      </c>
      <c r="AD8" s="5257"/>
      <c r="AE8" s="5257"/>
      <c r="AF8" s="5258"/>
      <c r="AG8" s="5177">
        <v>7.21</v>
      </c>
      <c r="AH8" s="5178"/>
      <c r="AI8" s="5178"/>
      <c r="AJ8" s="5180"/>
    </row>
    <row r="9" spans="1:43" ht="12.75" customHeight="1">
      <c r="B9" s="2744"/>
      <c r="C9" s="2745"/>
      <c r="D9" s="2747"/>
      <c r="E9" s="5259" t="s">
        <v>369</v>
      </c>
      <c r="F9" s="5260"/>
      <c r="G9" s="5260"/>
      <c r="H9" s="5261"/>
      <c r="I9" s="5250" t="s">
        <v>370</v>
      </c>
      <c r="J9" s="5251"/>
      <c r="K9" s="5251"/>
      <c r="L9" s="5252"/>
      <c r="M9" s="5265" t="s">
        <v>1653</v>
      </c>
      <c r="N9" s="5266"/>
      <c r="O9" s="5266"/>
      <c r="P9" s="5267"/>
      <c r="Q9" s="5250" t="s">
        <v>371</v>
      </c>
      <c r="R9" s="5251"/>
      <c r="S9" s="5251"/>
      <c r="T9" s="5252"/>
      <c r="U9" s="5250" t="s">
        <v>372</v>
      </c>
      <c r="V9" s="5251"/>
      <c r="W9" s="5251"/>
      <c r="X9" s="5252"/>
      <c r="Y9" s="5241" t="s">
        <v>1654</v>
      </c>
      <c r="Z9" s="5242"/>
      <c r="AA9" s="5242"/>
      <c r="AB9" s="5243"/>
      <c r="AC9" s="5247" t="s">
        <v>722</v>
      </c>
      <c r="AD9" s="5248"/>
      <c r="AE9" s="5248"/>
      <c r="AF9" s="5249"/>
      <c r="AG9" s="5250" t="s">
        <v>376</v>
      </c>
      <c r="AH9" s="5251"/>
      <c r="AI9" s="5251"/>
      <c r="AJ9" s="5252"/>
    </row>
    <row r="10" spans="1:43" ht="36.75" customHeight="1">
      <c r="B10" s="5230" t="s">
        <v>721</v>
      </c>
      <c r="C10" s="5231"/>
      <c r="D10" s="5232"/>
      <c r="E10" s="5253"/>
      <c r="F10" s="5254"/>
      <c r="G10" s="5254"/>
      <c r="H10" s="5255"/>
      <c r="I10" s="5253"/>
      <c r="J10" s="5254"/>
      <c r="K10" s="5254"/>
      <c r="L10" s="5255"/>
      <c r="M10" s="5268"/>
      <c r="N10" s="5269"/>
      <c r="O10" s="5269"/>
      <c r="P10" s="5270"/>
      <c r="Q10" s="5253"/>
      <c r="R10" s="5254"/>
      <c r="S10" s="5254"/>
      <c r="T10" s="5255"/>
      <c r="U10" s="5253"/>
      <c r="V10" s="5254"/>
      <c r="W10" s="5254"/>
      <c r="X10" s="5255"/>
      <c r="Y10" s="5244"/>
      <c r="Z10" s="5245"/>
      <c r="AA10" s="5245"/>
      <c r="AB10" s="5246"/>
      <c r="AC10" s="4639"/>
      <c r="AD10" s="4640"/>
      <c r="AE10" s="4640"/>
      <c r="AF10" s="4641"/>
      <c r="AG10" s="5253"/>
      <c r="AH10" s="5254"/>
      <c r="AI10" s="5254"/>
      <c r="AJ10" s="5255"/>
      <c r="AO10" s="2746"/>
      <c r="AP10" s="2746"/>
      <c r="AQ10" s="2746"/>
    </row>
    <row r="11" spans="1:43" ht="51.75" customHeight="1">
      <c r="B11" s="5230"/>
      <c r="C11" s="5231"/>
      <c r="D11" s="5232"/>
      <c r="E11" s="5253"/>
      <c r="F11" s="5254"/>
      <c r="G11" s="5254"/>
      <c r="H11" s="5255"/>
      <c r="I11" s="5253"/>
      <c r="J11" s="5254"/>
      <c r="K11" s="5254"/>
      <c r="L11" s="5255"/>
      <c r="M11" s="5268"/>
      <c r="N11" s="5269"/>
      <c r="O11" s="5269"/>
      <c r="P11" s="5270"/>
      <c r="Q11" s="5253"/>
      <c r="R11" s="5254"/>
      <c r="S11" s="5254"/>
      <c r="T11" s="5255"/>
      <c r="U11" s="5253"/>
      <c r="V11" s="5254"/>
      <c r="W11" s="5254"/>
      <c r="X11" s="5255"/>
      <c r="Y11" s="5244"/>
      <c r="Z11" s="5245"/>
      <c r="AA11" s="5245"/>
      <c r="AB11" s="5246"/>
      <c r="AC11" s="4639"/>
      <c r="AD11" s="4640"/>
      <c r="AE11" s="4640"/>
      <c r="AF11" s="4641"/>
      <c r="AG11" s="5253"/>
      <c r="AH11" s="5254"/>
      <c r="AI11" s="5254"/>
      <c r="AJ11" s="5255"/>
      <c r="AO11" s="2746"/>
      <c r="AP11" s="2746"/>
      <c r="AQ11" s="2746"/>
    </row>
    <row r="12" spans="1:43" ht="6.75" customHeight="1">
      <c r="B12" s="175"/>
      <c r="C12" s="459"/>
      <c r="D12" s="1422"/>
      <c r="E12" s="5253"/>
      <c r="F12" s="5254"/>
      <c r="G12" s="5254"/>
      <c r="H12" s="5255"/>
      <c r="I12" s="5253"/>
      <c r="J12" s="5254"/>
      <c r="K12" s="5254"/>
      <c r="L12" s="5255"/>
      <c r="M12" s="5268"/>
      <c r="N12" s="5269"/>
      <c r="O12" s="5269"/>
      <c r="P12" s="5270"/>
      <c r="Q12" s="5253"/>
      <c r="R12" s="5254"/>
      <c r="S12" s="5254"/>
      <c r="T12" s="5255"/>
      <c r="U12" s="5253"/>
      <c r="V12" s="5254"/>
      <c r="W12" s="5254"/>
      <c r="X12" s="5255"/>
      <c r="Y12" s="5244"/>
      <c r="Z12" s="5245"/>
      <c r="AA12" s="5245"/>
      <c r="AB12" s="5246"/>
      <c r="AC12" s="4639"/>
      <c r="AD12" s="4640"/>
      <c r="AE12" s="4640"/>
      <c r="AF12" s="4641"/>
      <c r="AG12" s="5253"/>
      <c r="AH12" s="5254"/>
      <c r="AI12" s="5254"/>
      <c r="AJ12" s="5255"/>
    </row>
    <row r="13" spans="1:43" ht="6.75" customHeight="1">
      <c r="B13" s="175"/>
      <c r="C13" s="459"/>
      <c r="D13" s="1422"/>
      <c r="E13" s="5253"/>
      <c r="F13" s="5254"/>
      <c r="G13" s="5254"/>
      <c r="H13" s="5255"/>
      <c r="I13" s="5253"/>
      <c r="J13" s="5254"/>
      <c r="K13" s="5254"/>
      <c r="L13" s="5255"/>
      <c r="M13" s="5268"/>
      <c r="N13" s="5269"/>
      <c r="O13" s="5269"/>
      <c r="P13" s="5270"/>
      <c r="Q13" s="5253"/>
      <c r="R13" s="5254"/>
      <c r="S13" s="5254"/>
      <c r="T13" s="5255"/>
      <c r="U13" s="5253"/>
      <c r="V13" s="5254"/>
      <c r="W13" s="5254"/>
      <c r="X13" s="5255"/>
      <c r="Y13" s="5244"/>
      <c r="Z13" s="5245"/>
      <c r="AA13" s="5245"/>
      <c r="AB13" s="5246"/>
      <c r="AC13" s="4639"/>
      <c r="AD13" s="4640"/>
      <c r="AE13" s="4640"/>
      <c r="AF13" s="4641"/>
      <c r="AG13" s="5253"/>
      <c r="AH13" s="5254"/>
      <c r="AI13" s="5254"/>
      <c r="AJ13" s="5255"/>
    </row>
    <row r="14" spans="1:43" ht="6.75" customHeight="1">
      <c r="B14" s="175"/>
      <c r="C14" s="459"/>
      <c r="D14" s="1422"/>
      <c r="E14" s="5253"/>
      <c r="F14" s="5254"/>
      <c r="G14" s="5254"/>
      <c r="H14" s="5255"/>
      <c r="I14" s="5253"/>
      <c r="J14" s="5254"/>
      <c r="K14" s="5254"/>
      <c r="L14" s="5255"/>
      <c r="M14" s="5268"/>
      <c r="N14" s="5269"/>
      <c r="O14" s="5269"/>
      <c r="P14" s="5270"/>
      <c r="Q14" s="5253"/>
      <c r="R14" s="5254"/>
      <c r="S14" s="5254"/>
      <c r="T14" s="5255"/>
      <c r="U14" s="5253"/>
      <c r="V14" s="5254"/>
      <c r="W14" s="5254"/>
      <c r="X14" s="5255"/>
      <c r="Y14" s="5244"/>
      <c r="Z14" s="5245"/>
      <c r="AA14" s="5245"/>
      <c r="AB14" s="5246"/>
      <c r="AC14" s="4639"/>
      <c r="AD14" s="4640"/>
      <c r="AE14" s="4640"/>
      <c r="AF14" s="4641"/>
      <c r="AG14" s="5253"/>
      <c r="AH14" s="5254"/>
      <c r="AI14" s="5254"/>
      <c r="AJ14" s="5255"/>
    </row>
    <row r="15" spans="1:43" ht="6.75" customHeight="1">
      <c r="B15" s="175"/>
      <c r="C15" s="459"/>
      <c r="D15" s="1422"/>
      <c r="E15" s="5253"/>
      <c r="F15" s="5254"/>
      <c r="G15" s="5254"/>
      <c r="H15" s="5255"/>
      <c r="I15" s="5253"/>
      <c r="J15" s="5254"/>
      <c r="K15" s="5254"/>
      <c r="L15" s="5255"/>
      <c r="M15" s="5268"/>
      <c r="N15" s="5269"/>
      <c r="O15" s="5269"/>
      <c r="P15" s="5270"/>
      <c r="Q15" s="5253"/>
      <c r="R15" s="5254"/>
      <c r="S15" s="5254"/>
      <c r="T15" s="5255"/>
      <c r="U15" s="5253"/>
      <c r="V15" s="5254"/>
      <c r="W15" s="5254"/>
      <c r="X15" s="5255"/>
      <c r="Y15" s="5244"/>
      <c r="Z15" s="5245"/>
      <c r="AA15" s="5245"/>
      <c r="AB15" s="5246"/>
      <c r="AC15" s="4639"/>
      <c r="AD15" s="4640"/>
      <c r="AE15" s="4640"/>
      <c r="AF15" s="4641"/>
      <c r="AG15" s="5253"/>
      <c r="AH15" s="5254"/>
      <c r="AI15" s="5254"/>
      <c r="AJ15" s="5255"/>
    </row>
    <row r="16" spans="1:43" ht="12.75" customHeight="1">
      <c r="B16" s="217"/>
      <c r="C16" s="460"/>
      <c r="D16" s="2511" t="s">
        <v>55</v>
      </c>
      <c r="E16" s="5262"/>
      <c r="F16" s="5263"/>
      <c r="G16" s="5263"/>
      <c r="H16" s="5264"/>
      <c r="I16" s="5253"/>
      <c r="J16" s="5254"/>
      <c r="K16" s="5254"/>
      <c r="L16" s="5255"/>
      <c r="M16" s="5268"/>
      <c r="N16" s="5269"/>
      <c r="O16" s="5269"/>
      <c r="P16" s="5270"/>
      <c r="Q16" s="5253"/>
      <c r="R16" s="5254"/>
      <c r="S16" s="5254"/>
      <c r="T16" s="5255"/>
      <c r="U16" s="5253"/>
      <c r="V16" s="5254"/>
      <c r="W16" s="5254"/>
      <c r="X16" s="5255"/>
      <c r="Y16" s="5244"/>
      <c r="Z16" s="5245"/>
      <c r="AA16" s="5245"/>
      <c r="AB16" s="5246"/>
      <c r="AC16" s="4639"/>
      <c r="AD16" s="4640"/>
      <c r="AE16" s="4640"/>
      <c r="AF16" s="4641"/>
      <c r="AG16" s="5253"/>
      <c r="AH16" s="5254"/>
      <c r="AI16" s="5254"/>
      <c r="AJ16" s="5255"/>
    </row>
    <row r="17" spans="1:36" ht="12" customHeight="1">
      <c r="B17" s="5209" t="s">
        <v>62</v>
      </c>
      <c r="C17" s="5210"/>
      <c r="D17" s="2512" t="s">
        <v>373</v>
      </c>
      <c r="E17" s="5198" t="s">
        <v>24</v>
      </c>
      <c r="F17" s="5199"/>
      <c r="G17" s="5199"/>
      <c r="H17" s="5200"/>
      <c r="I17" s="5198" t="s">
        <v>24</v>
      </c>
      <c r="J17" s="5199"/>
      <c r="K17" s="5199"/>
      <c r="L17" s="5200"/>
      <c r="M17" s="5198" t="s">
        <v>24</v>
      </c>
      <c r="N17" s="5199"/>
      <c r="O17" s="5199"/>
      <c r="P17" s="5200"/>
      <c r="Q17" s="5198" t="s">
        <v>24</v>
      </c>
      <c r="R17" s="5199"/>
      <c r="S17" s="5199"/>
      <c r="T17" s="5200"/>
      <c r="U17" s="5229" t="s">
        <v>219</v>
      </c>
      <c r="V17" s="5132"/>
      <c r="W17" s="5132"/>
      <c r="X17" s="5133"/>
      <c r="Y17" s="5198" t="s">
        <v>24</v>
      </c>
      <c r="Z17" s="5199"/>
      <c r="AA17" s="5199"/>
      <c r="AB17" s="5200"/>
      <c r="AC17" s="5198" t="s">
        <v>24</v>
      </c>
      <c r="AD17" s="5199"/>
      <c r="AE17" s="5199"/>
      <c r="AF17" s="5200"/>
      <c r="AG17" s="5127" t="s">
        <v>219</v>
      </c>
      <c r="AH17" s="5128"/>
      <c r="AI17" s="5128"/>
      <c r="AJ17" s="5158"/>
    </row>
    <row r="18" spans="1:36" ht="4.5" customHeight="1"/>
    <row r="19" spans="1:36" s="204" customFormat="1" ht="15.75" customHeight="1">
      <c r="A19" s="465">
        <v>1</v>
      </c>
      <c r="B19" s="5202" t="s">
        <v>1608</v>
      </c>
      <c r="C19" s="5203"/>
      <c r="D19" s="478"/>
      <c r="E19" s="475"/>
      <c r="F19" s="476"/>
      <c r="G19" s="476"/>
      <c r="H19" s="477"/>
      <c r="I19" s="475"/>
      <c r="J19" s="476"/>
      <c r="K19" s="476"/>
      <c r="L19" s="477"/>
      <c r="M19" s="475"/>
      <c r="N19" s="476"/>
      <c r="O19" s="476"/>
      <c r="P19" s="477"/>
      <c r="Q19" s="475"/>
      <c r="R19" s="476"/>
      <c r="S19" s="476"/>
      <c r="T19" s="477"/>
      <c r="U19" s="475"/>
      <c r="V19" s="476"/>
      <c r="W19" s="476"/>
      <c r="X19" s="477"/>
      <c r="Y19" s="475"/>
      <c r="Z19" s="476"/>
      <c r="AA19" s="476"/>
      <c r="AB19" s="477"/>
      <c r="AC19" s="475"/>
      <c r="AD19" s="476"/>
      <c r="AE19" s="476"/>
      <c r="AF19" s="477"/>
      <c r="AG19" s="475"/>
      <c r="AH19" s="476"/>
      <c r="AI19" s="476"/>
      <c r="AJ19" s="477"/>
    </row>
    <row r="20" spans="1:36" s="204" customFormat="1" ht="15.75" customHeight="1">
      <c r="A20" s="465">
        <v>2</v>
      </c>
      <c r="B20" s="737" t="s">
        <v>1609</v>
      </c>
      <c r="C20" s="738"/>
      <c r="D20" s="478"/>
      <c r="E20" s="475"/>
      <c r="F20" s="476"/>
      <c r="G20" s="476"/>
      <c r="H20" s="477"/>
      <c r="I20" s="475"/>
      <c r="J20" s="476"/>
      <c r="K20" s="476"/>
      <c r="L20" s="477"/>
      <c r="M20" s="475"/>
      <c r="N20" s="476"/>
      <c r="O20" s="476"/>
      <c r="P20" s="477"/>
      <c r="Q20" s="475"/>
      <c r="R20" s="476"/>
      <c r="S20" s="476"/>
      <c r="T20" s="477"/>
      <c r="U20" s="475"/>
      <c r="V20" s="476"/>
      <c r="W20" s="476"/>
      <c r="X20" s="477"/>
      <c r="Y20" s="475"/>
      <c r="Z20" s="476"/>
      <c r="AA20" s="476"/>
      <c r="AB20" s="477"/>
      <c r="AC20" s="475"/>
      <c r="AD20" s="476"/>
      <c r="AE20" s="476"/>
      <c r="AF20" s="477"/>
      <c r="AG20" s="475"/>
      <c r="AH20" s="476"/>
      <c r="AI20" s="476"/>
      <c r="AJ20" s="477"/>
    </row>
    <row r="21" spans="1:36" s="204" customFormat="1" ht="15.75" customHeight="1">
      <c r="A21" s="465">
        <v>3</v>
      </c>
      <c r="B21" s="737" t="s">
        <v>1610</v>
      </c>
      <c r="C21" s="738"/>
      <c r="D21" s="478"/>
      <c r="E21" s="475"/>
      <c r="F21" s="476"/>
      <c r="G21" s="476"/>
      <c r="H21" s="477"/>
      <c r="I21" s="475"/>
      <c r="J21" s="476"/>
      <c r="K21" s="476"/>
      <c r="L21" s="477"/>
      <c r="M21" s="475"/>
      <c r="N21" s="476"/>
      <c r="O21" s="476"/>
      <c r="P21" s="477"/>
      <c r="Q21" s="475"/>
      <c r="R21" s="476"/>
      <c r="S21" s="476"/>
      <c r="T21" s="477"/>
      <c r="U21" s="475"/>
      <c r="V21" s="476"/>
      <c r="W21" s="476"/>
      <c r="X21" s="477"/>
      <c r="Y21" s="475"/>
      <c r="Z21" s="476"/>
      <c r="AA21" s="476"/>
      <c r="AB21" s="477"/>
      <c r="AC21" s="475"/>
      <c r="AD21" s="476"/>
      <c r="AE21" s="476"/>
      <c r="AF21" s="477"/>
      <c r="AG21" s="475"/>
      <c r="AH21" s="476"/>
      <c r="AI21" s="476"/>
      <c r="AJ21" s="477"/>
    </row>
    <row r="22" spans="1:36" s="204" customFormat="1" ht="15.75" customHeight="1">
      <c r="A22" s="465">
        <v>4</v>
      </c>
      <c r="B22" s="737" t="s">
        <v>1606</v>
      </c>
      <c r="C22" s="738"/>
      <c r="D22" s="478"/>
      <c r="E22" s="475"/>
      <c r="F22" s="476"/>
      <c r="G22" s="476"/>
      <c r="H22" s="477"/>
      <c r="I22" s="475"/>
      <c r="J22" s="476"/>
      <c r="K22" s="476"/>
      <c r="L22" s="477"/>
      <c r="M22" s="475"/>
      <c r="N22" s="476"/>
      <c r="O22" s="476"/>
      <c r="P22" s="477"/>
      <c r="Q22" s="475"/>
      <c r="R22" s="476"/>
      <c r="S22" s="476"/>
      <c r="T22" s="477"/>
      <c r="U22" s="475"/>
      <c r="V22" s="476"/>
      <c r="W22" s="476"/>
      <c r="X22" s="477"/>
      <c r="Y22" s="475"/>
      <c r="Z22" s="476"/>
      <c r="AA22" s="476"/>
      <c r="AB22" s="477"/>
      <c r="AC22" s="475"/>
      <c r="AD22" s="476"/>
      <c r="AE22" s="476"/>
      <c r="AF22" s="477"/>
      <c r="AG22" s="475"/>
      <c r="AH22" s="476"/>
      <c r="AI22" s="476"/>
      <c r="AJ22" s="477"/>
    </row>
    <row r="23" spans="1:36" s="204" customFormat="1" ht="15.75" customHeight="1">
      <c r="A23" s="465">
        <v>5</v>
      </c>
      <c r="B23" s="737" t="s">
        <v>1605</v>
      </c>
      <c r="C23" s="738"/>
      <c r="D23" s="478"/>
      <c r="E23" s="475"/>
      <c r="F23" s="476"/>
      <c r="G23" s="476"/>
      <c r="H23" s="477"/>
      <c r="I23" s="475"/>
      <c r="J23" s="476"/>
      <c r="K23" s="476"/>
      <c r="L23" s="477"/>
      <c r="M23" s="475"/>
      <c r="N23" s="476"/>
      <c r="O23" s="476"/>
      <c r="P23" s="477"/>
      <c r="Q23" s="475"/>
      <c r="R23" s="476"/>
      <c r="S23" s="476"/>
      <c r="T23" s="477"/>
      <c r="U23" s="475"/>
      <c r="V23" s="476"/>
      <c r="W23" s="476"/>
      <c r="X23" s="477"/>
      <c r="Y23" s="475"/>
      <c r="Z23" s="476"/>
      <c r="AA23" s="476"/>
      <c r="AB23" s="477"/>
      <c r="AC23" s="475"/>
      <c r="AD23" s="476"/>
      <c r="AE23" s="476"/>
      <c r="AF23" s="477"/>
      <c r="AG23" s="475"/>
      <c r="AH23" s="476"/>
      <c r="AI23" s="476"/>
      <c r="AJ23" s="477"/>
    </row>
    <row r="24" spans="1:36" s="204" customFormat="1" ht="15.75" customHeight="1">
      <c r="A24" s="465">
        <v>6</v>
      </c>
      <c r="B24" s="737" t="s">
        <v>1604</v>
      </c>
      <c r="C24" s="738"/>
      <c r="D24" s="478"/>
      <c r="E24" s="475"/>
      <c r="F24" s="476"/>
      <c r="G24" s="476"/>
      <c r="H24" s="477"/>
      <c r="I24" s="475"/>
      <c r="J24" s="476"/>
      <c r="K24" s="476"/>
      <c r="L24" s="477"/>
      <c r="M24" s="475"/>
      <c r="N24" s="476"/>
      <c r="O24" s="476"/>
      <c r="P24" s="477"/>
      <c r="Q24" s="475"/>
      <c r="R24" s="476"/>
      <c r="S24" s="476"/>
      <c r="T24" s="477"/>
      <c r="U24" s="475"/>
      <c r="V24" s="476"/>
      <c r="W24" s="476"/>
      <c r="X24" s="477"/>
      <c r="Y24" s="475"/>
      <c r="Z24" s="476"/>
      <c r="AA24" s="476"/>
      <c r="AB24" s="477"/>
      <c r="AC24" s="475"/>
      <c r="AD24" s="476"/>
      <c r="AE24" s="476"/>
      <c r="AF24" s="477"/>
      <c r="AG24" s="475"/>
      <c r="AH24" s="476"/>
      <c r="AI24" s="476"/>
      <c r="AJ24" s="477"/>
    </row>
    <row r="25" spans="1:36" s="204" customFormat="1" ht="15.75" customHeight="1">
      <c r="A25" s="465">
        <v>7</v>
      </c>
      <c r="B25" s="737" t="s">
        <v>1603</v>
      </c>
      <c r="C25" s="738"/>
      <c r="D25" s="478"/>
      <c r="E25" s="475"/>
      <c r="F25" s="476"/>
      <c r="G25" s="476"/>
      <c r="H25" s="477"/>
      <c r="I25" s="475"/>
      <c r="J25" s="476"/>
      <c r="K25" s="476"/>
      <c r="L25" s="477"/>
      <c r="M25" s="475"/>
      <c r="N25" s="476"/>
      <c r="O25" s="476"/>
      <c r="P25" s="477"/>
      <c r="Q25" s="475"/>
      <c r="R25" s="476"/>
      <c r="S25" s="476"/>
      <c r="T25" s="477"/>
      <c r="U25" s="475"/>
      <c r="V25" s="476"/>
      <c r="W25" s="476"/>
      <c r="X25" s="477"/>
      <c r="Y25" s="475"/>
      <c r="Z25" s="476"/>
      <c r="AA25" s="476"/>
      <c r="AB25" s="477"/>
      <c r="AC25" s="475"/>
      <c r="AD25" s="476"/>
      <c r="AE25" s="476"/>
      <c r="AF25" s="477"/>
      <c r="AG25" s="475"/>
      <c r="AH25" s="476"/>
      <c r="AI25" s="476"/>
      <c r="AJ25" s="477"/>
    </row>
    <row r="26" spans="1:36" s="204" customFormat="1" ht="15.75" customHeight="1">
      <c r="A26" s="465">
        <v>8</v>
      </c>
      <c r="B26" s="737" t="s">
        <v>1602</v>
      </c>
      <c r="C26" s="738"/>
      <c r="D26" s="478"/>
      <c r="E26" s="475"/>
      <c r="F26" s="476"/>
      <c r="G26" s="476"/>
      <c r="H26" s="477"/>
      <c r="I26" s="475"/>
      <c r="J26" s="476"/>
      <c r="K26" s="476"/>
      <c r="L26" s="477"/>
      <c r="M26" s="475"/>
      <c r="N26" s="476"/>
      <c r="O26" s="476"/>
      <c r="P26" s="477"/>
      <c r="Q26" s="475"/>
      <c r="R26" s="476"/>
      <c r="S26" s="476"/>
      <c r="T26" s="477"/>
      <c r="U26" s="475"/>
      <c r="V26" s="476"/>
      <c r="W26" s="476"/>
      <c r="X26" s="477"/>
      <c r="Y26" s="475"/>
      <c r="Z26" s="476"/>
      <c r="AA26" s="476"/>
      <c r="AB26" s="477"/>
      <c r="AC26" s="475"/>
      <c r="AD26" s="476"/>
      <c r="AE26" s="476"/>
      <c r="AF26" s="477"/>
      <c r="AG26" s="475"/>
      <c r="AH26" s="476"/>
      <c r="AI26" s="476"/>
      <c r="AJ26" s="477"/>
    </row>
    <row r="27" spans="1:36" s="204" customFormat="1" ht="15.75" customHeight="1">
      <c r="A27" s="465">
        <v>9</v>
      </c>
      <c r="B27" s="2828" t="s">
        <v>593</v>
      </c>
      <c r="C27" s="2829"/>
      <c r="D27" s="478"/>
      <c r="E27" s="475"/>
      <c r="F27" s="476"/>
      <c r="G27" s="476"/>
      <c r="H27" s="477"/>
      <c r="I27" s="475"/>
      <c r="J27" s="476"/>
      <c r="K27" s="476"/>
      <c r="L27" s="477"/>
      <c r="M27" s="475"/>
      <c r="N27" s="476"/>
      <c r="O27" s="476"/>
      <c r="P27" s="477"/>
      <c r="Q27" s="475"/>
      <c r="R27" s="476"/>
      <c r="S27" s="476"/>
      <c r="T27" s="477"/>
      <c r="U27" s="475"/>
      <c r="V27" s="476"/>
      <c r="W27" s="476"/>
      <c r="X27" s="477"/>
      <c r="Y27" s="475"/>
      <c r="Z27" s="476"/>
      <c r="AA27" s="476"/>
      <c r="AB27" s="477"/>
      <c r="AC27" s="475"/>
      <c r="AD27" s="476"/>
      <c r="AE27" s="476"/>
      <c r="AF27" s="477"/>
      <c r="AG27" s="475"/>
      <c r="AH27" s="476"/>
      <c r="AI27" s="476"/>
      <c r="AJ27" s="477"/>
    </row>
    <row r="28" spans="1:36" ht="15.75" customHeight="1">
      <c r="A28" s="465">
        <v>10</v>
      </c>
      <c r="B28" s="2830" t="s">
        <v>594</v>
      </c>
      <c r="C28" s="2831"/>
      <c r="D28" s="542"/>
      <c r="E28" s="458"/>
      <c r="F28" s="541"/>
      <c r="G28" s="541"/>
      <c r="H28" s="216"/>
      <c r="I28" s="458"/>
      <c r="J28" s="541"/>
      <c r="K28" s="541"/>
      <c r="L28" s="216"/>
      <c r="M28" s="458"/>
      <c r="N28" s="541"/>
      <c r="O28" s="541"/>
      <c r="P28" s="216"/>
      <c r="Q28" s="458"/>
      <c r="R28" s="541"/>
      <c r="S28" s="541"/>
      <c r="T28" s="216"/>
      <c r="U28" s="458"/>
      <c r="V28" s="541"/>
      <c r="W28" s="541"/>
      <c r="X28" s="216"/>
      <c r="Y28" s="458"/>
      <c r="Z28" s="541"/>
      <c r="AA28" s="541"/>
      <c r="AB28" s="216"/>
      <c r="AC28" s="458"/>
      <c r="AD28" s="541"/>
      <c r="AE28" s="541"/>
      <c r="AF28" s="216"/>
      <c r="AG28" s="458"/>
      <c r="AH28" s="541"/>
      <c r="AI28" s="541"/>
      <c r="AJ28" s="216"/>
    </row>
    <row r="29" spans="1:36" ht="13.5" customHeight="1" thickBot="1">
      <c r="A29" s="465"/>
      <c r="B29" s="467"/>
      <c r="C29" s="207"/>
      <c r="D29" s="207"/>
      <c r="E29" s="207"/>
      <c r="F29" s="207"/>
      <c r="G29" s="207"/>
      <c r="H29" s="207"/>
      <c r="I29" s="207"/>
      <c r="J29" s="207"/>
      <c r="K29" s="207"/>
      <c r="L29" s="207"/>
      <c r="M29" s="207"/>
      <c r="N29" s="207"/>
      <c r="O29" s="207"/>
      <c r="P29" s="207"/>
      <c r="Q29" s="207"/>
      <c r="R29" s="207"/>
      <c r="S29" s="207"/>
      <c r="T29" s="207"/>
      <c r="U29" s="207"/>
      <c r="V29" s="207"/>
      <c r="W29" s="207"/>
      <c r="X29" s="207"/>
      <c r="Y29" s="207"/>
      <c r="Z29" s="207"/>
      <c r="AA29" s="207"/>
      <c r="AB29" s="207"/>
      <c r="AC29" s="207"/>
      <c r="AD29" s="207"/>
      <c r="AE29" s="207"/>
      <c r="AF29" s="207"/>
      <c r="AG29" s="207"/>
      <c r="AH29" s="207"/>
      <c r="AI29" s="207"/>
      <c r="AJ29" s="207"/>
    </row>
    <row r="30" spans="1:36" ht="12" customHeight="1">
      <c r="A30" s="5208" t="s">
        <v>723</v>
      </c>
      <c r="B30" s="5208"/>
      <c r="C30" s="5207" t="s">
        <v>1560</v>
      </c>
      <c r="D30" s="5207"/>
      <c r="E30" s="5207"/>
      <c r="F30" s="5207"/>
      <c r="G30" s="5207"/>
      <c r="H30" s="5207"/>
      <c r="I30" s="5207"/>
      <c r="J30" s="5207"/>
      <c r="K30" s="5207"/>
      <c r="L30" s="5207"/>
      <c r="M30" s="5207"/>
      <c r="N30" s="5207"/>
      <c r="O30" s="5207"/>
      <c r="P30" s="5207"/>
      <c r="Q30" s="5207"/>
      <c r="R30" s="5207"/>
      <c r="S30" s="5207"/>
      <c r="T30" s="5207"/>
      <c r="U30" s="5217" t="s">
        <v>351</v>
      </c>
      <c r="V30" s="5217"/>
      <c r="W30" s="5217"/>
      <c r="X30" s="5217"/>
      <c r="Y30" s="5218"/>
      <c r="Z30" s="5218"/>
      <c r="AA30" s="5218"/>
      <c r="AB30" s="5218"/>
      <c r="AC30" s="5218"/>
      <c r="AD30" s="5218"/>
      <c r="AE30" s="5218"/>
      <c r="AF30" s="5218"/>
      <c r="AG30" s="5217"/>
      <c r="AH30" s="5217"/>
      <c r="AJ30" s="546"/>
    </row>
    <row r="31" spans="1:36" ht="29.25" customHeight="1" thickBot="1">
      <c r="A31" s="465"/>
      <c r="B31" s="464"/>
      <c r="C31" s="5207"/>
      <c r="D31" s="5207"/>
      <c r="E31" s="5207"/>
      <c r="F31" s="5207"/>
      <c r="G31" s="5207"/>
      <c r="H31" s="5207"/>
      <c r="I31" s="5207"/>
      <c r="J31" s="5207"/>
      <c r="K31" s="5207"/>
      <c r="L31" s="5207"/>
      <c r="M31" s="5207"/>
      <c r="N31" s="5207"/>
      <c r="O31" s="5207"/>
      <c r="P31" s="5207"/>
      <c r="Q31" s="5207"/>
      <c r="R31" s="5207"/>
      <c r="S31" s="5207"/>
      <c r="T31" s="5207"/>
      <c r="U31" s="5219" t="s">
        <v>724</v>
      </c>
      <c r="V31" s="5219"/>
      <c r="W31" s="5217"/>
      <c r="X31" s="5217"/>
      <c r="Y31" s="5218"/>
      <c r="Z31" s="5218"/>
      <c r="AA31" s="5218"/>
      <c r="AB31" s="5218"/>
      <c r="AC31" s="5218"/>
      <c r="AD31" s="5218"/>
      <c r="AE31" s="5218"/>
      <c r="AF31" s="5218"/>
      <c r="AG31" s="5217"/>
      <c r="AH31" s="5217"/>
      <c r="AJ31" s="547"/>
    </row>
    <row r="32" spans="1:36" ht="12" customHeight="1">
      <c r="A32" s="465"/>
      <c r="B32" s="213"/>
      <c r="C32" s="461"/>
      <c r="D32" s="461"/>
      <c r="E32" s="5204"/>
      <c r="F32" s="5204"/>
      <c r="G32" s="5204"/>
      <c r="H32" s="5204"/>
      <c r="I32" s="5204"/>
      <c r="J32" s="5204"/>
      <c r="K32" s="5148">
        <v>7.23</v>
      </c>
      <c r="L32" s="5149"/>
      <c r="M32" s="5149"/>
      <c r="N32" s="5149"/>
      <c r="O32" s="5149"/>
      <c r="P32" s="5149"/>
      <c r="Q32" s="5149"/>
      <c r="R32" s="5149"/>
      <c r="S32" s="5149"/>
      <c r="T32" s="5149"/>
      <c r="U32" s="5149"/>
      <c r="V32" s="5150"/>
      <c r="W32" s="207"/>
      <c r="X32" s="207"/>
      <c r="Y32" s="207"/>
      <c r="Z32" s="207"/>
      <c r="AA32" s="207"/>
      <c r="AB32" s="207"/>
      <c r="AC32" s="207"/>
      <c r="AD32" s="207"/>
      <c r="AE32" s="207"/>
      <c r="AF32" s="207"/>
      <c r="AG32" s="207"/>
      <c r="AH32" s="207"/>
      <c r="AI32" s="207"/>
      <c r="AJ32" s="207"/>
    </row>
    <row r="33" spans="1:40" ht="14.25" customHeight="1">
      <c r="A33" s="465"/>
      <c r="B33" s="466"/>
      <c r="C33" s="470"/>
      <c r="D33" s="470"/>
      <c r="E33" s="5205"/>
      <c r="F33" s="5205"/>
      <c r="G33" s="5205"/>
      <c r="H33" s="5205"/>
      <c r="I33" s="5205"/>
      <c r="J33" s="5205"/>
      <c r="K33" s="5211" t="s">
        <v>1465</v>
      </c>
      <c r="L33" s="5212"/>
      <c r="M33" s="5212"/>
      <c r="N33" s="5212"/>
      <c r="O33" s="5212"/>
      <c r="P33" s="5212"/>
      <c r="Q33" s="5212"/>
      <c r="R33" s="5212"/>
      <c r="S33" s="5212"/>
      <c r="T33" s="5212"/>
      <c r="U33" s="5212"/>
      <c r="V33" s="5213"/>
      <c r="W33" s="468"/>
      <c r="X33" s="468"/>
      <c r="Y33" s="1144"/>
      <c r="Z33" s="1144"/>
      <c r="AA33" s="1144"/>
      <c r="AB33" s="1144"/>
      <c r="AC33" s="1144"/>
      <c r="AD33" s="1144"/>
      <c r="AE33" s="1144"/>
      <c r="AF33" s="1144"/>
      <c r="AG33" s="468"/>
      <c r="AH33" s="468"/>
      <c r="AJ33" s="207"/>
    </row>
    <row r="34" spans="1:40" ht="14.25" customHeight="1">
      <c r="A34" s="465"/>
      <c r="B34" s="208"/>
      <c r="C34" s="506"/>
      <c r="D34" s="209"/>
      <c r="E34" s="5206"/>
      <c r="F34" s="5206"/>
      <c r="G34" s="5206"/>
      <c r="H34" s="5206"/>
      <c r="I34" s="5206"/>
      <c r="J34" s="5206"/>
      <c r="K34" s="5214"/>
      <c r="L34" s="5215"/>
      <c r="M34" s="5215"/>
      <c r="N34" s="5215"/>
      <c r="O34" s="5215"/>
      <c r="P34" s="5215"/>
      <c r="Q34" s="5215"/>
      <c r="R34" s="5215"/>
      <c r="S34" s="5215"/>
      <c r="T34" s="5215"/>
      <c r="U34" s="5215"/>
      <c r="V34" s="5216"/>
      <c r="W34" s="468"/>
      <c r="X34" s="468"/>
      <c r="Y34" s="1144"/>
      <c r="Z34" s="1144"/>
      <c r="AA34" s="1144"/>
      <c r="AB34" s="1144"/>
      <c r="AC34" s="1144"/>
      <c r="AD34" s="1144"/>
      <c r="AE34" s="1144"/>
      <c r="AF34" s="1144"/>
      <c r="AG34" s="468"/>
      <c r="AH34" s="468"/>
      <c r="AJ34" s="207"/>
    </row>
    <row r="35" spans="1:40" ht="14.25" customHeight="1">
      <c r="A35" s="465"/>
      <c r="B35" s="208"/>
      <c r="C35" s="506"/>
      <c r="D35" s="209"/>
      <c r="E35" s="2565"/>
      <c r="F35" s="2565"/>
      <c r="G35" s="2565"/>
      <c r="H35" s="2565"/>
      <c r="I35" s="2565"/>
      <c r="J35" s="2565"/>
      <c r="K35" s="5214"/>
      <c r="L35" s="5215"/>
      <c r="M35" s="5215"/>
      <c r="N35" s="5215"/>
      <c r="O35" s="5215"/>
      <c r="P35" s="5215"/>
      <c r="Q35" s="5215"/>
      <c r="R35" s="5215"/>
      <c r="S35" s="5215"/>
      <c r="T35" s="5215"/>
      <c r="U35" s="5215"/>
      <c r="V35" s="5216"/>
      <c r="W35" s="1144"/>
      <c r="X35" s="1144"/>
      <c r="Y35" s="1144"/>
      <c r="Z35" s="1144"/>
      <c r="AA35" s="1144"/>
      <c r="AB35" s="1144"/>
      <c r="AC35" s="1144"/>
      <c r="AD35" s="1144"/>
      <c r="AE35" s="1144"/>
      <c r="AF35" s="1144"/>
      <c r="AG35" s="1144"/>
      <c r="AH35" s="1144"/>
      <c r="AJ35" s="207"/>
    </row>
    <row r="36" spans="1:40" ht="12" customHeight="1">
      <c r="A36" s="465"/>
      <c r="B36" s="213"/>
      <c r="C36" s="2564" t="s">
        <v>62</v>
      </c>
      <c r="D36" s="461"/>
      <c r="E36" s="2588"/>
      <c r="F36" s="2588"/>
      <c r="G36" s="2588"/>
      <c r="H36" s="2588"/>
      <c r="I36" s="2588"/>
      <c r="J36" s="2588"/>
      <c r="K36" s="2589"/>
      <c r="L36" s="2590"/>
      <c r="M36" s="2590"/>
      <c r="N36" s="2590"/>
      <c r="O36" s="2590"/>
      <c r="P36" s="5196" t="s">
        <v>219</v>
      </c>
      <c r="Q36" s="5196"/>
      <c r="R36" s="2590"/>
      <c r="S36" s="2590"/>
      <c r="T36" s="2590"/>
      <c r="U36" s="2590"/>
      <c r="V36" s="2591"/>
      <c r="W36" s="468"/>
      <c r="X36" s="468"/>
      <c r="Y36" s="1144"/>
      <c r="Z36" s="1144"/>
      <c r="AA36" s="1144"/>
      <c r="AB36" s="1144"/>
      <c r="AC36" s="1144"/>
      <c r="AD36" s="1144"/>
      <c r="AE36" s="1144"/>
      <c r="AF36" s="1144"/>
      <c r="AG36" s="468"/>
      <c r="AH36" s="468"/>
      <c r="AJ36" s="207"/>
    </row>
    <row r="37" spans="1:40" ht="15" customHeight="1">
      <c r="A37" s="465">
        <v>1</v>
      </c>
      <c r="B37" s="2832" t="s">
        <v>1558</v>
      </c>
      <c r="C37" s="2833"/>
      <c r="D37" s="2834"/>
      <c r="E37" s="549"/>
      <c r="F37" s="549"/>
      <c r="G37" s="549"/>
      <c r="H37" s="549"/>
      <c r="I37" s="549"/>
      <c r="J37" s="549"/>
      <c r="K37" s="5220"/>
      <c r="L37" s="5221"/>
      <c r="M37" s="5221"/>
      <c r="N37" s="5221"/>
      <c r="O37" s="5221"/>
      <c r="P37" s="5221"/>
      <c r="Q37" s="5221"/>
      <c r="R37" s="5221"/>
      <c r="S37" s="5221"/>
      <c r="T37" s="5221"/>
      <c r="U37" s="5221"/>
      <c r="V37" s="5222"/>
      <c r="W37" s="207"/>
      <c r="X37" s="207"/>
      <c r="Y37" s="207"/>
      <c r="Z37" s="207"/>
      <c r="AA37" s="207"/>
      <c r="AB37" s="207"/>
      <c r="AC37" s="207"/>
      <c r="AD37" s="207"/>
      <c r="AE37" s="207"/>
      <c r="AF37" s="207"/>
      <c r="AG37" s="207"/>
      <c r="AH37" s="207"/>
      <c r="AI37" s="207"/>
      <c r="AJ37" s="207"/>
    </row>
    <row r="38" spans="1:40" ht="15" customHeight="1">
      <c r="A38" s="465">
        <v>2</v>
      </c>
      <c r="B38" s="2832" t="s">
        <v>1559</v>
      </c>
      <c r="C38" s="2829"/>
      <c r="D38" s="2835"/>
      <c r="E38" s="476"/>
      <c r="F38" s="461"/>
      <c r="G38" s="461"/>
      <c r="H38" s="461"/>
      <c r="I38" s="461"/>
      <c r="J38" s="461"/>
      <c r="K38" s="5223"/>
      <c r="L38" s="5224"/>
      <c r="M38" s="5224"/>
      <c r="N38" s="5224"/>
      <c r="O38" s="5224"/>
      <c r="P38" s="5224"/>
      <c r="Q38" s="5224"/>
      <c r="R38" s="5224"/>
      <c r="S38" s="5224"/>
      <c r="T38" s="5224"/>
      <c r="U38" s="5224"/>
      <c r="V38" s="5225"/>
      <c r="W38" s="207"/>
      <c r="X38" s="207"/>
      <c r="Y38" s="207"/>
      <c r="Z38" s="207"/>
      <c r="AA38" s="207"/>
      <c r="AB38" s="207"/>
      <c r="AC38" s="207"/>
      <c r="AD38" s="207"/>
      <c r="AE38" s="207"/>
      <c r="AF38" s="207"/>
      <c r="AG38" s="207"/>
      <c r="AH38" s="207"/>
      <c r="AI38" s="207"/>
      <c r="AJ38" s="207"/>
    </row>
    <row r="39" spans="1:40" ht="7.5" customHeight="1" thickBot="1">
      <c r="B39" s="467"/>
      <c r="C39" s="206"/>
      <c r="D39" s="206"/>
      <c r="E39" s="206"/>
      <c r="F39" s="209"/>
      <c r="G39" s="209"/>
      <c r="H39" s="209"/>
      <c r="I39" s="209"/>
      <c r="J39" s="209"/>
      <c r="K39" s="207"/>
      <c r="L39" s="207"/>
      <c r="M39" s="469"/>
      <c r="N39" s="469"/>
      <c r="O39" s="469"/>
      <c r="P39" s="469"/>
      <c r="Q39" s="469"/>
      <c r="R39" s="469"/>
      <c r="S39" s="469"/>
      <c r="T39" s="469"/>
      <c r="U39" s="469"/>
      <c r="V39" s="469"/>
      <c r="W39" s="207"/>
      <c r="X39" s="207"/>
      <c r="Y39" s="207"/>
      <c r="Z39" s="207"/>
      <c r="AA39" s="207"/>
      <c r="AB39" s="207"/>
      <c r="AC39" s="207"/>
      <c r="AD39" s="207"/>
      <c r="AE39" s="207"/>
      <c r="AF39" s="207"/>
      <c r="AG39" s="207"/>
      <c r="AH39" s="207"/>
      <c r="AI39" s="207"/>
      <c r="AJ39" s="207"/>
    </row>
    <row r="40" spans="1:40" ht="13.5" customHeight="1">
      <c r="A40" s="5208">
        <v>7.24</v>
      </c>
      <c r="B40" s="5208"/>
      <c r="C40" s="5197" t="s">
        <v>1593</v>
      </c>
      <c r="D40" s="5197"/>
      <c r="E40" s="5197"/>
      <c r="F40" s="5197"/>
      <c r="G40" s="5197"/>
      <c r="H40" s="5197"/>
      <c r="I40" s="5197"/>
      <c r="J40" s="5197"/>
      <c r="K40" s="5197"/>
      <c r="L40" s="5197"/>
      <c r="M40" s="5197"/>
      <c r="N40" s="5197"/>
      <c r="O40" s="5197"/>
      <c r="P40" s="5197"/>
      <c r="Q40" s="5197"/>
      <c r="R40" s="5197"/>
      <c r="S40" s="5197"/>
      <c r="T40" s="5197"/>
      <c r="U40" s="5197"/>
      <c r="V40" s="2763"/>
      <c r="X40" s="5201" t="s">
        <v>351</v>
      </c>
      <c r="Y40" s="5201"/>
      <c r="Z40" s="5201"/>
      <c r="AA40" s="5201"/>
      <c r="AB40" s="5201"/>
      <c r="AC40" s="5201"/>
      <c r="AD40" s="2507"/>
      <c r="AE40" s="2507"/>
      <c r="AF40" s="2507"/>
      <c r="AG40" s="2507"/>
      <c r="AH40" s="2507"/>
      <c r="AI40" s="2508"/>
      <c r="AJ40" s="546"/>
    </row>
    <row r="41" spans="1:40" ht="13.5" customHeight="1" thickBot="1">
      <c r="A41" s="463"/>
      <c r="B41" s="463"/>
      <c r="C41" s="2763"/>
      <c r="D41" s="2763"/>
      <c r="E41" s="2763"/>
      <c r="F41" s="2763"/>
      <c r="G41" s="2763"/>
      <c r="H41" s="2763"/>
      <c r="I41" s="2763"/>
      <c r="J41" s="2763"/>
      <c r="K41" s="2763"/>
      <c r="L41" s="2763"/>
      <c r="M41" s="2763"/>
      <c r="N41" s="2763"/>
      <c r="O41" s="2763"/>
      <c r="P41" s="2763"/>
      <c r="Q41" s="2763"/>
      <c r="R41" s="2763"/>
      <c r="S41" s="2763"/>
      <c r="T41" s="2763"/>
      <c r="U41" s="2763"/>
      <c r="V41" s="2763"/>
      <c r="X41" s="5137" t="s">
        <v>1467</v>
      </c>
      <c r="Y41" s="5137"/>
      <c r="Z41" s="5137"/>
      <c r="AA41" s="5137"/>
      <c r="AB41" s="5137"/>
      <c r="AC41" s="5137"/>
      <c r="AD41" s="5137"/>
      <c r="AE41" s="5137"/>
      <c r="AF41" s="5137"/>
      <c r="AG41" s="5137"/>
      <c r="AH41" s="2509"/>
      <c r="AI41" s="2510"/>
      <c r="AJ41" s="1153"/>
      <c r="AK41" s="457"/>
      <c r="AL41" s="457"/>
      <c r="AM41" s="457"/>
      <c r="AN41" s="457"/>
    </row>
    <row r="42" spans="1:40" ht="5.25" customHeight="1">
      <c r="A42" s="463"/>
      <c r="B42" s="463"/>
      <c r="C42" s="505"/>
      <c r="D42" s="505"/>
      <c r="E42" s="505"/>
      <c r="F42" s="505"/>
      <c r="G42" s="505"/>
      <c r="H42" s="505"/>
      <c r="I42" s="505"/>
      <c r="J42" s="505"/>
      <c r="K42" s="505"/>
      <c r="L42" s="505"/>
      <c r="M42" s="505"/>
      <c r="N42" s="505"/>
      <c r="O42" s="505"/>
      <c r="P42" s="505"/>
      <c r="Q42" s="505"/>
      <c r="R42" s="468"/>
      <c r="S42" s="468"/>
      <c r="T42" s="468"/>
      <c r="U42" s="468"/>
      <c r="V42" s="468"/>
      <c r="W42" s="468"/>
      <c r="X42" s="468"/>
      <c r="Y42" s="1144"/>
      <c r="Z42" s="1144"/>
      <c r="AA42" s="1144"/>
      <c r="AB42" s="1144"/>
      <c r="AC42" s="1144"/>
      <c r="AD42" s="1144"/>
      <c r="AE42" s="1144"/>
      <c r="AF42" s="1144"/>
      <c r="AG42" s="468"/>
      <c r="AH42" s="468"/>
      <c r="AI42" s="468"/>
      <c r="AJ42" s="207"/>
    </row>
    <row r="43" spans="1:40" ht="12" customHeight="1">
      <c r="B43" s="213"/>
      <c r="C43" s="461"/>
      <c r="D43" s="461"/>
      <c r="E43" s="5204"/>
      <c r="F43" s="5204"/>
      <c r="G43" s="5204"/>
      <c r="H43" s="5204"/>
      <c r="I43" s="5204"/>
      <c r="J43" s="5204"/>
      <c r="K43" s="739"/>
      <c r="L43" s="739"/>
      <c r="M43" s="541"/>
      <c r="N43" s="541"/>
      <c r="O43" s="541"/>
      <c r="P43" s="541"/>
      <c r="Q43" s="541"/>
      <c r="R43" s="541"/>
      <c r="S43" s="5148">
        <v>7.25</v>
      </c>
      <c r="T43" s="5149"/>
      <c r="U43" s="5149"/>
      <c r="V43" s="5149"/>
      <c r="W43" s="5149"/>
      <c r="X43" s="5149"/>
      <c r="Y43" s="5149"/>
      <c r="Z43" s="5149"/>
      <c r="AA43" s="5149"/>
      <c r="AB43" s="5149"/>
      <c r="AC43" s="5149"/>
      <c r="AD43" s="5149"/>
      <c r="AE43" s="5149"/>
      <c r="AF43" s="5150"/>
    </row>
    <row r="44" spans="1:40" ht="24.75" customHeight="1">
      <c r="B44" s="208"/>
      <c r="C44" s="209"/>
      <c r="D44" s="209"/>
      <c r="E44" s="1152"/>
      <c r="F44" s="1152"/>
      <c r="G44" s="1152"/>
      <c r="H44" s="1152"/>
      <c r="I44" s="1152"/>
      <c r="J44" s="1152"/>
      <c r="K44" s="1143"/>
      <c r="L44" s="1143"/>
      <c r="M44" s="207"/>
      <c r="N44" s="207"/>
      <c r="O44" s="207"/>
      <c r="P44" s="207"/>
      <c r="Q44" s="207"/>
      <c r="R44" s="207"/>
      <c r="S44" s="5235" t="s">
        <v>1466</v>
      </c>
      <c r="T44" s="5236"/>
      <c r="U44" s="5236"/>
      <c r="V44" s="5236"/>
      <c r="W44" s="5236"/>
      <c r="X44" s="5236"/>
      <c r="Y44" s="5236"/>
      <c r="Z44" s="5236"/>
      <c r="AA44" s="5236"/>
      <c r="AB44" s="5236"/>
      <c r="AC44" s="5236"/>
      <c r="AD44" s="5236"/>
      <c r="AE44" s="5236"/>
      <c r="AF44" s="5237"/>
    </row>
    <row r="45" spans="1:40" ht="13.5" customHeight="1">
      <c r="B45" s="208"/>
      <c r="I45" s="2565"/>
      <c r="J45" s="2565"/>
      <c r="K45" s="2565"/>
      <c r="L45" s="2565"/>
      <c r="M45" s="207"/>
      <c r="N45" s="207"/>
      <c r="O45" s="207"/>
      <c r="P45" s="207"/>
      <c r="Q45" s="207"/>
      <c r="R45" s="207"/>
      <c r="S45" s="5238"/>
      <c r="T45" s="5239"/>
      <c r="U45" s="5239"/>
      <c r="V45" s="5239"/>
      <c r="W45" s="5239"/>
      <c r="X45" s="5239"/>
      <c r="Y45" s="5239"/>
      <c r="Z45" s="5239"/>
      <c r="AA45" s="5239"/>
      <c r="AB45" s="5239"/>
      <c r="AC45" s="5239"/>
      <c r="AD45" s="5239"/>
      <c r="AE45" s="5239"/>
      <c r="AF45" s="5240"/>
    </row>
    <row r="46" spans="1:40" ht="13.5" customHeight="1">
      <c r="B46" s="213"/>
      <c r="C46" s="5128" t="s">
        <v>62</v>
      </c>
      <c r="D46" s="5128"/>
      <c r="E46" s="5128"/>
      <c r="F46" s="5128"/>
      <c r="G46" s="5128"/>
      <c r="H46" s="5128"/>
      <c r="I46" s="2588"/>
      <c r="J46" s="2588"/>
      <c r="K46" s="2588"/>
      <c r="L46" s="2588"/>
      <c r="M46" s="541"/>
      <c r="N46" s="541"/>
      <c r="O46" s="541"/>
      <c r="P46" s="541"/>
      <c r="Q46" s="541"/>
      <c r="R46" s="541"/>
      <c r="S46" s="2592"/>
      <c r="T46" s="2593"/>
      <c r="U46" s="2593"/>
      <c r="V46" s="2593"/>
      <c r="W46" s="2593"/>
      <c r="X46" s="2593"/>
      <c r="Y46" s="5196" t="s">
        <v>219</v>
      </c>
      <c r="Z46" s="5196"/>
      <c r="AA46" s="2593"/>
      <c r="AB46" s="2593"/>
      <c r="AC46" s="2593"/>
      <c r="AD46" s="2593"/>
      <c r="AE46" s="2593"/>
      <c r="AF46" s="2594"/>
    </row>
    <row r="47" spans="1:40" ht="14.25" customHeight="1">
      <c r="A47" s="465">
        <v>1</v>
      </c>
      <c r="B47" s="545" t="s">
        <v>1600</v>
      </c>
      <c r="C47" s="548"/>
      <c r="D47" s="548"/>
      <c r="E47" s="549"/>
      <c r="F47" s="549"/>
      <c r="G47" s="549"/>
      <c r="H47" s="549"/>
      <c r="I47" s="549"/>
      <c r="J47" s="549"/>
      <c r="K47" s="549"/>
      <c r="L47" s="549"/>
      <c r="M47" s="541"/>
      <c r="N47" s="541"/>
      <c r="O47" s="541"/>
      <c r="P47" s="541"/>
      <c r="Q47" s="541"/>
      <c r="R47" s="541"/>
      <c r="S47" s="5223"/>
      <c r="T47" s="5224"/>
      <c r="U47" s="5224"/>
      <c r="V47" s="5224"/>
      <c r="W47" s="5224"/>
      <c r="X47" s="5224"/>
      <c r="Y47" s="5224"/>
      <c r="Z47" s="5224"/>
      <c r="AA47" s="5224"/>
      <c r="AB47" s="5224"/>
      <c r="AC47" s="5224"/>
      <c r="AD47" s="5224"/>
      <c r="AE47" s="5224"/>
      <c r="AF47" s="5225"/>
    </row>
    <row r="48" spans="1:40" ht="14.25" customHeight="1">
      <c r="A48" s="465">
        <v>2</v>
      </c>
      <c r="B48" s="545" t="s">
        <v>374</v>
      </c>
      <c r="C48" s="548"/>
      <c r="D48" s="548"/>
      <c r="E48" s="549"/>
      <c r="F48" s="549"/>
      <c r="G48" s="549"/>
      <c r="H48" s="549"/>
      <c r="I48" s="549"/>
      <c r="J48" s="549"/>
      <c r="K48" s="549"/>
      <c r="L48" s="549"/>
      <c r="M48" s="541"/>
      <c r="N48" s="541"/>
      <c r="O48" s="541"/>
      <c r="P48" s="541"/>
      <c r="Q48" s="541"/>
      <c r="R48" s="541"/>
      <c r="S48" s="5223"/>
      <c r="T48" s="5224"/>
      <c r="U48" s="5224"/>
      <c r="V48" s="5224"/>
      <c r="W48" s="5224"/>
      <c r="X48" s="5224"/>
      <c r="Y48" s="5224"/>
      <c r="Z48" s="5224"/>
      <c r="AA48" s="5224"/>
      <c r="AB48" s="5224"/>
      <c r="AC48" s="5224"/>
      <c r="AD48" s="5224"/>
      <c r="AE48" s="5224"/>
      <c r="AF48" s="5225"/>
    </row>
    <row r="49" spans="1:36" ht="14.25" customHeight="1">
      <c r="A49" s="465">
        <v>3</v>
      </c>
      <c r="B49" s="545" t="s">
        <v>1601</v>
      </c>
      <c r="C49" s="548"/>
      <c r="D49" s="548"/>
      <c r="E49" s="549"/>
      <c r="F49" s="549"/>
      <c r="G49" s="549"/>
      <c r="H49" s="549"/>
      <c r="I49" s="549"/>
      <c r="J49" s="549"/>
      <c r="K49" s="549"/>
      <c r="L49" s="549"/>
      <c r="M49" s="541"/>
      <c r="N49" s="541"/>
      <c r="O49" s="541"/>
      <c r="P49" s="541"/>
      <c r="Q49" s="541"/>
      <c r="R49" s="541"/>
      <c r="S49" s="5223"/>
      <c r="T49" s="5224"/>
      <c r="U49" s="5224"/>
      <c r="V49" s="5224"/>
      <c r="W49" s="5224"/>
      <c r="X49" s="5224"/>
      <c r="Y49" s="5224"/>
      <c r="Z49" s="5224"/>
      <c r="AA49" s="5224"/>
      <c r="AB49" s="5224"/>
      <c r="AC49" s="5224"/>
      <c r="AD49" s="5224"/>
      <c r="AE49" s="5224"/>
      <c r="AF49" s="5225"/>
      <c r="AG49" s="207"/>
      <c r="AH49" s="207"/>
      <c r="AI49" s="207"/>
      <c r="AJ49" s="207"/>
    </row>
    <row r="50" spans="1:36" ht="14.25" customHeight="1">
      <c r="A50" s="465">
        <v>4</v>
      </c>
      <c r="B50" s="545" t="s">
        <v>822</v>
      </c>
      <c r="C50" s="548"/>
      <c r="D50" s="548"/>
      <c r="E50" s="549"/>
      <c r="F50" s="549"/>
      <c r="G50" s="549"/>
      <c r="H50" s="549"/>
      <c r="I50" s="549"/>
      <c r="J50" s="549"/>
      <c r="K50" s="549"/>
      <c r="L50" s="549"/>
      <c r="M50" s="541"/>
      <c r="N50" s="541"/>
      <c r="O50" s="541"/>
      <c r="P50" s="541"/>
      <c r="Q50" s="541"/>
      <c r="R50" s="541"/>
      <c r="S50" s="5223"/>
      <c r="T50" s="5224"/>
      <c r="U50" s="5224"/>
      <c r="V50" s="5224"/>
      <c r="W50" s="5224"/>
      <c r="X50" s="5224"/>
      <c r="Y50" s="5224"/>
      <c r="Z50" s="5224"/>
      <c r="AA50" s="5224"/>
      <c r="AB50" s="5224"/>
      <c r="AC50" s="5224"/>
      <c r="AD50" s="5224"/>
      <c r="AE50" s="5224"/>
      <c r="AF50" s="5225"/>
      <c r="AG50" s="207"/>
      <c r="AH50" s="207"/>
      <c r="AI50" s="207"/>
      <c r="AJ50" s="207"/>
    </row>
    <row r="51" spans="1:36" ht="14.25" customHeight="1">
      <c r="A51" s="465">
        <v>5</v>
      </c>
      <c r="B51" s="545" t="s">
        <v>1607</v>
      </c>
      <c r="C51" s="548"/>
      <c r="D51" s="548"/>
      <c r="E51" s="549"/>
      <c r="F51" s="549"/>
      <c r="G51" s="549"/>
      <c r="H51" s="549"/>
      <c r="I51" s="549"/>
      <c r="J51" s="549"/>
      <c r="K51" s="549"/>
      <c r="L51" s="549"/>
      <c r="M51" s="541"/>
      <c r="N51" s="541"/>
      <c r="O51" s="541"/>
      <c r="P51" s="541"/>
      <c r="Q51" s="541"/>
      <c r="R51" s="541"/>
      <c r="S51" s="5223"/>
      <c r="T51" s="5224"/>
      <c r="U51" s="5224"/>
      <c r="V51" s="5224"/>
      <c r="W51" s="5224"/>
      <c r="X51" s="5224"/>
      <c r="Y51" s="5224"/>
      <c r="Z51" s="5224"/>
      <c r="AA51" s="5224"/>
      <c r="AB51" s="5224"/>
      <c r="AC51" s="5224"/>
      <c r="AD51" s="5224"/>
      <c r="AE51" s="5224"/>
      <c r="AF51" s="5225"/>
    </row>
    <row r="52" spans="1:36" ht="14.25" customHeight="1">
      <c r="A52" s="465">
        <v>6</v>
      </c>
      <c r="B52" s="545" t="s">
        <v>375</v>
      </c>
      <c r="C52" s="548"/>
      <c r="D52" s="548"/>
      <c r="E52" s="549"/>
      <c r="F52" s="549"/>
      <c r="G52" s="549"/>
      <c r="H52" s="549"/>
      <c r="I52" s="549"/>
      <c r="J52" s="549"/>
      <c r="K52" s="549"/>
      <c r="L52" s="549"/>
      <c r="M52" s="541"/>
      <c r="N52" s="541"/>
      <c r="O52" s="541"/>
      <c r="P52" s="541"/>
      <c r="Q52" s="541"/>
      <c r="R52" s="541"/>
      <c r="S52" s="5223"/>
      <c r="T52" s="5224"/>
      <c r="U52" s="5224"/>
      <c r="V52" s="5224"/>
      <c r="W52" s="5224"/>
      <c r="X52" s="5224"/>
      <c r="Y52" s="5224"/>
      <c r="Z52" s="5224"/>
      <c r="AA52" s="5224"/>
      <c r="AB52" s="5224"/>
      <c r="AC52" s="5224"/>
      <c r="AD52" s="5224"/>
      <c r="AE52" s="5224"/>
      <c r="AF52" s="5225"/>
    </row>
    <row r="53" spans="1:36" ht="12.75" customHeight="1">
      <c r="A53" s="465">
        <v>7</v>
      </c>
      <c r="B53" s="545" t="s">
        <v>725</v>
      </c>
      <c r="C53" s="548"/>
      <c r="D53" s="548"/>
      <c r="E53" s="549"/>
      <c r="F53" s="549"/>
      <c r="G53" s="549"/>
      <c r="H53" s="549"/>
      <c r="I53" s="549"/>
      <c r="J53" s="549"/>
      <c r="K53" s="549"/>
      <c r="L53" s="549"/>
      <c r="M53" s="541"/>
      <c r="N53" s="541"/>
      <c r="O53" s="541"/>
      <c r="P53" s="541"/>
      <c r="Q53" s="541"/>
      <c r="R53" s="541"/>
      <c r="S53" s="5223"/>
      <c r="T53" s="5224"/>
      <c r="U53" s="5224"/>
      <c r="V53" s="5224"/>
      <c r="W53" s="5224"/>
      <c r="X53" s="5224"/>
      <c r="Y53" s="5224"/>
      <c r="Z53" s="5224"/>
      <c r="AA53" s="5224"/>
      <c r="AB53" s="5224"/>
      <c r="AC53" s="5224"/>
      <c r="AD53" s="5224"/>
      <c r="AE53" s="5224"/>
      <c r="AF53" s="5225"/>
    </row>
    <row r="54" spans="1:36" ht="12.75" customHeight="1">
      <c r="A54" s="465">
        <v>8</v>
      </c>
      <c r="B54" s="545" t="s">
        <v>519</v>
      </c>
      <c r="C54" s="548"/>
      <c r="D54" s="548"/>
      <c r="E54" s="549"/>
      <c r="F54" s="549"/>
      <c r="G54" s="549"/>
      <c r="H54" s="549"/>
      <c r="I54" s="549"/>
      <c r="J54" s="549"/>
      <c r="K54" s="549"/>
      <c r="L54" s="549"/>
      <c r="M54" s="541"/>
      <c r="N54" s="541"/>
      <c r="O54" s="541"/>
      <c r="P54" s="541"/>
      <c r="Q54" s="541"/>
      <c r="R54" s="541"/>
      <c r="S54" s="5223"/>
      <c r="T54" s="5224"/>
      <c r="U54" s="5224"/>
      <c r="V54" s="5224"/>
      <c r="W54" s="5224"/>
      <c r="X54" s="5224"/>
      <c r="Y54" s="5224"/>
      <c r="Z54" s="5224"/>
      <c r="AA54" s="5224"/>
      <c r="AB54" s="5224"/>
      <c r="AC54" s="5224"/>
      <c r="AD54" s="5224"/>
      <c r="AE54" s="5224"/>
      <c r="AF54" s="5225"/>
    </row>
    <row r="55" spans="1:36">
      <c r="B55" s="214"/>
      <c r="C55" s="1408"/>
      <c r="D55" s="1408"/>
      <c r="E55" s="1408"/>
      <c r="F55" s="1408"/>
      <c r="G55" s="1408"/>
      <c r="H55" s="1408"/>
      <c r="I55" s="1408"/>
      <c r="J55" s="1408"/>
      <c r="K55" s="1408"/>
      <c r="L55" s="1408"/>
      <c r="M55" s="207"/>
      <c r="N55" s="207"/>
      <c r="O55" s="207"/>
      <c r="P55" s="207"/>
      <c r="Q55" s="207"/>
      <c r="R55" s="207"/>
      <c r="S55" s="207"/>
    </row>
    <row r="56" spans="1:36">
      <c r="B56" s="214"/>
      <c r="C56" s="207"/>
      <c r="D56" s="207"/>
      <c r="E56" s="207"/>
      <c r="F56" s="207"/>
      <c r="G56" s="207"/>
      <c r="H56" s="207"/>
      <c r="I56" s="207"/>
      <c r="J56" s="207"/>
      <c r="K56" s="207"/>
      <c r="L56" s="207"/>
      <c r="M56" s="207"/>
      <c r="N56" s="207"/>
      <c r="O56" s="207"/>
      <c r="P56" s="207"/>
      <c r="Q56" s="207"/>
      <c r="R56" s="207"/>
      <c r="S56" s="207"/>
    </row>
    <row r="57" spans="1:36">
      <c r="B57" s="214"/>
      <c r="C57" s="207"/>
      <c r="D57" s="207"/>
      <c r="E57" s="207"/>
      <c r="F57" s="207"/>
      <c r="G57" s="207"/>
      <c r="H57" s="207"/>
      <c r="I57" s="207"/>
      <c r="J57" s="207"/>
      <c r="K57" s="207"/>
      <c r="L57" s="207"/>
      <c r="M57" s="207"/>
      <c r="N57" s="207"/>
      <c r="O57" s="207"/>
      <c r="P57" s="207"/>
      <c r="Q57" s="207"/>
      <c r="R57" s="207"/>
      <c r="S57" s="207"/>
    </row>
    <row r="58" spans="1:36">
      <c r="B58" s="215"/>
      <c r="C58" s="207"/>
      <c r="D58" s="207"/>
      <c r="E58" s="207"/>
      <c r="F58" s="207"/>
      <c r="G58" s="207"/>
      <c r="H58" s="207"/>
      <c r="I58" s="207"/>
      <c r="J58" s="207"/>
      <c r="K58" s="207"/>
      <c r="L58" s="207"/>
      <c r="M58" s="207"/>
      <c r="N58" s="207"/>
      <c r="O58" s="207"/>
      <c r="P58" s="207"/>
      <c r="Q58" s="207"/>
      <c r="R58" s="207"/>
      <c r="S58" s="207"/>
    </row>
    <row r="59" spans="1:36">
      <c r="B59" s="215"/>
      <c r="C59" s="207"/>
      <c r="D59" s="207"/>
      <c r="E59" s="207"/>
      <c r="F59" s="207"/>
      <c r="G59" s="207"/>
      <c r="H59" s="207"/>
      <c r="I59" s="207"/>
      <c r="J59" s="207"/>
      <c r="K59" s="207"/>
      <c r="L59" s="207"/>
      <c r="M59" s="207"/>
      <c r="N59" s="207"/>
      <c r="O59" s="207"/>
      <c r="P59" s="207"/>
      <c r="Q59" s="207"/>
      <c r="R59" s="207"/>
      <c r="S59" s="207"/>
    </row>
  </sheetData>
  <customSheetViews>
    <customSheetView guid="{BDF1A126-BD1D-4A5E-80B8-98941684E462}" showPageBreaks="1" printArea="1" topLeftCell="A23">
      <selection activeCell="AN29" sqref="AN29"/>
      <pageMargins left="0.92" right="0.42" top="0.75" bottom="0.5" header="0.33" footer="0.3"/>
      <pageSetup paperSize="9" orientation="portrait" r:id="rId1"/>
    </customSheetView>
    <customSheetView guid="{04F0793E-5444-463D-A1D5-E52E08A4C249}" showPageBreaks="1" printArea="1" topLeftCell="A9">
      <selection activeCell="B25" sqref="B25"/>
      <pageMargins left="0.7" right="0.7" top="0.75" bottom="0.5" header="0.3" footer="0.3"/>
      <pageSetup orientation="portrait" r:id="rId2"/>
    </customSheetView>
    <customSheetView guid="{925F74B5-C2F5-4E55-AFE4-045C56169B44}" showPageBreaks="1" printArea="1" topLeftCell="A9">
      <selection activeCell="B25" sqref="B25"/>
      <pageMargins left="0.7" right="0.7" top="0.75" bottom="0.5" header="0.3" footer="0.3"/>
      <pageSetup orientation="portrait" r:id="rId3"/>
    </customSheetView>
    <customSheetView guid="{1FF58891-F32F-4F97-9812-E2D02F4497AA}" topLeftCell="A23">
      <selection activeCell="B5" sqref="A5:T23"/>
      <pageMargins left="0.92" right="0.42" top="0.75" bottom="0.5" header="0.33" footer="0.3"/>
      <pageSetup paperSize="9" orientation="portrait" r:id="rId4"/>
    </customSheetView>
    <customSheetView guid="{2A6091F0-BAF4-46A2-BC20-0DE610E67601}" showPageBreaks="1" printArea="1" topLeftCell="A23">
      <selection activeCell="AN29" sqref="AN29"/>
      <pageMargins left="0.92" right="0.42" top="0.75" bottom="0.5" header="0.33" footer="0.3"/>
      <pageSetup paperSize="9" orientation="portrait" r:id="rId5"/>
    </customSheetView>
    <customSheetView guid="{5111FDC7-EEAC-46C3-8033-47A3563F0C00}" showPageBreaks="1" printArea="1">
      <selection activeCell="B37" sqref="B37:D38"/>
      <pageMargins left="0.92" right="0.42" top="0.75" bottom="0.5" header="0.33" footer="0.3"/>
      <pageSetup paperSize="9" orientation="portrait" r:id="rId6"/>
    </customSheetView>
    <customSheetView guid="{2A5E79E4-584C-4F65-A220-87928CEA02AF}" showPageBreaks="1" printArea="1">
      <selection activeCell="B37" sqref="B37:D38"/>
      <pageMargins left="0.92" right="0.42" top="0.75" bottom="0.5" header="0.33" footer="0.3"/>
      <pageSetup paperSize="9" orientation="portrait" r:id="rId7"/>
    </customSheetView>
    <customSheetView guid="{66872EF1-41BD-4D4B-B603-B8B0D03DAD22}" showPageBreaks="1" printArea="1">
      <selection activeCell="B37" sqref="B37:D38"/>
      <pageMargins left="0.92" right="0.42" top="0.75" bottom="0.5" header="0.33" footer="0.3"/>
      <pageSetup paperSize="9" orientation="portrait" r:id="rId8"/>
    </customSheetView>
    <customSheetView guid="{ACE56013-11B3-4BF4-BD0B-BF59142DAC13}" showPageBreaks="1" printArea="1">
      <selection activeCell="B37" sqref="B37:D38"/>
      <pageMargins left="0.92" right="0.42" top="0.75" bottom="0.5" header="0.33" footer="0.3"/>
      <pageSetup paperSize="9" orientation="portrait" r:id="rId9"/>
    </customSheetView>
  </customSheetViews>
  <mergeCells count="64">
    <mergeCell ref="M8:P8"/>
    <mergeCell ref="Q8:T8"/>
    <mergeCell ref="E9:H16"/>
    <mergeCell ref="I9:L16"/>
    <mergeCell ref="M9:P16"/>
    <mergeCell ref="Q9:T16"/>
    <mergeCell ref="U7:AH7"/>
    <mergeCell ref="U8:X8"/>
    <mergeCell ref="Y9:AB16"/>
    <mergeCell ref="AC9:AF16"/>
    <mergeCell ref="AG9:AJ16"/>
    <mergeCell ref="AG8:AJ8"/>
    <mergeCell ref="AC8:AF8"/>
    <mergeCell ref="U9:X16"/>
    <mergeCell ref="S53:AF53"/>
    <mergeCell ref="S54:AF54"/>
    <mergeCell ref="X41:AG41"/>
    <mergeCell ref="S47:AF47"/>
    <mergeCell ref="S48:AF48"/>
    <mergeCell ref="S49:AF49"/>
    <mergeCell ref="S50:AF50"/>
    <mergeCell ref="S51:AF51"/>
    <mergeCell ref="S44:AF45"/>
    <mergeCell ref="Y46:Z46"/>
    <mergeCell ref="S52:AF52"/>
    <mergeCell ref="S43:AF43"/>
    <mergeCell ref="A3:B3"/>
    <mergeCell ref="E32:J32"/>
    <mergeCell ref="U3:AH3"/>
    <mergeCell ref="U4:AH4"/>
    <mergeCell ref="C3:R4"/>
    <mergeCell ref="M17:P17"/>
    <mergeCell ref="Q17:T17"/>
    <mergeCell ref="U17:X17"/>
    <mergeCell ref="B8:D8"/>
    <mergeCell ref="E8:H8"/>
    <mergeCell ref="I8:L8"/>
    <mergeCell ref="Y8:AB8"/>
    <mergeCell ref="A6:B6"/>
    <mergeCell ref="B10:D11"/>
    <mergeCell ref="C6:S7"/>
    <mergeCell ref="U6:AH6"/>
    <mergeCell ref="C46:H46"/>
    <mergeCell ref="B19:C19"/>
    <mergeCell ref="E17:H17"/>
    <mergeCell ref="E43:J43"/>
    <mergeCell ref="E33:J34"/>
    <mergeCell ref="I17:L17"/>
    <mergeCell ref="C30:T31"/>
    <mergeCell ref="A40:B40"/>
    <mergeCell ref="A30:B30"/>
    <mergeCell ref="B17:C17"/>
    <mergeCell ref="K32:V32"/>
    <mergeCell ref="K33:V35"/>
    <mergeCell ref="U30:AH30"/>
    <mergeCell ref="U31:AH31"/>
    <mergeCell ref="K37:V37"/>
    <mergeCell ref="K38:V38"/>
    <mergeCell ref="P36:Q36"/>
    <mergeCell ref="C40:U40"/>
    <mergeCell ref="AG17:AJ17"/>
    <mergeCell ref="Y17:AB17"/>
    <mergeCell ref="AC17:AF17"/>
    <mergeCell ref="X40:AC40"/>
  </mergeCells>
  <pageMargins left="0.92" right="0.42" top="0.75" bottom="0.5" header="0.33" footer="0.3"/>
  <pageSetup paperSize="9" orientation="portrait" r:id="rId10"/>
  <drawing r:id="rId11"/>
  <legacyDrawing r:id="rId1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V33"/>
  <sheetViews>
    <sheetView showGridLines="0" workbookViewId="0">
      <selection activeCell="BE6" sqref="BE6"/>
    </sheetView>
  </sheetViews>
  <sheetFormatPr defaultColWidth="2.7109375" defaultRowHeight="12.75"/>
  <cols>
    <col min="1" max="1" width="2.7109375" style="482" customWidth="1"/>
    <col min="2" max="11" width="2.7109375" style="411"/>
    <col min="12" max="12" width="1.7109375" style="411" customWidth="1"/>
    <col min="13" max="17" width="2.7109375" style="411"/>
    <col min="18" max="18" width="4.140625" style="411" customWidth="1"/>
    <col min="19" max="27" width="2.7109375" style="411"/>
    <col min="28" max="32" width="2.7109375" style="411" customWidth="1"/>
    <col min="33" max="33" width="2.7109375" style="482" customWidth="1"/>
    <col min="34" max="49" width="2.7109375" style="411"/>
    <col min="50" max="56" width="2.7109375" style="411" customWidth="1"/>
    <col min="57" max="16384" width="2.7109375" style="411"/>
  </cols>
  <sheetData>
    <row r="1" spans="1:48" s="367" customFormat="1" ht="20.100000000000001" customHeight="1">
      <c r="A1" s="550" t="s">
        <v>522</v>
      </c>
      <c r="V1" s="2836"/>
      <c r="W1" s="2836"/>
      <c r="X1" s="2836"/>
      <c r="Y1" s="2836"/>
      <c r="Z1" s="2836"/>
      <c r="AA1" s="2837" t="s">
        <v>1561</v>
      </c>
      <c r="AB1" s="2836"/>
      <c r="AC1" s="5286"/>
      <c r="AD1" s="5287"/>
      <c r="AE1" s="5288"/>
      <c r="AG1" s="480"/>
    </row>
    <row r="2" spans="1:48" ht="13.5" thickBot="1">
      <c r="A2" s="481" t="s">
        <v>461</v>
      </c>
    </row>
    <row r="3" spans="1:48" s="1387" customFormat="1" ht="13.5">
      <c r="A3" s="1394"/>
      <c r="B3" s="1395"/>
      <c r="C3" s="1396"/>
      <c r="D3" s="1396"/>
      <c r="E3" s="1396"/>
      <c r="F3" s="1396"/>
      <c r="G3" s="1396"/>
      <c r="H3" s="1396"/>
      <c r="I3" s="1396"/>
      <c r="J3" s="1396"/>
      <c r="K3" s="1396"/>
      <c r="L3" s="1397"/>
      <c r="M3" s="5274">
        <v>8.01</v>
      </c>
      <c r="N3" s="5275"/>
      <c r="O3" s="5275"/>
      <c r="P3" s="5275"/>
      <c r="Q3" s="5275"/>
      <c r="R3" s="5276"/>
      <c r="S3" s="5274">
        <f>M3+0.01</f>
        <v>8.02</v>
      </c>
      <c r="T3" s="5275"/>
      <c r="U3" s="5275"/>
      <c r="V3" s="5275"/>
      <c r="W3" s="5275"/>
      <c r="X3" s="5276"/>
      <c r="Y3" s="5274">
        <f>S3+0.01</f>
        <v>8.0299999999999994</v>
      </c>
      <c r="Z3" s="5275"/>
      <c r="AA3" s="5275"/>
      <c r="AB3" s="5275"/>
      <c r="AC3" s="5275"/>
      <c r="AD3" s="5275"/>
      <c r="AE3" s="5277">
        <f>Y3+0.01</f>
        <v>8.0399999999999991</v>
      </c>
      <c r="AF3" s="5275"/>
      <c r="AG3" s="5275"/>
      <c r="AH3" s="5275"/>
      <c r="AI3" s="5275"/>
      <c r="AJ3" s="5276"/>
      <c r="AK3" s="5274">
        <f>AE3+0.01</f>
        <v>8.0499999999999989</v>
      </c>
      <c r="AL3" s="5275"/>
      <c r="AM3" s="5275"/>
      <c r="AN3" s="5275"/>
      <c r="AO3" s="5275"/>
      <c r="AP3" s="5276"/>
      <c r="AQ3" s="5274">
        <f>AK3+0.01</f>
        <v>8.0599999999999987</v>
      </c>
      <c r="AR3" s="5275"/>
      <c r="AS3" s="5275"/>
      <c r="AT3" s="5275"/>
      <c r="AU3" s="5275"/>
      <c r="AV3" s="5278"/>
    </row>
    <row r="4" spans="1:48" ht="13.5" customHeight="1">
      <c r="A4" s="5289" t="s">
        <v>462</v>
      </c>
      <c r="B4" s="5291" t="s">
        <v>463</v>
      </c>
      <c r="C4" s="5292"/>
      <c r="D4" s="5292"/>
      <c r="E4" s="5292"/>
      <c r="F4" s="5292"/>
      <c r="G4" s="5292"/>
      <c r="H4" s="5292"/>
      <c r="I4" s="5292"/>
      <c r="J4" s="5292"/>
      <c r="K4" s="5292"/>
      <c r="L4" s="5293"/>
      <c r="M4" s="5298" t="s">
        <v>464</v>
      </c>
      <c r="N4" s="5299"/>
      <c r="O4" s="5299"/>
      <c r="P4" s="5299"/>
      <c r="Q4" s="5299"/>
      <c r="R4" s="5299"/>
      <c r="S4" s="5299"/>
      <c r="T4" s="5299"/>
      <c r="U4" s="5299"/>
      <c r="V4" s="5299"/>
      <c r="W4" s="5299"/>
      <c r="X4" s="5299"/>
      <c r="Y4" s="5299"/>
      <c r="Z4" s="5299"/>
      <c r="AA4" s="5299"/>
      <c r="AB4" s="5299"/>
      <c r="AC4" s="5299"/>
      <c r="AD4" s="5299"/>
      <c r="AE4" s="5300" t="s">
        <v>465</v>
      </c>
      <c r="AF4" s="5299"/>
      <c r="AG4" s="5299"/>
      <c r="AH4" s="5299"/>
      <c r="AI4" s="5299"/>
      <c r="AJ4" s="5299"/>
      <c r="AK4" s="5299"/>
      <c r="AL4" s="5299"/>
      <c r="AM4" s="5299"/>
      <c r="AN4" s="5299"/>
      <c r="AO4" s="5299"/>
      <c r="AP4" s="5299"/>
      <c r="AQ4" s="5299"/>
      <c r="AR4" s="5299"/>
      <c r="AS4" s="5299"/>
      <c r="AT4" s="5299"/>
      <c r="AU4" s="5299"/>
      <c r="AV4" s="5301"/>
    </row>
    <row r="5" spans="1:48" ht="12.75" customHeight="1">
      <c r="A5" s="5289"/>
      <c r="B5" s="5294"/>
      <c r="C5" s="5295"/>
      <c r="D5" s="5295"/>
      <c r="E5" s="5295"/>
      <c r="F5" s="5295"/>
      <c r="G5" s="5295"/>
      <c r="H5" s="5295"/>
      <c r="I5" s="5295"/>
      <c r="J5" s="5295"/>
      <c r="K5" s="5295"/>
      <c r="L5" s="5296"/>
      <c r="M5" s="3706" t="s">
        <v>1325</v>
      </c>
      <c r="N5" s="3799"/>
      <c r="O5" s="3799"/>
      <c r="P5" s="3799"/>
      <c r="Q5" s="3799"/>
      <c r="R5" s="3800"/>
      <c r="S5" s="3706" t="s">
        <v>1778</v>
      </c>
      <c r="T5" s="3799"/>
      <c r="U5" s="3799"/>
      <c r="V5" s="3799"/>
      <c r="W5" s="3799"/>
      <c r="X5" s="3800"/>
      <c r="Y5" s="3706" t="s">
        <v>1779</v>
      </c>
      <c r="Z5" s="3703"/>
      <c r="AA5" s="3703"/>
      <c r="AB5" s="3703"/>
      <c r="AC5" s="3703"/>
      <c r="AD5" s="3703"/>
      <c r="AE5" s="5316" t="s">
        <v>1780</v>
      </c>
      <c r="AF5" s="3703"/>
      <c r="AG5" s="3703"/>
      <c r="AH5" s="3703"/>
      <c r="AI5" s="3703"/>
      <c r="AJ5" s="3704"/>
      <c r="AK5" s="3706" t="s">
        <v>1781</v>
      </c>
      <c r="AL5" s="3703"/>
      <c r="AM5" s="3703"/>
      <c r="AN5" s="3703"/>
      <c r="AO5" s="3703"/>
      <c r="AP5" s="3704"/>
      <c r="AQ5" s="3706" t="s">
        <v>1782</v>
      </c>
      <c r="AR5" s="3703"/>
      <c r="AS5" s="3703"/>
      <c r="AT5" s="3703"/>
      <c r="AU5" s="3703"/>
      <c r="AV5" s="5052"/>
    </row>
    <row r="6" spans="1:48" ht="13.5" customHeight="1">
      <c r="A6" s="5289"/>
      <c r="B6" s="5294"/>
      <c r="C6" s="5295"/>
      <c r="D6" s="5295"/>
      <c r="E6" s="5295"/>
      <c r="F6" s="5295"/>
      <c r="G6" s="5295"/>
      <c r="H6" s="5295"/>
      <c r="I6" s="5295"/>
      <c r="J6" s="5295"/>
      <c r="K6" s="5295"/>
      <c r="L6" s="5296"/>
      <c r="M6" s="4950"/>
      <c r="N6" s="3799"/>
      <c r="O6" s="3799"/>
      <c r="P6" s="3799"/>
      <c r="Q6" s="3799"/>
      <c r="R6" s="3800"/>
      <c r="S6" s="4950"/>
      <c r="T6" s="3799"/>
      <c r="U6" s="3799"/>
      <c r="V6" s="3799"/>
      <c r="W6" s="3799"/>
      <c r="X6" s="3800"/>
      <c r="Y6" s="3706"/>
      <c r="Z6" s="3703"/>
      <c r="AA6" s="3703"/>
      <c r="AB6" s="3703"/>
      <c r="AC6" s="3703"/>
      <c r="AD6" s="3703"/>
      <c r="AE6" s="5316"/>
      <c r="AF6" s="3703"/>
      <c r="AG6" s="3703"/>
      <c r="AH6" s="3703"/>
      <c r="AI6" s="3703"/>
      <c r="AJ6" s="3704"/>
      <c r="AK6" s="3706"/>
      <c r="AL6" s="3703"/>
      <c r="AM6" s="3703"/>
      <c r="AN6" s="3703"/>
      <c r="AO6" s="3703"/>
      <c r="AP6" s="3704"/>
      <c r="AQ6" s="3706"/>
      <c r="AR6" s="3703"/>
      <c r="AS6" s="3703"/>
      <c r="AT6" s="3703"/>
      <c r="AU6" s="3703"/>
      <c r="AV6" s="5052"/>
    </row>
    <row r="7" spans="1:48" ht="21" customHeight="1">
      <c r="A7" s="5289"/>
      <c r="B7" s="5294"/>
      <c r="C7" s="5295"/>
      <c r="D7" s="5295"/>
      <c r="E7" s="5295"/>
      <c r="F7" s="5295"/>
      <c r="G7" s="5295"/>
      <c r="H7" s="5295"/>
      <c r="I7" s="5295"/>
      <c r="J7" s="5295"/>
      <c r="K7" s="5295"/>
      <c r="L7" s="5296"/>
      <c r="M7" s="4950"/>
      <c r="N7" s="3799"/>
      <c r="O7" s="3799"/>
      <c r="P7" s="3799"/>
      <c r="Q7" s="3799"/>
      <c r="R7" s="3800"/>
      <c r="S7" s="4950"/>
      <c r="T7" s="3799"/>
      <c r="U7" s="3799"/>
      <c r="V7" s="3799"/>
      <c r="W7" s="3799"/>
      <c r="X7" s="3800"/>
      <c r="Y7" s="3706"/>
      <c r="Z7" s="3703"/>
      <c r="AA7" s="3703"/>
      <c r="AB7" s="3703"/>
      <c r="AC7" s="3703"/>
      <c r="AD7" s="3703"/>
      <c r="AE7" s="5316"/>
      <c r="AF7" s="3703"/>
      <c r="AG7" s="3703"/>
      <c r="AH7" s="3703"/>
      <c r="AI7" s="3703"/>
      <c r="AJ7" s="3704"/>
      <c r="AK7" s="3706"/>
      <c r="AL7" s="3703"/>
      <c r="AM7" s="3703"/>
      <c r="AN7" s="3703"/>
      <c r="AO7" s="3703"/>
      <c r="AP7" s="3704"/>
      <c r="AQ7" s="3706"/>
      <c r="AR7" s="3703"/>
      <c r="AS7" s="3703"/>
      <c r="AT7" s="3703"/>
      <c r="AU7" s="3703"/>
      <c r="AV7" s="5052"/>
    </row>
    <row r="8" spans="1:48" ht="26.25" customHeight="1">
      <c r="A8" s="5289"/>
      <c r="B8" s="5294"/>
      <c r="C8" s="5295"/>
      <c r="D8" s="5295"/>
      <c r="E8" s="5295"/>
      <c r="F8" s="5295"/>
      <c r="G8" s="5295"/>
      <c r="H8" s="5295"/>
      <c r="I8" s="5295"/>
      <c r="J8" s="5295"/>
      <c r="K8" s="5295"/>
      <c r="L8" s="5296"/>
      <c r="M8" s="4950"/>
      <c r="N8" s="3799"/>
      <c r="O8" s="3799"/>
      <c r="P8" s="3799"/>
      <c r="Q8" s="3799"/>
      <c r="R8" s="3800"/>
      <c r="S8" s="4950"/>
      <c r="T8" s="3799"/>
      <c r="U8" s="3799"/>
      <c r="V8" s="3799"/>
      <c r="W8" s="3799"/>
      <c r="X8" s="3800"/>
      <c r="Y8" s="3706"/>
      <c r="Z8" s="3703"/>
      <c r="AA8" s="3703"/>
      <c r="AB8" s="3703"/>
      <c r="AC8" s="3703"/>
      <c r="AD8" s="3703"/>
      <c r="AE8" s="5316"/>
      <c r="AF8" s="3703"/>
      <c r="AG8" s="3703"/>
      <c r="AH8" s="3703"/>
      <c r="AI8" s="3703"/>
      <c r="AJ8" s="3704"/>
      <c r="AK8" s="3706"/>
      <c r="AL8" s="3703"/>
      <c r="AM8" s="3703"/>
      <c r="AN8" s="3703"/>
      <c r="AO8" s="3703"/>
      <c r="AP8" s="3704"/>
      <c r="AQ8" s="3706"/>
      <c r="AR8" s="3703"/>
      <c r="AS8" s="3703"/>
      <c r="AT8" s="3703"/>
      <c r="AU8" s="3703"/>
      <c r="AV8" s="5052"/>
    </row>
    <row r="9" spans="1:48" ht="13.5" customHeight="1">
      <c r="A9" s="5289"/>
      <c r="B9" s="5294"/>
      <c r="C9" s="5295"/>
      <c r="D9" s="5295"/>
      <c r="E9" s="5295"/>
      <c r="F9" s="5295"/>
      <c r="G9" s="5295"/>
      <c r="H9" s="5295"/>
      <c r="I9" s="5295"/>
      <c r="J9" s="5295"/>
      <c r="K9" s="5295"/>
      <c r="L9" s="5296"/>
      <c r="M9" s="4950"/>
      <c r="N9" s="3799"/>
      <c r="O9" s="3799"/>
      <c r="P9" s="3799"/>
      <c r="Q9" s="3799"/>
      <c r="R9" s="3800"/>
      <c r="S9" s="4950"/>
      <c r="T9" s="3799"/>
      <c r="U9" s="3799"/>
      <c r="V9" s="3799"/>
      <c r="W9" s="3799"/>
      <c r="X9" s="3800"/>
      <c r="Y9" s="3706"/>
      <c r="Z9" s="3703"/>
      <c r="AA9" s="3703"/>
      <c r="AB9" s="3703"/>
      <c r="AC9" s="3703"/>
      <c r="AD9" s="3703"/>
      <c r="AE9" s="5316"/>
      <c r="AF9" s="3703"/>
      <c r="AG9" s="3703"/>
      <c r="AH9" s="3703"/>
      <c r="AI9" s="3703"/>
      <c r="AJ9" s="3704"/>
      <c r="AK9" s="3706"/>
      <c r="AL9" s="3703"/>
      <c r="AM9" s="3703"/>
      <c r="AN9" s="3703"/>
      <c r="AO9" s="3703"/>
      <c r="AP9" s="3704"/>
      <c r="AQ9" s="3706"/>
      <c r="AR9" s="3703"/>
      <c r="AS9" s="3703"/>
      <c r="AT9" s="3703"/>
      <c r="AU9" s="3703"/>
      <c r="AV9" s="5052"/>
    </row>
    <row r="10" spans="1:48" ht="13.5" customHeight="1">
      <c r="A10" s="5289"/>
      <c r="B10" s="5294"/>
      <c r="C10" s="5295"/>
      <c r="D10" s="5295"/>
      <c r="E10" s="5295"/>
      <c r="F10" s="5295"/>
      <c r="G10" s="5295"/>
      <c r="H10" s="5295"/>
      <c r="I10" s="5295"/>
      <c r="J10" s="5295"/>
      <c r="K10" s="5295"/>
      <c r="L10" s="5296"/>
      <c r="M10" s="4950"/>
      <c r="N10" s="3799"/>
      <c r="O10" s="3799"/>
      <c r="P10" s="3799"/>
      <c r="Q10" s="3799"/>
      <c r="R10" s="3800"/>
      <c r="S10" s="4950"/>
      <c r="T10" s="3799"/>
      <c r="U10" s="3799"/>
      <c r="V10" s="3799"/>
      <c r="W10" s="3799"/>
      <c r="X10" s="3800"/>
      <c r="Y10" s="3706"/>
      <c r="Z10" s="3703"/>
      <c r="AA10" s="3703"/>
      <c r="AB10" s="3703"/>
      <c r="AC10" s="3703"/>
      <c r="AD10" s="3703"/>
      <c r="AE10" s="5316"/>
      <c r="AF10" s="3703"/>
      <c r="AG10" s="3703"/>
      <c r="AH10" s="3703"/>
      <c r="AI10" s="3703"/>
      <c r="AJ10" s="3704"/>
      <c r="AK10" s="3706"/>
      <c r="AL10" s="3703"/>
      <c r="AM10" s="3703"/>
      <c r="AN10" s="3703"/>
      <c r="AO10" s="3703"/>
      <c r="AP10" s="3704"/>
      <c r="AQ10" s="3706"/>
      <c r="AR10" s="3703"/>
      <c r="AS10" s="3703"/>
      <c r="AT10" s="3703"/>
      <c r="AU10" s="3703"/>
      <c r="AV10" s="5052"/>
    </row>
    <row r="11" spans="1:48" ht="13.5" customHeight="1">
      <c r="A11" s="5289"/>
      <c r="B11" s="5294"/>
      <c r="C11" s="5295"/>
      <c r="D11" s="5295"/>
      <c r="E11" s="5295"/>
      <c r="F11" s="5295"/>
      <c r="G11" s="5295"/>
      <c r="H11" s="5295"/>
      <c r="I11" s="5295"/>
      <c r="J11" s="5295"/>
      <c r="K11" s="5295"/>
      <c r="L11" s="5296"/>
      <c r="M11" s="4950"/>
      <c r="N11" s="3799"/>
      <c r="O11" s="3799"/>
      <c r="P11" s="3799"/>
      <c r="Q11" s="3799"/>
      <c r="R11" s="3800"/>
      <c r="S11" s="4950"/>
      <c r="T11" s="3799"/>
      <c r="U11" s="3799"/>
      <c r="V11" s="3799"/>
      <c r="W11" s="3799"/>
      <c r="X11" s="3800"/>
      <c r="Y11" s="3706"/>
      <c r="Z11" s="3703"/>
      <c r="AA11" s="3703"/>
      <c r="AB11" s="3703"/>
      <c r="AC11" s="3703"/>
      <c r="AD11" s="3703"/>
      <c r="AE11" s="5316"/>
      <c r="AF11" s="3703"/>
      <c r="AG11" s="3703"/>
      <c r="AH11" s="3703"/>
      <c r="AI11" s="3703"/>
      <c r="AJ11" s="3704"/>
      <c r="AK11" s="3706"/>
      <c r="AL11" s="3703"/>
      <c r="AM11" s="3703"/>
      <c r="AN11" s="3703"/>
      <c r="AO11" s="3703"/>
      <c r="AP11" s="3704"/>
      <c r="AQ11" s="3706"/>
      <c r="AR11" s="3703"/>
      <c r="AS11" s="3703"/>
      <c r="AT11" s="3703"/>
      <c r="AU11" s="3703"/>
      <c r="AV11" s="5052"/>
    </row>
    <row r="12" spans="1:48" ht="13.5" customHeight="1">
      <c r="A12" s="5289"/>
      <c r="B12" s="5294"/>
      <c r="C12" s="5295"/>
      <c r="D12" s="5295"/>
      <c r="E12" s="5295"/>
      <c r="F12" s="5295"/>
      <c r="G12" s="5295"/>
      <c r="H12" s="5295"/>
      <c r="I12" s="5295"/>
      <c r="J12" s="5295"/>
      <c r="K12" s="5295"/>
      <c r="L12" s="5296"/>
      <c r="M12" s="4950"/>
      <c r="N12" s="3799"/>
      <c r="O12" s="3799"/>
      <c r="P12" s="3799"/>
      <c r="Q12" s="3799"/>
      <c r="R12" s="3800"/>
      <c r="S12" s="4950"/>
      <c r="T12" s="3799"/>
      <c r="U12" s="3799"/>
      <c r="V12" s="3799"/>
      <c r="W12" s="3799"/>
      <c r="X12" s="3800"/>
      <c r="Y12" s="3706"/>
      <c r="Z12" s="3703"/>
      <c r="AA12" s="3703"/>
      <c r="AB12" s="3703"/>
      <c r="AC12" s="3703"/>
      <c r="AD12" s="3703"/>
      <c r="AE12" s="5316"/>
      <c r="AF12" s="3703"/>
      <c r="AG12" s="3703"/>
      <c r="AH12" s="3703"/>
      <c r="AI12" s="3703"/>
      <c r="AJ12" s="3704"/>
      <c r="AK12" s="3706"/>
      <c r="AL12" s="3703"/>
      <c r="AM12" s="3703"/>
      <c r="AN12" s="3703"/>
      <c r="AO12" s="3703"/>
      <c r="AP12" s="3704"/>
      <c r="AQ12" s="3706"/>
      <c r="AR12" s="3703"/>
      <c r="AS12" s="3703"/>
      <c r="AT12" s="3703"/>
      <c r="AU12" s="3703"/>
      <c r="AV12" s="5052"/>
    </row>
    <row r="13" spans="1:48" ht="13.5" customHeight="1">
      <c r="A13" s="5289"/>
      <c r="B13" s="5294"/>
      <c r="C13" s="5295"/>
      <c r="D13" s="5295"/>
      <c r="E13" s="5295"/>
      <c r="F13" s="5295"/>
      <c r="G13" s="5295"/>
      <c r="H13" s="5295"/>
      <c r="I13" s="5295"/>
      <c r="J13" s="5295"/>
      <c r="K13" s="5295"/>
      <c r="L13" s="5296"/>
      <c r="M13" s="4950"/>
      <c r="N13" s="3799"/>
      <c r="O13" s="3799"/>
      <c r="P13" s="3799"/>
      <c r="Q13" s="3799"/>
      <c r="R13" s="3800"/>
      <c r="S13" s="4950"/>
      <c r="T13" s="3799"/>
      <c r="U13" s="3799"/>
      <c r="V13" s="3799"/>
      <c r="W13" s="3799"/>
      <c r="X13" s="3800"/>
      <c r="Y13" s="3706"/>
      <c r="Z13" s="3703"/>
      <c r="AA13" s="3703"/>
      <c r="AB13" s="3703"/>
      <c r="AC13" s="3703"/>
      <c r="AD13" s="3703"/>
      <c r="AE13" s="5316"/>
      <c r="AF13" s="3703"/>
      <c r="AG13" s="3703"/>
      <c r="AH13" s="3703"/>
      <c r="AI13" s="3703"/>
      <c r="AJ13" s="3704"/>
      <c r="AK13" s="3706"/>
      <c r="AL13" s="3703"/>
      <c r="AM13" s="3703"/>
      <c r="AN13" s="3703"/>
      <c r="AO13" s="3703"/>
      <c r="AP13" s="3704"/>
      <c r="AQ13" s="3706"/>
      <c r="AR13" s="3703"/>
      <c r="AS13" s="3703"/>
      <c r="AT13" s="3703"/>
      <c r="AU13" s="3703"/>
      <c r="AV13" s="5052"/>
    </row>
    <row r="14" spans="1:48" ht="13.5" customHeight="1">
      <c r="A14" s="5289"/>
      <c r="B14" s="5294"/>
      <c r="C14" s="5295"/>
      <c r="D14" s="5295"/>
      <c r="E14" s="5295"/>
      <c r="F14" s="5295"/>
      <c r="G14" s="5295"/>
      <c r="H14" s="5295"/>
      <c r="I14" s="5295"/>
      <c r="J14" s="5295"/>
      <c r="K14" s="5295"/>
      <c r="L14" s="5296"/>
      <c r="M14" s="4950"/>
      <c r="N14" s="3799"/>
      <c r="O14" s="3799"/>
      <c r="P14" s="3799"/>
      <c r="Q14" s="3799"/>
      <c r="R14" s="3800"/>
      <c r="S14" s="3747" t="s">
        <v>91</v>
      </c>
      <c r="T14" s="5042"/>
      <c r="U14" s="5042"/>
      <c r="V14" s="5042"/>
      <c r="W14" s="5042"/>
      <c r="X14" s="3748"/>
      <c r="Y14" s="3747" t="s">
        <v>91</v>
      </c>
      <c r="Z14" s="5042"/>
      <c r="AA14" s="5042"/>
      <c r="AB14" s="5042"/>
      <c r="AC14" s="5042"/>
      <c r="AD14" s="5042"/>
      <c r="AE14" s="5316"/>
      <c r="AF14" s="3703"/>
      <c r="AG14" s="3703"/>
      <c r="AH14" s="3703"/>
      <c r="AI14" s="3703"/>
      <c r="AJ14" s="3704"/>
      <c r="AK14" s="3747" t="s">
        <v>91</v>
      </c>
      <c r="AL14" s="5042"/>
      <c r="AM14" s="5042"/>
      <c r="AN14" s="5042"/>
      <c r="AO14" s="5042"/>
      <c r="AP14" s="3748"/>
      <c r="AQ14" s="3747" t="s">
        <v>91</v>
      </c>
      <c r="AR14" s="5042"/>
      <c r="AS14" s="5042"/>
      <c r="AT14" s="5042"/>
      <c r="AU14" s="5042"/>
      <c r="AV14" s="5047"/>
    </row>
    <row r="15" spans="1:48" ht="13.5" customHeight="1">
      <c r="A15" s="5289"/>
      <c r="B15" s="5294"/>
      <c r="C15" s="5295"/>
      <c r="D15" s="5295"/>
      <c r="E15" s="5295"/>
      <c r="F15" s="5295"/>
      <c r="G15" s="5295"/>
      <c r="H15" s="5295"/>
      <c r="I15" s="5295"/>
      <c r="J15" s="5295"/>
      <c r="K15" s="5295"/>
      <c r="L15" s="5296"/>
      <c r="M15" s="4950"/>
      <c r="N15" s="3799"/>
      <c r="O15" s="3799"/>
      <c r="P15" s="3799"/>
      <c r="Q15" s="3799"/>
      <c r="R15" s="3800"/>
      <c r="S15" s="3747"/>
      <c r="T15" s="5042"/>
      <c r="U15" s="5042"/>
      <c r="V15" s="5042"/>
      <c r="W15" s="5042"/>
      <c r="X15" s="3748"/>
      <c r="Y15" s="3747"/>
      <c r="Z15" s="5042"/>
      <c r="AA15" s="5042"/>
      <c r="AB15" s="5042"/>
      <c r="AC15" s="5042"/>
      <c r="AD15" s="5042"/>
      <c r="AE15" s="5317"/>
      <c r="AF15" s="5318"/>
      <c r="AG15" s="5318"/>
      <c r="AH15" s="5318"/>
      <c r="AI15" s="5318"/>
      <c r="AJ15" s="5319"/>
      <c r="AK15" s="3747"/>
      <c r="AL15" s="5042"/>
      <c r="AM15" s="5042"/>
      <c r="AN15" s="5042"/>
      <c r="AO15" s="5042"/>
      <c r="AP15" s="3748"/>
      <c r="AQ15" s="3747"/>
      <c r="AR15" s="5042"/>
      <c r="AS15" s="5042"/>
      <c r="AT15" s="5042"/>
      <c r="AU15" s="5042"/>
      <c r="AV15" s="5047"/>
    </row>
    <row r="16" spans="1:48" ht="13.5" customHeight="1">
      <c r="A16" s="5289"/>
      <c r="B16" s="5294"/>
      <c r="C16" s="5295"/>
      <c r="D16" s="5295"/>
      <c r="E16" s="5295"/>
      <c r="F16" s="5295"/>
      <c r="G16" s="5295"/>
      <c r="H16" s="5295"/>
      <c r="I16" s="5295"/>
      <c r="J16" s="5295"/>
      <c r="K16" s="5295"/>
      <c r="L16" s="5296"/>
      <c r="M16" s="5313"/>
      <c r="N16" s="5314"/>
      <c r="O16" s="5314"/>
      <c r="P16" s="5314"/>
      <c r="Q16" s="5314"/>
      <c r="R16" s="5315"/>
      <c r="S16" s="1398"/>
      <c r="T16" s="1399"/>
      <c r="U16" s="1399"/>
      <c r="V16" s="1399"/>
      <c r="W16" s="1399"/>
      <c r="X16" s="1400"/>
      <c r="Y16" s="1398"/>
      <c r="Z16" s="1399"/>
      <c r="AA16" s="1399"/>
      <c r="AB16" s="1399"/>
      <c r="AC16" s="1399"/>
      <c r="AD16" s="1399"/>
      <c r="AE16" s="2513" t="s">
        <v>862</v>
      </c>
      <c r="AF16" s="1309"/>
      <c r="AG16" s="1310">
        <v>1</v>
      </c>
      <c r="AH16" s="1309"/>
      <c r="AI16" s="1309"/>
      <c r="AJ16" s="1401"/>
      <c r="AK16" s="1398"/>
      <c r="AL16" s="1399"/>
      <c r="AM16" s="1399"/>
      <c r="AN16" s="1399"/>
      <c r="AO16" s="1399"/>
      <c r="AP16" s="1400"/>
      <c r="AQ16" s="1398"/>
      <c r="AR16" s="1399"/>
      <c r="AS16" s="1399"/>
      <c r="AT16" s="1399"/>
      <c r="AU16" s="1399"/>
      <c r="AV16" s="1402"/>
    </row>
    <row r="17" spans="1:48" ht="13.5" customHeight="1">
      <c r="A17" s="5289"/>
      <c r="B17" s="5294"/>
      <c r="C17" s="5295"/>
      <c r="D17" s="5295"/>
      <c r="E17" s="5295"/>
      <c r="F17" s="5295"/>
      <c r="G17" s="5295"/>
      <c r="H17" s="5295"/>
      <c r="I17" s="5295"/>
      <c r="J17" s="5295"/>
      <c r="K17" s="5295"/>
      <c r="L17" s="5296"/>
      <c r="M17" s="1382" t="s">
        <v>862</v>
      </c>
      <c r="N17" s="1309"/>
      <c r="O17" s="1310">
        <v>1</v>
      </c>
      <c r="P17" s="1309"/>
      <c r="Q17" s="1309"/>
      <c r="R17" s="1401"/>
      <c r="S17" s="5302" t="s">
        <v>466</v>
      </c>
      <c r="T17" s="5303"/>
      <c r="U17" s="5303"/>
      <c r="V17" s="5303"/>
      <c r="W17" s="5303"/>
      <c r="X17" s="5304"/>
      <c r="Y17" s="5306" t="s">
        <v>467</v>
      </c>
      <c r="Z17" s="5307"/>
      <c r="AA17" s="5307"/>
      <c r="AB17" s="5307"/>
      <c r="AC17" s="5307"/>
      <c r="AD17" s="5307"/>
      <c r="AE17" s="2514" t="s">
        <v>863</v>
      </c>
      <c r="AF17" s="1315"/>
      <c r="AG17" s="1403">
        <v>2</v>
      </c>
      <c r="AH17" s="1315"/>
      <c r="AI17" s="1403"/>
      <c r="AJ17" s="1404"/>
      <c r="AK17" s="5302" t="s">
        <v>468</v>
      </c>
      <c r="AL17" s="5303"/>
      <c r="AM17" s="5303"/>
      <c r="AN17" s="5303"/>
      <c r="AO17" s="5303"/>
      <c r="AP17" s="5304"/>
      <c r="AQ17" s="5306" t="s">
        <v>469</v>
      </c>
      <c r="AR17" s="5307"/>
      <c r="AS17" s="5307"/>
      <c r="AT17" s="5307"/>
      <c r="AU17" s="5307"/>
      <c r="AV17" s="5308"/>
    </row>
    <row r="18" spans="1:48" ht="13.5" customHeight="1">
      <c r="A18" s="5289"/>
      <c r="B18" s="5294"/>
      <c r="C18" s="5295"/>
      <c r="D18" s="5295"/>
      <c r="E18" s="5295"/>
      <c r="F18" s="5295"/>
      <c r="G18" s="5295"/>
      <c r="H18" s="5295"/>
      <c r="I18" s="5295"/>
      <c r="J18" s="5295"/>
      <c r="K18" s="5295"/>
      <c r="L18" s="5296"/>
      <c r="M18" s="1382" t="s">
        <v>863</v>
      </c>
      <c r="N18" s="1310">
        <v>2</v>
      </c>
      <c r="O18" s="5284" t="s">
        <v>470</v>
      </c>
      <c r="P18" s="5284"/>
      <c r="Q18" s="5284"/>
      <c r="R18" s="5285"/>
      <c r="S18" s="5101"/>
      <c r="T18" s="5305"/>
      <c r="U18" s="5305"/>
      <c r="V18" s="5305"/>
      <c r="W18" s="5305"/>
      <c r="X18" s="5102"/>
      <c r="Y18" s="4346"/>
      <c r="Z18" s="4363"/>
      <c r="AA18" s="4363"/>
      <c r="AB18" s="4363"/>
      <c r="AC18" s="4363"/>
      <c r="AD18" s="4363"/>
      <c r="AE18" s="5310" t="s">
        <v>470</v>
      </c>
      <c r="AF18" s="5311"/>
      <c r="AG18" s="5311"/>
      <c r="AH18" s="5311"/>
      <c r="AI18" s="5311"/>
      <c r="AJ18" s="5312"/>
      <c r="AK18" s="5101"/>
      <c r="AL18" s="5305"/>
      <c r="AM18" s="5305"/>
      <c r="AN18" s="5305"/>
      <c r="AO18" s="5305"/>
      <c r="AP18" s="5102"/>
      <c r="AQ18" s="4346"/>
      <c r="AR18" s="4363"/>
      <c r="AS18" s="4363"/>
      <c r="AT18" s="4363"/>
      <c r="AU18" s="4363"/>
      <c r="AV18" s="5309"/>
    </row>
    <row r="19" spans="1:48" ht="13.5" thickBot="1">
      <c r="A19" s="5290"/>
      <c r="B19" s="5106"/>
      <c r="C19" s="5297"/>
      <c r="D19" s="5297"/>
      <c r="E19" s="5297"/>
      <c r="F19" s="5297"/>
      <c r="G19" s="5297"/>
      <c r="H19" s="5297"/>
      <c r="I19" s="5297"/>
      <c r="J19" s="5297"/>
      <c r="K19" s="5297"/>
      <c r="L19" s="5107"/>
      <c r="M19" s="1405"/>
      <c r="N19" s="420"/>
      <c r="O19" s="420"/>
      <c r="P19" s="420"/>
      <c r="Q19" s="420"/>
      <c r="R19" s="1406"/>
      <c r="S19" s="5071" t="s">
        <v>219</v>
      </c>
      <c r="T19" s="5072"/>
      <c r="U19" s="5072"/>
      <c r="V19" s="5072"/>
      <c r="W19" s="5072"/>
      <c r="X19" s="5073"/>
      <c r="Y19" s="5071" t="s">
        <v>219</v>
      </c>
      <c r="Z19" s="5072"/>
      <c r="AA19" s="5072"/>
      <c r="AB19" s="5072"/>
      <c r="AC19" s="5072"/>
      <c r="AD19" s="5072"/>
      <c r="AE19" s="1407"/>
      <c r="AF19" s="420"/>
      <c r="AG19" s="420"/>
      <c r="AH19" s="420"/>
      <c r="AI19" s="420"/>
      <c r="AJ19" s="1406"/>
      <c r="AK19" s="5071" t="s">
        <v>219</v>
      </c>
      <c r="AL19" s="5072"/>
      <c r="AM19" s="5072"/>
      <c r="AN19" s="5072"/>
      <c r="AO19" s="5072"/>
      <c r="AP19" s="5073"/>
      <c r="AQ19" s="5071" t="s">
        <v>219</v>
      </c>
      <c r="AR19" s="5072"/>
      <c r="AS19" s="5072"/>
      <c r="AT19" s="5072"/>
      <c r="AU19" s="5072"/>
      <c r="AV19" s="5108"/>
    </row>
    <row r="20" spans="1:48" ht="5.25" customHeight="1" thickBot="1"/>
    <row r="21" spans="1:48" ht="18" customHeight="1">
      <c r="A21" s="1388">
        <v>1</v>
      </c>
      <c r="B21" s="2036" t="s">
        <v>471</v>
      </c>
      <c r="C21" s="2037"/>
      <c r="D21" s="2037"/>
      <c r="E21" s="2037"/>
      <c r="F21" s="2037"/>
      <c r="G21" s="2037"/>
      <c r="H21" s="2037"/>
      <c r="I21" s="2037"/>
      <c r="J21" s="2037"/>
      <c r="K21" s="2037"/>
      <c r="L21" s="1389"/>
      <c r="M21" s="5279"/>
      <c r="N21" s="5280"/>
      <c r="O21" s="5280"/>
      <c r="P21" s="5280"/>
      <c r="Q21" s="5280"/>
      <c r="R21" s="5281"/>
      <c r="S21" s="5279"/>
      <c r="T21" s="5280"/>
      <c r="U21" s="5280"/>
      <c r="V21" s="5280"/>
      <c r="W21" s="5280"/>
      <c r="X21" s="5281"/>
      <c r="Y21" s="5279"/>
      <c r="Z21" s="5280"/>
      <c r="AA21" s="5280"/>
      <c r="AB21" s="5280"/>
      <c r="AC21" s="5280"/>
      <c r="AD21" s="5280"/>
      <c r="AE21" s="5282"/>
      <c r="AF21" s="5280"/>
      <c r="AG21" s="5280"/>
      <c r="AH21" s="5280"/>
      <c r="AI21" s="5280"/>
      <c r="AJ21" s="5281"/>
      <c r="AK21" s="5279"/>
      <c r="AL21" s="5280"/>
      <c r="AM21" s="5280"/>
      <c r="AN21" s="5280"/>
      <c r="AO21" s="5280"/>
      <c r="AP21" s="5281"/>
      <c r="AQ21" s="5279"/>
      <c r="AR21" s="5280"/>
      <c r="AS21" s="5280"/>
      <c r="AT21" s="5280"/>
      <c r="AU21" s="5280"/>
      <c r="AV21" s="5283"/>
    </row>
    <row r="22" spans="1:48" ht="18" customHeight="1">
      <c r="A22" s="1390">
        <v>2</v>
      </c>
      <c r="B22" s="1710" t="s">
        <v>472</v>
      </c>
      <c r="C22" s="1711"/>
      <c r="D22" s="1711"/>
      <c r="E22" s="1711"/>
      <c r="F22" s="1711"/>
      <c r="G22" s="1711"/>
      <c r="H22" s="1711"/>
      <c r="I22" s="1711"/>
      <c r="J22" s="1711"/>
      <c r="K22" s="1711"/>
      <c r="L22" s="488"/>
      <c r="M22" s="1242"/>
      <c r="N22" s="1243"/>
      <c r="O22" s="1243"/>
      <c r="P22" s="1243"/>
      <c r="Q22" s="1243"/>
      <c r="R22" s="1244"/>
      <c r="S22" s="1242"/>
      <c r="T22" s="1243"/>
      <c r="U22" s="1243"/>
      <c r="V22" s="1243"/>
      <c r="W22" s="1243"/>
      <c r="X22" s="1244"/>
      <c r="Y22" s="1242"/>
      <c r="Z22" s="1243"/>
      <c r="AA22" s="1243"/>
      <c r="AB22" s="1243"/>
      <c r="AC22" s="1243"/>
      <c r="AD22" s="1243"/>
      <c r="AE22" s="1299"/>
      <c r="AF22" s="1243"/>
      <c r="AG22" s="1243"/>
      <c r="AH22" s="1243"/>
      <c r="AI22" s="1243"/>
      <c r="AJ22" s="1244"/>
      <c r="AK22" s="1242"/>
      <c r="AL22" s="1243"/>
      <c r="AM22" s="1243"/>
      <c r="AN22" s="1243"/>
      <c r="AO22" s="1243"/>
      <c r="AP22" s="1244"/>
      <c r="AQ22" s="1242"/>
      <c r="AR22" s="1243"/>
      <c r="AS22" s="1243"/>
      <c r="AT22" s="1243"/>
      <c r="AU22" s="1243"/>
      <c r="AV22" s="1391"/>
    </row>
    <row r="23" spans="1:48" ht="18" customHeight="1">
      <c r="A23" s="1390">
        <v>3</v>
      </c>
      <c r="B23" s="1710" t="s">
        <v>473</v>
      </c>
      <c r="C23" s="1711"/>
      <c r="D23" s="1711"/>
      <c r="E23" s="1711"/>
      <c r="F23" s="1711"/>
      <c r="G23" s="1711"/>
      <c r="H23" s="1711"/>
      <c r="I23" s="1711"/>
      <c r="J23" s="1711"/>
      <c r="K23" s="1711"/>
      <c r="L23" s="488"/>
      <c r="M23" s="4036"/>
      <c r="N23" s="4037"/>
      <c r="O23" s="4037"/>
      <c r="P23" s="4037"/>
      <c r="Q23" s="4037"/>
      <c r="R23" s="4038"/>
      <c r="S23" s="4036"/>
      <c r="T23" s="4037"/>
      <c r="U23" s="4037"/>
      <c r="V23" s="4037"/>
      <c r="W23" s="4037"/>
      <c r="X23" s="4038"/>
      <c r="Y23" s="4036"/>
      <c r="Z23" s="4037"/>
      <c r="AA23" s="4037"/>
      <c r="AB23" s="4037"/>
      <c r="AC23" s="4037"/>
      <c r="AD23" s="4037"/>
      <c r="AE23" s="5272"/>
      <c r="AF23" s="4037"/>
      <c r="AG23" s="4037"/>
      <c r="AH23" s="4037"/>
      <c r="AI23" s="4037"/>
      <c r="AJ23" s="4038"/>
      <c r="AK23" s="4036"/>
      <c r="AL23" s="4037"/>
      <c r="AM23" s="4037"/>
      <c r="AN23" s="4037"/>
      <c r="AO23" s="4037"/>
      <c r="AP23" s="4038"/>
      <c r="AQ23" s="4036"/>
      <c r="AR23" s="4037"/>
      <c r="AS23" s="4037"/>
      <c r="AT23" s="4037"/>
      <c r="AU23" s="4037"/>
      <c r="AV23" s="5273"/>
    </row>
    <row r="24" spans="1:48" ht="18" customHeight="1">
      <c r="A24" s="1390">
        <v>4</v>
      </c>
      <c r="B24" s="1712" t="s">
        <v>474</v>
      </c>
      <c r="C24" s="1713"/>
      <c r="D24" s="1713"/>
      <c r="E24" s="1713"/>
      <c r="F24" s="1713"/>
      <c r="G24" s="1713"/>
      <c r="H24" s="1713"/>
      <c r="I24" s="1713"/>
      <c r="J24" s="1713"/>
      <c r="K24" s="1713"/>
      <c r="L24" s="491"/>
      <c r="M24" s="4036"/>
      <c r="N24" s="4037"/>
      <c r="O24" s="4037"/>
      <c r="P24" s="4037"/>
      <c r="Q24" s="4037"/>
      <c r="R24" s="4038"/>
      <c r="S24" s="4036"/>
      <c r="T24" s="4037"/>
      <c r="U24" s="4037"/>
      <c r="V24" s="4037"/>
      <c r="W24" s="4037"/>
      <c r="X24" s="4038"/>
      <c r="Y24" s="4036"/>
      <c r="Z24" s="4037"/>
      <c r="AA24" s="4037"/>
      <c r="AB24" s="4037"/>
      <c r="AC24" s="4037"/>
      <c r="AD24" s="4037"/>
      <c r="AE24" s="5272"/>
      <c r="AF24" s="4037"/>
      <c r="AG24" s="4037"/>
      <c r="AH24" s="4037"/>
      <c r="AI24" s="4037"/>
      <c r="AJ24" s="4038"/>
      <c r="AK24" s="4036"/>
      <c r="AL24" s="4037"/>
      <c r="AM24" s="4037"/>
      <c r="AN24" s="4037"/>
      <c r="AO24" s="4037"/>
      <c r="AP24" s="4038"/>
      <c r="AQ24" s="4036"/>
      <c r="AR24" s="4037"/>
      <c r="AS24" s="4037"/>
      <c r="AT24" s="4037"/>
      <c r="AU24" s="4037"/>
      <c r="AV24" s="5273"/>
    </row>
    <row r="25" spans="1:48" ht="18" customHeight="1">
      <c r="A25" s="1390">
        <v>5</v>
      </c>
      <c r="B25" s="1712" t="s">
        <v>475</v>
      </c>
      <c r="C25" s="1713"/>
      <c r="D25" s="1713"/>
      <c r="E25" s="1713"/>
      <c r="F25" s="1713"/>
      <c r="G25" s="1713"/>
      <c r="H25" s="1713"/>
      <c r="I25" s="1713"/>
      <c r="J25" s="1713"/>
      <c r="K25" s="1713"/>
      <c r="L25" s="491"/>
      <c r="M25" s="4036"/>
      <c r="N25" s="4037"/>
      <c r="O25" s="4037"/>
      <c r="P25" s="4037"/>
      <c r="Q25" s="4037"/>
      <c r="R25" s="4038"/>
      <c r="S25" s="4036"/>
      <c r="T25" s="4037"/>
      <c r="U25" s="4037"/>
      <c r="V25" s="4037"/>
      <c r="W25" s="4037"/>
      <c r="X25" s="4038"/>
      <c r="Y25" s="4036"/>
      <c r="Z25" s="4037"/>
      <c r="AA25" s="4037"/>
      <c r="AB25" s="4037"/>
      <c r="AC25" s="4037"/>
      <c r="AD25" s="4037"/>
      <c r="AE25" s="5272"/>
      <c r="AF25" s="4037"/>
      <c r="AG25" s="4037"/>
      <c r="AH25" s="4037"/>
      <c r="AI25" s="4037"/>
      <c r="AJ25" s="4038"/>
      <c r="AK25" s="4036"/>
      <c r="AL25" s="4037"/>
      <c r="AM25" s="4037"/>
      <c r="AN25" s="4037"/>
      <c r="AO25" s="4037"/>
      <c r="AP25" s="4038"/>
      <c r="AQ25" s="4036"/>
      <c r="AR25" s="4037"/>
      <c r="AS25" s="4037"/>
      <c r="AT25" s="4037"/>
      <c r="AU25" s="4037"/>
      <c r="AV25" s="5273"/>
    </row>
    <row r="26" spans="1:48" ht="18" customHeight="1">
      <c r="A26" s="1390">
        <v>6</v>
      </c>
      <c r="B26" s="1472" t="s">
        <v>733</v>
      </c>
      <c r="C26" s="1713"/>
      <c r="D26" s="1713"/>
      <c r="E26" s="1713"/>
      <c r="F26" s="1713"/>
      <c r="G26" s="1713"/>
      <c r="H26" s="1713"/>
      <c r="I26" s="1713"/>
      <c r="J26" s="1713"/>
      <c r="K26" s="1713"/>
      <c r="L26" s="491"/>
      <c r="M26" s="4039"/>
      <c r="N26" s="4040"/>
      <c r="O26" s="4040"/>
      <c r="P26" s="4040"/>
      <c r="Q26" s="4040"/>
      <c r="R26" s="4041"/>
      <c r="S26" s="4039"/>
      <c r="T26" s="4040"/>
      <c r="U26" s="4040"/>
      <c r="V26" s="4040"/>
      <c r="W26" s="4040"/>
      <c r="X26" s="4041"/>
      <c r="Y26" s="4039"/>
      <c r="Z26" s="4040"/>
      <c r="AA26" s="4040"/>
      <c r="AB26" s="4040"/>
      <c r="AC26" s="4040"/>
      <c r="AD26" s="4040"/>
      <c r="AE26" s="5272"/>
      <c r="AF26" s="4037"/>
      <c r="AG26" s="4037"/>
      <c r="AH26" s="4037"/>
      <c r="AI26" s="4037"/>
      <c r="AJ26" s="4038"/>
      <c r="AK26" s="4036"/>
      <c r="AL26" s="4037"/>
      <c r="AM26" s="4037"/>
      <c r="AN26" s="4037"/>
      <c r="AO26" s="4037"/>
      <c r="AP26" s="4038"/>
      <c r="AQ26" s="4036"/>
      <c r="AR26" s="4037"/>
      <c r="AS26" s="4037"/>
      <c r="AT26" s="4037"/>
      <c r="AU26" s="4037"/>
      <c r="AV26" s="5273"/>
    </row>
    <row r="27" spans="1:48" ht="18" customHeight="1">
      <c r="A27" s="1390">
        <v>7</v>
      </c>
      <c r="B27" s="1712" t="s">
        <v>476</v>
      </c>
      <c r="C27" s="1713"/>
      <c r="D27" s="1713"/>
      <c r="E27" s="1713"/>
      <c r="F27" s="1713"/>
      <c r="G27" s="1713"/>
      <c r="H27" s="1713"/>
      <c r="I27" s="1713"/>
      <c r="J27" s="1713"/>
      <c r="K27" s="1713"/>
      <c r="L27" s="491"/>
      <c r="M27" s="4036"/>
      <c r="N27" s="4037"/>
      <c r="O27" s="4037"/>
      <c r="P27" s="4037"/>
      <c r="Q27" s="4037"/>
      <c r="R27" s="4038"/>
      <c r="S27" s="4036"/>
      <c r="T27" s="4037"/>
      <c r="U27" s="4037"/>
      <c r="V27" s="4037"/>
      <c r="W27" s="4037"/>
      <c r="X27" s="4038"/>
      <c r="Y27" s="4036"/>
      <c r="Z27" s="4037"/>
      <c r="AA27" s="4037"/>
      <c r="AB27" s="4037"/>
      <c r="AC27" s="4037"/>
      <c r="AD27" s="4037"/>
      <c r="AE27" s="5272"/>
      <c r="AF27" s="4037"/>
      <c r="AG27" s="4037"/>
      <c r="AH27" s="4037"/>
      <c r="AI27" s="4037"/>
      <c r="AJ27" s="4038"/>
      <c r="AK27" s="4036"/>
      <c r="AL27" s="4037"/>
      <c r="AM27" s="4037"/>
      <c r="AN27" s="4037"/>
      <c r="AO27" s="4037"/>
      <c r="AP27" s="4038"/>
      <c r="AQ27" s="4036"/>
      <c r="AR27" s="4037"/>
      <c r="AS27" s="4037"/>
      <c r="AT27" s="4037"/>
      <c r="AU27" s="4037"/>
      <c r="AV27" s="5273"/>
    </row>
    <row r="28" spans="1:48" ht="18" customHeight="1">
      <c r="A28" s="1390">
        <v>8</v>
      </c>
      <c r="B28" s="1712" t="s">
        <v>477</v>
      </c>
      <c r="C28" s="1713"/>
      <c r="D28" s="1713"/>
      <c r="E28" s="1713"/>
      <c r="F28" s="1713"/>
      <c r="G28" s="1713"/>
      <c r="H28" s="1713"/>
      <c r="I28" s="1713"/>
      <c r="J28" s="1713"/>
      <c r="K28" s="1713"/>
      <c r="L28" s="491"/>
      <c r="M28" s="4036"/>
      <c r="N28" s="4037"/>
      <c r="O28" s="4037"/>
      <c r="P28" s="4037"/>
      <c r="Q28" s="4037"/>
      <c r="R28" s="4038"/>
      <c r="S28" s="4036"/>
      <c r="T28" s="4037"/>
      <c r="U28" s="4037"/>
      <c r="V28" s="4037"/>
      <c r="W28" s="4037"/>
      <c r="X28" s="4038"/>
      <c r="Y28" s="4036"/>
      <c r="Z28" s="4037"/>
      <c r="AA28" s="4037"/>
      <c r="AB28" s="4037"/>
      <c r="AC28" s="4037"/>
      <c r="AD28" s="4037"/>
      <c r="AE28" s="5272"/>
      <c r="AF28" s="4037"/>
      <c r="AG28" s="4037"/>
      <c r="AH28" s="4037"/>
      <c r="AI28" s="4037"/>
      <c r="AJ28" s="4038"/>
      <c r="AK28" s="4036"/>
      <c r="AL28" s="4037"/>
      <c r="AM28" s="4037"/>
      <c r="AN28" s="4037"/>
      <c r="AO28" s="4037"/>
      <c r="AP28" s="4038"/>
      <c r="AQ28" s="4036"/>
      <c r="AR28" s="4037"/>
      <c r="AS28" s="4037"/>
      <c r="AT28" s="4037"/>
      <c r="AU28" s="4037"/>
      <c r="AV28" s="5273"/>
    </row>
    <row r="29" spans="1:48" ht="18" customHeight="1">
      <c r="A29" s="1390">
        <v>9</v>
      </c>
      <c r="B29" s="1712" t="s">
        <v>478</v>
      </c>
      <c r="C29" s="1713"/>
      <c r="D29" s="1713"/>
      <c r="E29" s="1713"/>
      <c r="F29" s="1713"/>
      <c r="G29" s="1713"/>
      <c r="H29" s="1713"/>
      <c r="I29" s="1713"/>
      <c r="J29" s="1713"/>
      <c r="K29" s="1713"/>
      <c r="L29" s="491"/>
      <c r="M29" s="4036"/>
      <c r="N29" s="4037"/>
      <c r="O29" s="4037"/>
      <c r="P29" s="4037"/>
      <c r="Q29" s="4037"/>
      <c r="R29" s="4038"/>
      <c r="S29" s="4036"/>
      <c r="T29" s="4037"/>
      <c r="U29" s="4037"/>
      <c r="V29" s="4037"/>
      <c r="W29" s="4037"/>
      <c r="X29" s="4038"/>
      <c r="Y29" s="4036"/>
      <c r="Z29" s="4037"/>
      <c r="AA29" s="4037"/>
      <c r="AB29" s="4037"/>
      <c r="AC29" s="4037"/>
      <c r="AD29" s="4037"/>
      <c r="AE29" s="5272"/>
      <c r="AF29" s="4037"/>
      <c r="AG29" s="4037"/>
      <c r="AH29" s="4037"/>
      <c r="AI29" s="4037"/>
      <c r="AJ29" s="4038"/>
      <c r="AK29" s="4036"/>
      <c r="AL29" s="4037"/>
      <c r="AM29" s="4037"/>
      <c r="AN29" s="4037"/>
      <c r="AO29" s="4037"/>
      <c r="AP29" s="4038"/>
      <c r="AQ29" s="4036"/>
      <c r="AR29" s="4037"/>
      <c r="AS29" s="4037"/>
      <c r="AT29" s="4037"/>
      <c r="AU29" s="4037"/>
      <c r="AV29" s="5273"/>
    </row>
    <row r="30" spans="1:48" ht="18" customHeight="1">
      <c r="A30" s="1390">
        <v>10</v>
      </c>
      <c r="B30" s="1712" t="s">
        <v>479</v>
      </c>
      <c r="C30" s="1713"/>
      <c r="D30" s="1713"/>
      <c r="E30" s="1713"/>
      <c r="F30" s="1713"/>
      <c r="G30" s="1713"/>
      <c r="H30" s="1713"/>
      <c r="I30" s="1713"/>
      <c r="J30" s="1713"/>
      <c r="K30" s="1713"/>
      <c r="L30" s="491"/>
      <c r="M30" s="4036"/>
      <c r="N30" s="4037"/>
      <c r="O30" s="4037"/>
      <c r="P30" s="4037"/>
      <c r="Q30" s="4037"/>
      <c r="R30" s="4038"/>
      <c r="S30" s="4036"/>
      <c r="T30" s="4037"/>
      <c r="U30" s="4037"/>
      <c r="V30" s="4037"/>
      <c r="W30" s="4037"/>
      <c r="X30" s="4038"/>
      <c r="Y30" s="4036"/>
      <c r="Z30" s="4037"/>
      <c r="AA30" s="4037"/>
      <c r="AB30" s="4037"/>
      <c r="AC30" s="4037"/>
      <c r="AD30" s="4037"/>
      <c r="AE30" s="5272"/>
      <c r="AF30" s="4037"/>
      <c r="AG30" s="4037"/>
      <c r="AH30" s="4037"/>
      <c r="AI30" s="4037"/>
      <c r="AJ30" s="4038"/>
      <c r="AK30" s="4036"/>
      <c r="AL30" s="4037"/>
      <c r="AM30" s="4037"/>
      <c r="AN30" s="4037"/>
      <c r="AO30" s="4037"/>
      <c r="AP30" s="4038"/>
      <c r="AQ30" s="4036"/>
      <c r="AR30" s="4037"/>
      <c r="AS30" s="4037"/>
      <c r="AT30" s="4037"/>
      <c r="AU30" s="4037"/>
      <c r="AV30" s="5273"/>
    </row>
    <row r="31" spans="1:48" ht="18" customHeight="1">
      <c r="A31" s="1390">
        <v>11</v>
      </c>
      <c r="B31" s="2838" t="s">
        <v>1030</v>
      </c>
      <c r="C31" s="2839"/>
      <c r="D31" s="1711"/>
      <c r="E31" s="1711"/>
      <c r="F31" s="1711"/>
      <c r="G31" s="1711"/>
      <c r="H31" s="1711"/>
      <c r="I31" s="1711"/>
      <c r="J31" s="1711"/>
      <c r="K31" s="1711"/>
      <c r="L31" s="488"/>
      <c r="M31" s="4036"/>
      <c r="N31" s="4037"/>
      <c r="O31" s="4037"/>
      <c r="P31" s="4037"/>
      <c r="Q31" s="4037"/>
      <c r="R31" s="4038"/>
      <c r="S31" s="4036"/>
      <c r="T31" s="4037"/>
      <c r="U31" s="4037"/>
      <c r="V31" s="4037"/>
      <c r="W31" s="4037"/>
      <c r="X31" s="4038"/>
      <c r="Y31" s="4036"/>
      <c r="Z31" s="4037"/>
      <c r="AA31" s="4037"/>
      <c r="AB31" s="4037"/>
      <c r="AC31" s="4037"/>
      <c r="AD31" s="4037"/>
      <c r="AE31" s="5272"/>
      <c r="AF31" s="4037"/>
      <c r="AG31" s="4037"/>
      <c r="AH31" s="4037"/>
      <c r="AI31" s="4037"/>
      <c r="AJ31" s="4038"/>
      <c r="AK31" s="4036"/>
      <c r="AL31" s="4037"/>
      <c r="AM31" s="4037"/>
      <c r="AN31" s="4037"/>
      <c r="AO31" s="4037"/>
      <c r="AP31" s="4038"/>
      <c r="AQ31" s="4036"/>
      <c r="AR31" s="4037"/>
      <c r="AS31" s="4037"/>
      <c r="AT31" s="4037"/>
      <c r="AU31" s="4037"/>
      <c r="AV31" s="5273"/>
    </row>
    <row r="32" spans="1:48" ht="18" customHeight="1">
      <c r="A32" s="1390">
        <v>12</v>
      </c>
      <c r="B32" s="2838" t="s">
        <v>1030</v>
      </c>
      <c r="C32" s="2839"/>
      <c r="D32" s="1711"/>
      <c r="E32" s="1711"/>
      <c r="F32" s="1711"/>
      <c r="G32" s="1711"/>
      <c r="H32" s="1711"/>
      <c r="I32" s="1711"/>
      <c r="J32" s="1711"/>
      <c r="K32" s="1711"/>
      <c r="L32" s="488"/>
      <c r="M32" s="4036"/>
      <c r="N32" s="4037"/>
      <c r="O32" s="4037"/>
      <c r="P32" s="4037"/>
      <c r="Q32" s="4037"/>
      <c r="R32" s="4038"/>
      <c r="S32" s="4036"/>
      <c r="T32" s="4037"/>
      <c r="U32" s="4037"/>
      <c r="V32" s="4037"/>
      <c r="W32" s="4037"/>
      <c r="X32" s="4038"/>
      <c r="Y32" s="4036"/>
      <c r="Z32" s="4037"/>
      <c r="AA32" s="4037"/>
      <c r="AB32" s="4037"/>
      <c r="AC32" s="4037"/>
      <c r="AD32" s="4037"/>
      <c r="AE32" s="5272"/>
      <c r="AF32" s="4037"/>
      <c r="AG32" s="4037"/>
      <c r="AH32" s="4037"/>
      <c r="AI32" s="4037"/>
      <c r="AJ32" s="4038"/>
      <c r="AK32" s="4036"/>
      <c r="AL32" s="4037"/>
      <c r="AM32" s="4037"/>
      <c r="AN32" s="4037"/>
      <c r="AO32" s="4037"/>
      <c r="AP32" s="4038"/>
      <c r="AQ32" s="4036"/>
      <c r="AR32" s="4037"/>
      <c r="AS32" s="4037"/>
      <c r="AT32" s="4037"/>
      <c r="AU32" s="4037"/>
      <c r="AV32" s="5273"/>
    </row>
    <row r="33" spans="1:48" ht="18" customHeight="1" thickBot="1">
      <c r="A33" s="1392">
        <v>13</v>
      </c>
      <c r="B33" s="2838" t="s">
        <v>1030</v>
      </c>
      <c r="C33" s="2840"/>
      <c r="D33" s="2038"/>
      <c r="E33" s="2038"/>
      <c r="F33" s="2038"/>
      <c r="G33" s="2038"/>
      <c r="H33" s="2038"/>
      <c r="I33" s="2038"/>
      <c r="J33" s="2038"/>
      <c r="K33" s="2038"/>
      <c r="L33" s="1393"/>
      <c r="M33" s="4126"/>
      <c r="N33" s="4127"/>
      <c r="O33" s="4127"/>
      <c r="P33" s="4127"/>
      <c r="Q33" s="4127"/>
      <c r="R33" s="4340"/>
      <c r="S33" s="4126"/>
      <c r="T33" s="4127"/>
      <c r="U33" s="4127"/>
      <c r="V33" s="4127"/>
      <c r="W33" s="4127"/>
      <c r="X33" s="4340"/>
      <c r="Y33" s="4126"/>
      <c r="Z33" s="4127"/>
      <c r="AA33" s="4127"/>
      <c r="AB33" s="4127"/>
      <c r="AC33" s="4127"/>
      <c r="AD33" s="4127"/>
      <c r="AE33" s="5271"/>
      <c r="AF33" s="4127"/>
      <c r="AG33" s="4127"/>
      <c r="AH33" s="4127"/>
      <c r="AI33" s="4127"/>
      <c r="AJ33" s="4340"/>
      <c r="AK33" s="4126"/>
      <c r="AL33" s="4127"/>
      <c r="AM33" s="4127"/>
      <c r="AN33" s="4127"/>
      <c r="AO33" s="4127"/>
      <c r="AP33" s="4340"/>
      <c r="AQ33" s="4126"/>
      <c r="AR33" s="4127"/>
      <c r="AS33" s="4127"/>
      <c r="AT33" s="4127"/>
      <c r="AU33" s="4127"/>
      <c r="AV33" s="4128"/>
    </row>
  </sheetData>
  <customSheetViews>
    <customSheetView guid="{BDF1A126-BD1D-4A5E-80B8-98941684E462}" showGridLines="0">
      <selection activeCell="BG11" sqref="BF11:BG11"/>
      <pageMargins left="0.5" right="0.5" top="0.74" bottom="0" header="0" footer="0"/>
      <pageSetup paperSize="9" orientation="landscape" r:id="rId1"/>
      <headerFooter alignWithMargins="0"/>
    </customSheetView>
    <customSheetView guid="{04F0793E-5444-463D-A1D5-E52E08A4C249}" showGridLines="0">
      <selection activeCell="BE28" sqref="BE28"/>
      <pageMargins left="0.5" right="0.5" top="0.5" bottom="0" header="0" footer="0"/>
      <pageSetup paperSize="9" orientation="landscape" r:id="rId2"/>
      <headerFooter alignWithMargins="0"/>
    </customSheetView>
    <customSheetView guid="{925F74B5-C2F5-4E55-AFE4-045C56169B44}" showGridLines="0">
      <selection activeCell="BE28" sqref="BE28"/>
      <pageMargins left="0.5" right="0.5" top="0.5" bottom="0" header="0" footer="0"/>
      <pageSetup paperSize="9" orientation="landscape" r:id="rId3"/>
      <headerFooter alignWithMargins="0"/>
    </customSheetView>
    <customSheetView guid="{1FF58891-F32F-4F97-9812-E2D02F4497AA}" showGridLines="0">
      <selection activeCell="B4" sqref="B4:L23"/>
      <pageMargins left="0.5" right="0.5" top="0.74" bottom="0" header="0" footer="0"/>
      <pageSetup paperSize="9" orientation="landscape" r:id="rId4"/>
      <headerFooter alignWithMargins="0"/>
    </customSheetView>
    <customSheetView guid="{2A6091F0-BAF4-46A2-BC20-0DE610E67601}" showGridLines="0">
      <selection activeCell="BG11" sqref="BF11:BG11"/>
      <pageMargins left="0.5" right="0.5" top="0.74" bottom="0" header="0" footer="0"/>
      <pageSetup paperSize="9" orientation="landscape" r:id="rId5"/>
      <headerFooter alignWithMargins="0"/>
    </customSheetView>
    <customSheetView guid="{5111FDC7-EEAC-46C3-8033-47A3563F0C00}" showGridLines="0">
      <selection activeCell="B31" sqref="B31:C33"/>
      <pageMargins left="0.5" right="0.5" top="0.74" bottom="0" header="0" footer="0"/>
      <pageSetup paperSize="9" orientation="landscape" r:id="rId6"/>
      <headerFooter alignWithMargins="0"/>
    </customSheetView>
    <customSheetView guid="{2A5E79E4-584C-4F65-A220-87928CEA02AF}" showGridLines="0">
      <selection activeCell="B31" sqref="B31:C33"/>
      <pageMargins left="0.5" right="0.5" top="0.74" bottom="0" header="0" footer="0"/>
      <pageSetup paperSize="9" orientation="landscape" r:id="rId7"/>
      <headerFooter alignWithMargins="0"/>
    </customSheetView>
    <customSheetView guid="{66872EF1-41BD-4D4B-B603-B8B0D03DAD22}" showGridLines="0">
      <selection activeCell="B31" sqref="B31:C33"/>
      <pageMargins left="0.5" right="0.5" top="0.74" bottom="0" header="0" footer="0"/>
      <pageSetup paperSize="9" orientation="landscape" r:id="rId8"/>
      <headerFooter alignWithMargins="0"/>
    </customSheetView>
    <customSheetView guid="{ACE56013-11B3-4BF4-BD0B-BF59142DAC13}" showGridLines="0">
      <selection activeCell="AU22" sqref="AU22"/>
      <pageMargins left="0.5" right="0.5" top="0.74" bottom="0" header="0" footer="0"/>
      <pageSetup paperSize="9" orientation="landscape" r:id="rId9"/>
      <headerFooter alignWithMargins="0"/>
    </customSheetView>
  </customSheetViews>
  <mergeCells count="103">
    <mergeCell ref="AC1:AE1"/>
    <mergeCell ref="A4:A19"/>
    <mergeCell ref="B4:L19"/>
    <mergeCell ref="M4:AD4"/>
    <mergeCell ref="AE4:AV4"/>
    <mergeCell ref="AQ14:AV15"/>
    <mergeCell ref="S17:X18"/>
    <mergeCell ref="Y17:AD18"/>
    <mergeCell ref="AK17:AP18"/>
    <mergeCell ref="AQ17:AV18"/>
    <mergeCell ref="AE18:AJ18"/>
    <mergeCell ref="M5:R16"/>
    <mergeCell ref="S5:X13"/>
    <mergeCell ref="Y5:AD13"/>
    <mergeCell ref="AE5:AJ15"/>
    <mergeCell ref="AK5:AP13"/>
    <mergeCell ref="AQ5:AV13"/>
    <mergeCell ref="S14:X15"/>
    <mergeCell ref="Y14:AD15"/>
    <mergeCell ref="AK14:AP15"/>
    <mergeCell ref="S19:X19"/>
    <mergeCell ref="Y19:AD19"/>
    <mergeCell ref="AK19:AP19"/>
    <mergeCell ref="AQ19:AV19"/>
    <mergeCell ref="M3:R3"/>
    <mergeCell ref="S3:X3"/>
    <mergeCell ref="Y3:AD3"/>
    <mergeCell ref="AE3:AJ3"/>
    <mergeCell ref="AK3:AP3"/>
    <mergeCell ref="AQ3:AV3"/>
    <mergeCell ref="M23:R23"/>
    <mergeCell ref="S23:X23"/>
    <mergeCell ref="Y23:AD23"/>
    <mergeCell ref="AE23:AJ23"/>
    <mergeCell ref="AK23:AP23"/>
    <mergeCell ref="AQ23:AV23"/>
    <mergeCell ref="M21:R21"/>
    <mergeCell ref="S21:X21"/>
    <mergeCell ref="Y21:AD21"/>
    <mergeCell ref="AE21:AJ21"/>
    <mergeCell ref="AK21:AP21"/>
    <mergeCell ref="AQ21:AV21"/>
    <mergeCell ref="O18:R18"/>
    <mergeCell ref="M25:R25"/>
    <mergeCell ref="S25:X25"/>
    <mergeCell ref="Y25:AD25"/>
    <mergeCell ref="AE25:AJ25"/>
    <mergeCell ref="AK25:AP25"/>
    <mergeCell ref="AQ25:AV25"/>
    <mergeCell ref="M24:R24"/>
    <mergeCell ref="S24:X24"/>
    <mergeCell ref="Y24:AD24"/>
    <mergeCell ref="AE24:AJ24"/>
    <mergeCell ref="AK24:AP24"/>
    <mergeCell ref="AQ24:AV24"/>
    <mergeCell ref="M27:R27"/>
    <mergeCell ref="S27:X27"/>
    <mergeCell ref="Y27:AD27"/>
    <mergeCell ref="AE27:AJ27"/>
    <mergeCell ref="AK27:AP27"/>
    <mergeCell ref="AQ27:AV27"/>
    <mergeCell ref="M26:R26"/>
    <mergeCell ref="S26:X26"/>
    <mergeCell ref="Y26:AD26"/>
    <mergeCell ref="AE26:AJ26"/>
    <mergeCell ref="AK26:AP26"/>
    <mergeCell ref="AQ26:AV26"/>
    <mergeCell ref="M29:R29"/>
    <mergeCell ref="S29:X29"/>
    <mergeCell ref="Y29:AD29"/>
    <mergeCell ref="AE29:AJ29"/>
    <mergeCell ref="AK29:AP29"/>
    <mergeCell ref="AQ29:AV29"/>
    <mergeCell ref="M28:R28"/>
    <mergeCell ref="S28:X28"/>
    <mergeCell ref="Y28:AD28"/>
    <mergeCell ref="AE28:AJ28"/>
    <mergeCell ref="AK28:AP28"/>
    <mergeCell ref="AQ28:AV28"/>
    <mergeCell ref="M31:R31"/>
    <mergeCell ref="S31:X31"/>
    <mergeCell ref="Y31:AD31"/>
    <mergeCell ref="AE31:AJ31"/>
    <mergeCell ref="AK31:AP31"/>
    <mergeCell ref="AQ31:AV31"/>
    <mergeCell ref="M30:R30"/>
    <mergeCell ref="S30:X30"/>
    <mergeCell ref="Y30:AD30"/>
    <mergeCell ref="AE30:AJ30"/>
    <mergeCell ref="AK30:AP30"/>
    <mergeCell ref="AQ30:AV30"/>
    <mergeCell ref="M33:R33"/>
    <mergeCell ref="S33:X33"/>
    <mergeCell ref="Y33:AD33"/>
    <mergeCell ref="AE33:AJ33"/>
    <mergeCell ref="AK33:AP33"/>
    <mergeCell ref="AQ33:AV33"/>
    <mergeCell ref="M32:R32"/>
    <mergeCell ref="S32:X32"/>
    <mergeCell ref="Y32:AD32"/>
    <mergeCell ref="AE32:AJ32"/>
    <mergeCell ref="AK32:AP32"/>
    <mergeCell ref="AQ32:AV32"/>
  </mergeCells>
  <pageMargins left="0.5" right="0.5" top="0.74" bottom="0" header="0" footer="0"/>
  <pageSetup paperSize="9" orientation="landscape" r:id="rId10"/>
  <headerFooter alignWithMargins="0"/>
  <drawing r:id="rId11"/>
  <legacyDrawing r:id="rId1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27"/>
  <sheetViews>
    <sheetView workbookViewId="0">
      <selection activeCell="Y1" sqref="Y1"/>
    </sheetView>
  </sheetViews>
  <sheetFormatPr defaultColWidth="3.140625" defaultRowHeight="17.25" customHeight="1"/>
  <cols>
    <col min="1" max="1" width="4.140625" style="326" customWidth="1"/>
    <col min="2" max="9" width="3.140625" style="326"/>
    <col min="10" max="10" width="3.28515625" style="326" customWidth="1"/>
    <col min="11" max="11" width="0.85546875" style="326" customWidth="1"/>
    <col min="12" max="12" width="1.28515625" style="326" customWidth="1"/>
    <col min="13" max="13" width="4" style="326" customWidth="1"/>
    <col min="14" max="14" width="4.140625" style="326" customWidth="1"/>
    <col min="15" max="15" width="3.140625" style="326"/>
    <col min="16" max="16" width="5.42578125" style="326" customWidth="1"/>
    <col min="17" max="17" width="2.140625" style="326" customWidth="1"/>
    <col min="18" max="19" width="3.140625" style="326"/>
    <col min="20" max="20" width="2.5703125" style="326" customWidth="1"/>
    <col min="21" max="21" width="3.140625" style="326"/>
    <col min="22" max="22" width="2.28515625" style="326" customWidth="1"/>
    <col min="23" max="23" width="3.140625" style="326"/>
    <col min="24" max="24" width="7" style="326" customWidth="1"/>
    <col min="25" max="25" width="3.140625" style="523"/>
    <col min="26" max="27" width="2.140625" style="326" customWidth="1"/>
    <col min="28" max="28" width="2.42578125" style="326" customWidth="1"/>
    <col min="29" max="29" width="1.42578125" style="326" customWidth="1"/>
    <col min="30" max="16384" width="3.140625" style="326"/>
  </cols>
  <sheetData>
    <row r="1" spans="1:30" s="367" customFormat="1" ht="17.25" customHeight="1">
      <c r="A1" s="550" t="s">
        <v>1399</v>
      </c>
      <c r="AC1" s="422"/>
      <c r="AD1" s="422"/>
    </row>
    <row r="2" spans="1:30" s="367" customFormat="1" ht="33" customHeight="1">
      <c r="AB2" s="2039" t="s">
        <v>1352</v>
      </c>
      <c r="AC2" s="422"/>
      <c r="AD2" s="422"/>
    </row>
    <row r="3" spans="1:30" s="367" customFormat="1" ht="9" customHeight="1" thickBot="1">
      <c r="AC3" s="422"/>
      <c r="AD3" s="422"/>
    </row>
    <row r="4" spans="1:30" s="367" customFormat="1" ht="29.25" customHeight="1" thickBot="1">
      <c r="Z4" s="2735" t="s">
        <v>1561</v>
      </c>
      <c r="AA4" s="1431"/>
      <c r="AB4" s="2518"/>
      <c r="AC4" s="2519"/>
      <c r="AD4" s="1228"/>
    </row>
    <row r="5" spans="1:30" s="367" customFormat="1" ht="15" customHeight="1" thickBot="1">
      <c r="Z5" s="479"/>
      <c r="AA5" s="422"/>
      <c r="AB5" s="422"/>
      <c r="AC5" s="1228"/>
      <c r="AD5" s="1228"/>
    </row>
    <row r="6" spans="1:30" ht="19.5" customHeight="1">
      <c r="A6" s="750" t="s">
        <v>595</v>
      </c>
      <c r="B6" s="5320" t="s">
        <v>1429</v>
      </c>
      <c r="C6" s="5320"/>
      <c r="D6" s="5320"/>
      <c r="E6" s="5320"/>
      <c r="F6" s="5320"/>
      <c r="G6" s="5320"/>
      <c r="H6" s="5320"/>
      <c r="I6" s="5320"/>
      <c r="J6" s="5320"/>
      <c r="K6" s="5320"/>
      <c r="L6" s="5320"/>
      <c r="M6" s="5320"/>
      <c r="N6" s="5321"/>
      <c r="O6" s="329"/>
      <c r="P6" s="749">
        <v>9.02</v>
      </c>
      <c r="Q6" s="5320" t="s">
        <v>1430</v>
      </c>
      <c r="R6" s="5320"/>
      <c r="S6" s="5320"/>
      <c r="T6" s="5320"/>
      <c r="U6" s="5320"/>
      <c r="V6" s="5320"/>
      <c r="W6" s="5320"/>
      <c r="X6" s="5320"/>
      <c r="Y6" s="5320"/>
      <c r="Z6" s="5320"/>
      <c r="AA6" s="5320"/>
      <c r="AB6" s="5320"/>
      <c r="AC6" s="512"/>
    </row>
    <row r="7" spans="1:30" ht="18" customHeight="1">
      <c r="A7" s="1443"/>
      <c r="B7" s="4066"/>
      <c r="C7" s="4066"/>
      <c r="D7" s="4066"/>
      <c r="E7" s="4066"/>
      <c r="F7" s="4066"/>
      <c r="G7" s="4066"/>
      <c r="H7" s="4066"/>
      <c r="I7" s="4066"/>
      <c r="J7" s="4066"/>
      <c r="K7" s="4066"/>
      <c r="L7" s="4066"/>
      <c r="M7" s="4066"/>
      <c r="N7" s="4124"/>
      <c r="O7" s="584"/>
      <c r="P7" s="1444"/>
      <c r="Q7" s="4066"/>
      <c r="R7" s="4066"/>
      <c r="S7" s="4066"/>
      <c r="T7" s="4066"/>
      <c r="U7" s="4066"/>
      <c r="V7" s="4066"/>
      <c r="W7" s="4066"/>
      <c r="X7" s="4066"/>
      <c r="Y7" s="4066"/>
      <c r="Z7" s="4066"/>
      <c r="AA7" s="4066"/>
      <c r="AB7" s="4066"/>
      <c r="AC7" s="328"/>
    </row>
    <row r="8" spans="1:30" ht="17.25" customHeight="1">
      <c r="A8" s="522"/>
      <c r="B8" s="5322" t="s">
        <v>441</v>
      </c>
      <c r="C8" s="5322"/>
      <c r="D8" s="5322"/>
      <c r="E8" s="5322"/>
      <c r="F8" s="5322"/>
      <c r="G8" s="5322"/>
      <c r="H8" s="5322"/>
      <c r="I8" s="5322"/>
      <c r="J8" s="5322"/>
      <c r="K8" s="5322"/>
      <c r="L8" s="5323"/>
      <c r="M8" s="2841" t="s">
        <v>9</v>
      </c>
      <c r="N8" s="2842" t="s">
        <v>10</v>
      </c>
      <c r="O8" s="329"/>
      <c r="P8" s="5327" t="s">
        <v>47</v>
      </c>
      <c r="Q8" s="5328"/>
      <c r="R8" s="5328"/>
      <c r="S8" s="5328"/>
      <c r="T8" s="5328"/>
      <c r="U8" s="5328"/>
      <c r="V8" s="5328"/>
      <c r="W8" s="5328"/>
      <c r="X8" s="5328"/>
      <c r="Y8" s="520"/>
      <c r="Z8" s="329"/>
      <c r="AA8" s="329"/>
      <c r="AB8" s="329"/>
      <c r="AC8" s="328"/>
    </row>
    <row r="9" spans="1:30" ht="16.5" customHeight="1" thickBot="1">
      <c r="A9" s="1441">
        <v>1</v>
      </c>
      <c r="B9" s="5324" t="s">
        <v>497</v>
      </c>
      <c r="C9" s="5324"/>
      <c r="D9" s="5324"/>
      <c r="E9" s="5324"/>
      <c r="F9" s="5324"/>
      <c r="G9" s="5324"/>
      <c r="H9" s="740"/>
      <c r="I9" s="740"/>
      <c r="J9" s="740"/>
      <c r="K9" s="741"/>
      <c r="L9" s="742"/>
      <c r="M9" s="743">
        <v>1</v>
      </c>
      <c r="N9" s="521">
        <v>2</v>
      </c>
      <c r="O9" s="329"/>
      <c r="P9" s="5325" t="s">
        <v>497</v>
      </c>
      <c r="Q9" s="5326"/>
      <c r="R9" s="5326"/>
      <c r="S9" s="5326"/>
      <c r="T9" s="5326"/>
      <c r="U9" s="5326"/>
      <c r="V9" s="1426"/>
      <c r="W9" s="1426"/>
      <c r="X9" s="1426"/>
      <c r="Y9" s="2761" t="s">
        <v>486</v>
      </c>
      <c r="Z9" s="329"/>
      <c r="AA9" s="329"/>
      <c r="AB9" s="329"/>
      <c r="AC9" s="328"/>
    </row>
    <row r="10" spans="1:30" ht="16.5" customHeight="1">
      <c r="A10" s="1442">
        <v>2</v>
      </c>
      <c r="B10" s="5329" t="s">
        <v>494</v>
      </c>
      <c r="C10" s="5329"/>
      <c r="D10" s="5329"/>
      <c r="E10" s="5329"/>
      <c r="F10" s="5329"/>
      <c r="G10" s="5329"/>
      <c r="H10" s="744"/>
      <c r="I10" s="744"/>
      <c r="J10" s="744"/>
      <c r="K10" s="745"/>
      <c r="L10" s="746"/>
      <c r="M10" s="743">
        <v>1</v>
      </c>
      <c r="N10" s="521">
        <v>2</v>
      </c>
      <c r="O10" s="329"/>
      <c r="P10" s="5330" t="s">
        <v>494</v>
      </c>
      <c r="Q10" s="5329"/>
      <c r="R10" s="5329"/>
      <c r="S10" s="5329"/>
      <c r="T10" s="5329"/>
      <c r="U10" s="5329"/>
      <c r="V10" s="1427"/>
      <c r="W10" s="1427"/>
      <c r="X10" s="1427"/>
      <c r="Y10" s="2761" t="s">
        <v>487</v>
      </c>
      <c r="Z10" s="329"/>
      <c r="AA10" s="748"/>
      <c r="AB10" s="512"/>
      <c r="AC10" s="328"/>
    </row>
    <row r="11" spans="1:30" ht="16.5" customHeight="1" thickBot="1">
      <c r="A11" s="1442">
        <v>3</v>
      </c>
      <c r="B11" s="5324" t="s">
        <v>511</v>
      </c>
      <c r="C11" s="5324"/>
      <c r="D11" s="5324"/>
      <c r="E11" s="5324"/>
      <c r="F11" s="5324"/>
      <c r="G11" s="5324"/>
      <c r="H11" s="5324"/>
      <c r="I11" s="5324"/>
      <c r="J11" s="5324"/>
      <c r="K11" s="741"/>
      <c r="L11" s="746"/>
      <c r="M11" s="743">
        <v>1</v>
      </c>
      <c r="N11" s="521">
        <v>2</v>
      </c>
      <c r="O11" s="329"/>
      <c r="P11" s="5325" t="s">
        <v>511</v>
      </c>
      <c r="Q11" s="5326"/>
      <c r="R11" s="5326"/>
      <c r="S11" s="5326"/>
      <c r="T11" s="5326"/>
      <c r="U11" s="5326"/>
      <c r="V11" s="5326"/>
      <c r="W11" s="5326"/>
      <c r="X11" s="5326"/>
      <c r="Y11" s="2761" t="s">
        <v>488</v>
      </c>
      <c r="Z11" s="329"/>
      <c r="AA11" s="330"/>
      <c r="AB11" s="2253"/>
      <c r="AC11" s="328"/>
    </row>
    <row r="12" spans="1:30" ht="16.5" customHeight="1">
      <c r="A12" s="1442">
        <v>4</v>
      </c>
      <c r="B12" s="5324" t="s">
        <v>498</v>
      </c>
      <c r="C12" s="5324"/>
      <c r="D12" s="5324"/>
      <c r="E12" s="5324"/>
      <c r="F12" s="5324"/>
      <c r="G12" s="5324"/>
      <c r="H12" s="5324"/>
      <c r="I12" s="740"/>
      <c r="J12" s="740"/>
      <c r="K12" s="741"/>
      <c r="L12" s="746"/>
      <c r="M12" s="743">
        <v>1</v>
      </c>
      <c r="N12" s="521">
        <v>2</v>
      </c>
      <c r="O12" s="329"/>
      <c r="P12" s="5325" t="s">
        <v>498</v>
      </c>
      <c r="Q12" s="5326"/>
      <c r="R12" s="5326"/>
      <c r="S12" s="5326"/>
      <c r="T12" s="5326"/>
      <c r="U12" s="5326"/>
      <c r="V12" s="5326"/>
      <c r="W12" s="1426"/>
      <c r="X12" s="1426"/>
      <c r="Y12" s="2761" t="s">
        <v>489</v>
      </c>
      <c r="Z12" s="329"/>
      <c r="AA12" s="329"/>
      <c r="AB12" s="329"/>
      <c r="AC12" s="328"/>
    </row>
    <row r="13" spans="1:30" ht="16.5" customHeight="1">
      <c r="A13" s="1442">
        <v>5</v>
      </c>
      <c r="B13" s="5331" t="s">
        <v>499</v>
      </c>
      <c r="C13" s="5331"/>
      <c r="D13" s="5331"/>
      <c r="E13" s="5331"/>
      <c r="F13" s="5331"/>
      <c r="G13" s="5331"/>
      <c r="H13" s="5331"/>
      <c r="I13" s="5331"/>
      <c r="J13" s="5331"/>
      <c r="K13" s="752"/>
      <c r="L13" s="526"/>
      <c r="M13" s="753">
        <v>1</v>
      </c>
      <c r="N13" s="754">
        <v>2</v>
      </c>
      <c r="O13" s="329"/>
      <c r="P13" s="5332" t="s">
        <v>499</v>
      </c>
      <c r="Q13" s="5333"/>
      <c r="R13" s="5333"/>
      <c r="S13" s="5333"/>
      <c r="T13" s="5333"/>
      <c r="U13" s="5333"/>
      <c r="V13" s="5333"/>
      <c r="W13" s="5333"/>
      <c r="X13" s="5333"/>
      <c r="Y13" s="2761" t="s">
        <v>490</v>
      </c>
      <c r="Z13" s="329"/>
      <c r="AA13" s="329"/>
      <c r="AB13" s="329"/>
      <c r="AC13" s="328"/>
    </row>
    <row r="14" spans="1:30" ht="30" customHeight="1">
      <c r="A14" s="1442">
        <v>6</v>
      </c>
      <c r="B14" s="5331" t="s">
        <v>510</v>
      </c>
      <c r="C14" s="5331"/>
      <c r="D14" s="5331"/>
      <c r="E14" s="5331"/>
      <c r="F14" s="5331"/>
      <c r="G14" s="5331"/>
      <c r="H14" s="5331"/>
      <c r="I14" s="5331"/>
      <c r="J14" s="5331"/>
      <c r="K14" s="5331"/>
      <c r="L14" s="5334"/>
      <c r="M14" s="753">
        <v>1</v>
      </c>
      <c r="N14" s="754">
        <v>2</v>
      </c>
      <c r="O14" s="329"/>
      <c r="P14" s="5325" t="s">
        <v>510</v>
      </c>
      <c r="Q14" s="5326"/>
      <c r="R14" s="5326"/>
      <c r="S14" s="5326"/>
      <c r="T14" s="5326"/>
      <c r="U14" s="5326"/>
      <c r="V14" s="5326"/>
      <c r="W14" s="5326"/>
      <c r="X14" s="5326"/>
      <c r="Y14" s="2761" t="s">
        <v>491</v>
      </c>
      <c r="Z14" s="513"/>
      <c r="AA14" s="513"/>
      <c r="AB14" s="329"/>
      <c r="AC14" s="328"/>
    </row>
    <row r="15" spans="1:30" ht="16.5" customHeight="1">
      <c r="A15" s="1442">
        <v>7</v>
      </c>
      <c r="B15" s="5324" t="s">
        <v>500</v>
      </c>
      <c r="C15" s="5324"/>
      <c r="D15" s="5324"/>
      <c r="E15" s="5324"/>
      <c r="F15" s="5324"/>
      <c r="G15" s="5324"/>
      <c r="H15" s="740"/>
      <c r="I15" s="740"/>
      <c r="J15" s="740"/>
      <c r="K15" s="747"/>
      <c r="L15" s="746"/>
      <c r="M15" s="743">
        <v>1</v>
      </c>
      <c r="N15" s="521">
        <v>2</v>
      </c>
      <c r="O15" s="329"/>
      <c r="P15" s="5325" t="s">
        <v>500</v>
      </c>
      <c r="Q15" s="5326"/>
      <c r="R15" s="5326"/>
      <c r="S15" s="5326"/>
      <c r="T15" s="5326"/>
      <c r="U15" s="5326"/>
      <c r="V15" s="1426"/>
      <c r="W15" s="1426"/>
      <c r="X15" s="1426"/>
      <c r="Y15" s="2761" t="s">
        <v>492</v>
      </c>
      <c r="Z15" s="329"/>
      <c r="AA15" s="329"/>
      <c r="AB15" s="329"/>
      <c r="AC15" s="328"/>
    </row>
    <row r="16" spans="1:30" ht="16.5" customHeight="1">
      <c r="A16" s="1442">
        <v>8</v>
      </c>
      <c r="B16" s="5324" t="s">
        <v>501</v>
      </c>
      <c r="C16" s="5324"/>
      <c r="D16" s="5324"/>
      <c r="E16" s="5324"/>
      <c r="F16" s="5324"/>
      <c r="G16" s="5324"/>
      <c r="H16" s="5324"/>
      <c r="I16" s="5324"/>
      <c r="J16" s="5324"/>
      <c r="K16" s="747"/>
      <c r="L16" s="746"/>
      <c r="M16" s="743">
        <v>1</v>
      </c>
      <c r="N16" s="521">
        <v>2</v>
      </c>
      <c r="O16" s="329"/>
      <c r="P16" s="5325" t="s">
        <v>501</v>
      </c>
      <c r="Q16" s="5326"/>
      <c r="R16" s="5326"/>
      <c r="S16" s="5326"/>
      <c r="T16" s="5326"/>
      <c r="U16" s="5326"/>
      <c r="V16" s="5326"/>
      <c r="W16" s="5326"/>
      <c r="X16" s="5326"/>
      <c r="Y16" s="2761" t="s">
        <v>493</v>
      </c>
      <c r="Z16" s="329"/>
      <c r="AA16" s="329"/>
      <c r="AB16" s="329"/>
      <c r="AC16" s="328"/>
    </row>
    <row r="17" spans="1:29" ht="16.5" customHeight="1">
      <c r="A17" s="1442">
        <v>9</v>
      </c>
      <c r="B17" s="5324" t="s">
        <v>502</v>
      </c>
      <c r="C17" s="5324"/>
      <c r="D17" s="5324"/>
      <c r="E17" s="5324"/>
      <c r="F17" s="5324"/>
      <c r="G17" s="5324"/>
      <c r="H17" s="740"/>
      <c r="I17" s="740"/>
      <c r="J17" s="740"/>
      <c r="K17" s="747"/>
      <c r="L17" s="746"/>
      <c r="M17" s="743">
        <v>1</v>
      </c>
      <c r="N17" s="521">
        <v>2</v>
      </c>
      <c r="O17" s="329"/>
      <c r="P17" s="5325" t="s">
        <v>502</v>
      </c>
      <c r="Q17" s="5326"/>
      <c r="R17" s="5326"/>
      <c r="S17" s="5326"/>
      <c r="T17" s="5326"/>
      <c r="U17" s="5326"/>
      <c r="V17" s="1426"/>
      <c r="W17" s="1426"/>
      <c r="X17" s="1426"/>
      <c r="Y17" s="2761" t="s">
        <v>698</v>
      </c>
      <c r="Z17" s="329"/>
      <c r="AC17" s="328"/>
    </row>
    <row r="18" spans="1:29" ht="16.5" customHeight="1">
      <c r="A18" s="1442">
        <v>10</v>
      </c>
      <c r="B18" s="5324" t="s">
        <v>503</v>
      </c>
      <c r="C18" s="5324"/>
      <c r="D18" s="5324"/>
      <c r="E18" s="5324"/>
      <c r="F18" s="5324"/>
      <c r="G18" s="5324"/>
      <c r="H18" s="5324"/>
      <c r="I18" s="5324"/>
      <c r="J18" s="740"/>
      <c r="K18" s="747"/>
      <c r="L18" s="746"/>
      <c r="M18" s="743">
        <v>1</v>
      </c>
      <c r="N18" s="521">
        <v>2</v>
      </c>
      <c r="O18" s="329"/>
      <c r="P18" s="5325" t="s">
        <v>503</v>
      </c>
      <c r="Q18" s="5326"/>
      <c r="R18" s="5326"/>
      <c r="S18" s="5326"/>
      <c r="T18" s="5326"/>
      <c r="U18" s="5326"/>
      <c r="V18" s="5326"/>
      <c r="W18" s="5326"/>
      <c r="X18" s="1426"/>
      <c r="Y18" s="2760">
        <v>10</v>
      </c>
      <c r="Z18" s="329"/>
      <c r="AC18" s="328"/>
    </row>
    <row r="19" spans="1:29" ht="16.5" customHeight="1">
      <c r="A19" s="1442">
        <v>11</v>
      </c>
      <c r="B19" s="5336" t="s">
        <v>1431</v>
      </c>
      <c r="C19" s="5336"/>
      <c r="D19" s="5336"/>
      <c r="E19" s="5336"/>
      <c r="F19" s="5336"/>
      <c r="G19" s="5336"/>
      <c r="H19" s="5336"/>
      <c r="I19" s="5336"/>
      <c r="J19" s="5336"/>
      <c r="K19" s="5336"/>
      <c r="L19" s="5337"/>
      <c r="M19" s="743">
        <v>1</v>
      </c>
      <c r="N19" s="521">
        <v>2</v>
      </c>
      <c r="O19" s="329"/>
      <c r="P19" s="5335" t="s">
        <v>1431</v>
      </c>
      <c r="Q19" s="5336"/>
      <c r="R19" s="5336"/>
      <c r="S19" s="5336"/>
      <c r="T19" s="5336"/>
      <c r="U19" s="5336"/>
      <c r="V19" s="5336"/>
      <c r="W19" s="5336"/>
      <c r="X19" s="5336"/>
      <c r="Y19" s="2517">
        <v>11</v>
      </c>
      <c r="Z19" s="329"/>
      <c r="AA19" s="329"/>
      <c r="AB19" s="329"/>
      <c r="AC19" s="328"/>
    </row>
    <row r="20" spans="1:29" ht="16.5" customHeight="1">
      <c r="A20" s="1442">
        <v>12</v>
      </c>
      <c r="B20" s="5324" t="s">
        <v>504</v>
      </c>
      <c r="C20" s="5324"/>
      <c r="D20" s="5324"/>
      <c r="E20" s="5324"/>
      <c r="F20" s="5324"/>
      <c r="G20" s="5324"/>
      <c r="H20" s="740"/>
      <c r="I20" s="740"/>
      <c r="J20" s="740"/>
      <c r="K20" s="741"/>
      <c r="L20" s="746"/>
      <c r="M20" s="743">
        <v>1</v>
      </c>
      <c r="N20" s="521">
        <v>2</v>
      </c>
      <c r="O20" s="329"/>
      <c r="P20" s="5325" t="s">
        <v>504</v>
      </c>
      <c r="Q20" s="5326"/>
      <c r="R20" s="5326"/>
      <c r="S20" s="5326"/>
      <c r="T20" s="5326"/>
      <c r="U20" s="5326"/>
      <c r="V20" s="1426"/>
      <c r="W20" s="1426"/>
      <c r="X20" s="1426"/>
      <c r="Y20" s="2515">
        <v>12</v>
      </c>
      <c r="Z20" s="513"/>
      <c r="AA20" s="329"/>
      <c r="AB20" s="329"/>
      <c r="AC20" s="328"/>
    </row>
    <row r="21" spans="1:29" ht="16.5" customHeight="1">
      <c r="A21" s="1442">
        <v>13</v>
      </c>
      <c r="B21" s="5324" t="s">
        <v>505</v>
      </c>
      <c r="C21" s="5324"/>
      <c r="D21" s="5324"/>
      <c r="E21" s="5324"/>
      <c r="F21" s="5324"/>
      <c r="G21" s="5324"/>
      <c r="H21" s="740"/>
      <c r="I21" s="740"/>
      <c r="J21" s="740"/>
      <c r="K21" s="747"/>
      <c r="L21" s="740"/>
      <c r="M21" s="743">
        <v>1</v>
      </c>
      <c r="N21" s="521">
        <v>2</v>
      </c>
      <c r="O21" s="329"/>
      <c r="P21" s="5325" t="s">
        <v>505</v>
      </c>
      <c r="Q21" s="5326"/>
      <c r="R21" s="5326"/>
      <c r="S21" s="5326"/>
      <c r="T21" s="5326"/>
      <c r="U21" s="5326"/>
      <c r="V21" s="1426"/>
      <c r="W21" s="1426"/>
      <c r="X21" s="1426"/>
      <c r="Y21" s="2517">
        <v>13</v>
      </c>
      <c r="Z21" s="329"/>
      <c r="AA21" s="513"/>
      <c r="AB21" s="513"/>
      <c r="AC21" s="1440"/>
    </row>
    <row r="22" spans="1:29" ht="32.25" customHeight="1">
      <c r="A22" s="1442">
        <v>14</v>
      </c>
      <c r="B22" s="5331" t="s">
        <v>1846</v>
      </c>
      <c r="C22" s="5331"/>
      <c r="D22" s="5331"/>
      <c r="E22" s="5331"/>
      <c r="F22" s="5331"/>
      <c r="G22" s="5331"/>
      <c r="H22" s="5331"/>
      <c r="I22" s="5331"/>
      <c r="J22" s="5331"/>
      <c r="K22" s="5331"/>
      <c r="L22" s="5334"/>
      <c r="M22" s="753">
        <v>1</v>
      </c>
      <c r="N22" s="754">
        <v>2</v>
      </c>
      <c r="O22" s="329"/>
      <c r="P22" s="5332" t="s">
        <v>1616</v>
      </c>
      <c r="Q22" s="5333"/>
      <c r="R22" s="5333"/>
      <c r="S22" s="5333"/>
      <c r="T22" s="5333"/>
      <c r="U22" s="5333"/>
      <c r="V22" s="5333"/>
      <c r="W22" s="5333"/>
      <c r="X22" s="5333"/>
      <c r="Y22" s="2516">
        <v>14</v>
      </c>
      <c r="Z22" s="513"/>
      <c r="AA22" s="513"/>
      <c r="AB22" s="329"/>
      <c r="AC22" s="328"/>
    </row>
    <row r="23" spans="1:29" ht="16.5" customHeight="1">
      <c r="A23" s="1442">
        <v>15</v>
      </c>
      <c r="B23" s="5324" t="s">
        <v>506</v>
      </c>
      <c r="C23" s="5324"/>
      <c r="D23" s="5324"/>
      <c r="E23" s="5324"/>
      <c r="F23" s="5324"/>
      <c r="G23" s="5324"/>
      <c r="H23" s="5324"/>
      <c r="I23" s="5324"/>
      <c r="J23" s="5324"/>
      <c r="K23" s="747"/>
      <c r="L23" s="746"/>
      <c r="M23" s="743">
        <v>1</v>
      </c>
      <c r="N23" s="521">
        <v>2</v>
      </c>
      <c r="O23" s="329"/>
      <c r="P23" s="5325" t="s">
        <v>506</v>
      </c>
      <c r="Q23" s="5326"/>
      <c r="R23" s="5326"/>
      <c r="S23" s="5326"/>
      <c r="T23" s="5326"/>
      <c r="U23" s="5326"/>
      <c r="V23" s="5326"/>
      <c r="W23" s="5326"/>
      <c r="X23" s="5326"/>
      <c r="Y23" s="2517">
        <v>15</v>
      </c>
      <c r="Z23" s="329"/>
      <c r="AA23" s="329"/>
      <c r="AB23" s="329"/>
      <c r="AC23" s="328"/>
    </row>
    <row r="24" spans="1:29" ht="16.5" customHeight="1">
      <c r="A24" s="1442">
        <v>16</v>
      </c>
      <c r="B24" s="5324" t="s">
        <v>507</v>
      </c>
      <c r="C24" s="5324"/>
      <c r="D24" s="5324"/>
      <c r="E24" s="5324"/>
      <c r="F24" s="5324"/>
      <c r="G24" s="5324"/>
      <c r="H24" s="5324"/>
      <c r="I24" s="5324"/>
      <c r="J24" s="5324"/>
      <c r="K24" s="747"/>
      <c r="L24" s="740"/>
      <c r="M24" s="743">
        <v>1</v>
      </c>
      <c r="N24" s="521">
        <v>2</v>
      </c>
      <c r="O24" s="329"/>
      <c r="P24" s="5325" t="s">
        <v>507</v>
      </c>
      <c r="Q24" s="5326"/>
      <c r="R24" s="5326"/>
      <c r="S24" s="5326"/>
      <c r="T24" s="5326"/>
      <c r="U24" s="5326"/>
      <c r="V24" s="5326"/>
      <c r="W24" s="5326"/>
      <c r="X24" s="5326"/>
      <c r="Y24" s="2517">
        <v>16</v>
      </c>
      <c r="Z24" s="329"/>
      <c r="AA24" s="329"/>
      <c r="AB24" s="329"/>
      <c r="AC24" s="328"/>
    </row>
    <row r="25" spans="1:29" ht="16.5" customHeight="1">
      <c r="A25" s="1442">
        <v>17</v>
      </c>
      <c r="B25" s="5324" t="s">
        <v>508</v>
      </c>
      <c r="C25" s="5324"/>
      <c r="D25" s="5324"/>
      <c r="E25" s="5324"/>
      <c r="F25" s="5324"/>
      <c r="G25" s="5324"/>
      <c r="H25" s="5324"/>
      <c r="I25" s="5324"/>
      <c r="J25" s="5324"/>
      <c r="K25" s="747"/>
      <c r="L25" s="740"/>
      <c r="M25" s="743">
        <v>1</v>
      </c>
      <c r="N25" s="521">
        <v>2</v>
      </c>
      <c r="O25" s="329"/>
      <c r="P25" s="5325" t="s">
        <v>508</v>
      </c>
      <c r="Q25" s="5326"/>
      <c r="R25" s="5326"/>
      <c r="S25" s="5326"/>
      <c r="T25" s="5326"/>
      <c r="U25" s="5326"/>
      <c r="V25" s="5326"/>
      <c r="W25" s="5326"/>
      <c r="X25" s="5326"/>
      <c r="Y25" s="2517">
        <v>17</v>
      </c>
      <c r="Z25" s="329"/>
      <c r="AA25" s="329"/>
      <c r="AB25" s="329"/>
      <c r="AC25" s="328"/>
    </row>
    <row r="26" spans="1:29" ht="16.5" customHeight="1">
      <c r="A26" s="3335">
        <v>18</v>
      </c>
      <c r="B26" s="5338" t="s">
        <v>1421</v>
      </c>
      <c r="C26" s="5338"/>
      <c r="D26" s="5338"/>
      <c r="E26" s="5338"/>
      <c r="F26" s="5338"/>
      <c r="G26" s="5338"/>
      <c r="H26" s="5338"/>
      <c r="I26" s="5338"/>
      <c r="J26" s="5338"/>
      <c r="K26" s="3336"/>
      <c r="L26" s="3337"/>
      <c r="M26" s="3338">
        <v>1</v>
      </c>
      <c r="N26" s="3339">
        <v>2</v>
      </c>
      <c r="O26" s="329"/>
      <c r="P26" s="5339" t="s">
        <v>509</v>
      </c>
      <c r="Q26" s="5338"/>
      <c r="R26" s="5338"/>
      <c r="S26" s="5338"/>
      <c r="T26" s="5338"/>
      <c r="U26" s="5338"/>
      <c r="V26" s="5338"/>
      <c r="W26" s="5338"/>
      <c r="X26" s="5338"/>
      <c r="Y26" s="3340">
        <v>18</v>
      </c>
      <c r="Z26" s="3341"/>
      <c r="AA26" s="3341"/>
      <c r="AB26" s="3342"/>
      <c r="AC26" s="3343"/>
    </row>
    <row r="27" spans="1:29" ht="45" customHeight="1">
      <c r="A27" s="327"/>
      <c r="B27" s="1303"/>
      <c r="C27" s="1303"/>
      <c r="D27" s="1303"/>
      <c r="E27" s="1303"/>
      <c r="F27" s="1303"/>
      <c r="G27" s="1303"/>
      <c r="H27" s="1303"/>
      <c r="I27" s="1303"/>
      <c r="J27" s="1303"/>
      <c r="K27" s="329"/>
      <c r="L27" s="329"/>
      <c r="M27" s="329"/>
      <c r="N27" s="519"/>
      <c r="O27" s="329"/>
      <c r="P27" s="514"/>
      <c r="Q27" s="1303"/>
      <c r="R27" s="1303"/>
      <c r="S27" s="1303"/>
      <c r="T27" s="1303"/>
      <c r="U27" s="1303"/>
      <c r="V27" s="1303"/>
      <c r="W27" s="1303"/>
      <c r="X27" s="513"/>
      <c r="Y27" s="1304"/>
      <c r="Z27" s="329"/>
      <c r="AA27" s="329"/>
      <c r="AB27" s="329"/>
      <c r="AC27" s="329"/>
    </row>
  </sheetData>
  <customSheetViews>
    <customSheetView guid="{BDF1A126-BD1D-4A5E-80B8-98941684E462}" showPageBreaks="1" printArea="1" topLeftCell="A15">
      <selection activeCell="AK24" sqref="AK24"/>
      <pageMargins left="0.9" right="0.33" top="0.75" bottom="0.75" header="0.3" footer="0.3"/>
      <pageSetup paperSize="9" orientation="portrait" r:id="rId1"/>
    </customSheetView>
    <customSheetView guid="{04F0793E-5444-463D-A1D5-E52E08A4C249}" showPageBreaks="1" printArea="1" topLeftCell="A7">
      <selection activeCell="Q26" sqref="Q26:Y26"/>
      <pageMargins left="0.7" right="0.7" top="0.75" bottom="0.75" header="0.3" footer="0.3"/>
      <pageSetup orientation="portrait" r:id="rId2"/>
    </customSheetView>
    <customSheetView guid="{925F74B5-C2F5-4E55-AFE4-045C56169B44}" showPageBreaks="1" printArea="1" topLeftCell="A7">
      <selection activeCell="Q26" sqref="Q26:Y26"/>
      <pageMargins left="0.7" right="0.7" top="0.75" bottom="0.75" header="0.3" footer="0.3"/>
      <pageSetup orientation="portrait" r:id="rId3"/>
    </customSheetView>
    <customSheetView guid="{1FF58891-F32F-4F97-9812-E2D02F4497AA}" topLeftCell="A15">
      <selection activeCell="B5" sqref="B5:N23"/>
      <pageMargins left="0.9" right="0.33" top="0.75" bottom="0.75" header="0.3" footer="0.3"/>
      <pageSetup paperSize="9" orientation="portrait" r:id="rId4"/>
    </customSheetView>
    <customSheetView guid="{2A6091F0-BAF4-46A2-BC20-0DE610E67601}" showPageBreaks="1" printArea="1" topLeftCell="A15">
      <selection activeCell="AK24" sqref="AK24"/>
      <pageMargins left="0.9" right="0.33" top="0.75" bottom="0.75" header="0.3" footer="0.3"/>
      <pageSetup paperSize="9" orientation="portrait" r:id="rId5"/>
    </customSheetView>
    <customSheetView guid="{5111FDC7-EEAC-46C3-8033-47A3563F0C00}" showPageBreaks="1" printArea="1" topLeftCell="A7">
      <selection activeCell="M8" sqref="M8:N8"/>
      <pageMargins left="0.9" right="0.33" top="0.75" bottom="0.75" header="0.3" footer="0.3"/>
      <pageSetup paperSize="9" orientation="portrait" r:id="rId6"/>
    </customSheetView>
    <customSheetView guid="{2A5E79E4-584C-4F65-A220-87928CEA02AF}" showPageBreaks="1" printArea="1">
      <selection activeCell="M8" sqref="M8:N8"/>
      <pageMargins left="0.9" right="0.33" top="0.75" bottom="0.75" header="0.3" footer="0.3"/>
      <pageSetup paperSize="9" orientation="portrait" r:id="rId7"/>
    </customSheetView>
    <customSheetView guid="{66872EF1-41BD-4D4B-B603-B8B0D03DAD22}" showPageBreaks="1" printArea="1">
      <selection activeCell="M8" sqref="M8:N8"/>
      <pageMargins left="0.9" right="0.33" top="0.75" bottom="0.75" header="0.3" footer="0.3"/>
      <pageSetup paperSize="9" orientation="portrait" r:id="rId8"/>
    </customSheetView>
    <customSheetView guid="{ACE56013-11B3-4BF4-BD0B-BF59142DAC13}" showPageBreaks="1" printArea="1" topLeftCell="A20">
      <selection activeCell="M27" sqref="M27"/>
      <pageMargins left="0.9" right="0.33" top="0.75" bottom="0.75" header="0.3" footer="0.3"/>
      <pageSetup paperSize="9" orientation="portrait" r:id="rId9"/>
    </customSheetView>
  </customSheetViews>
  <mergeCells count="40">
    <mergeCell ref="B25:J25"/>
    <mergeCell ref="P25:X25"/>
    <mergeCell ref="B26:J26"/>
    <mergeCell ref="P26:X26"/>
    <mergeCell ref="B22:L22"/>
    <mergeCell ref="P22:X22"/>
    <mergeCell ref="B23:J23"/>
    <mergeCell ref="P23:X23"/>
    <mergeCell ref="B24:J24"/>
    <mergeCell ref="P24:X24"/>
    <mergeCell ref="B20:G20"/>
    <mergeCell ref="P20:U20"/>
    <mergeCell ref="B21:G21"/>
    <mergeCell ref="P21:U21"/>
    <mergeCell ref="P19:X19"/>
    <mergeCell ref="B19:L19"/>
    <mergeCell ref="B16:J16"/>
    <mergeCell ref="P16:X16"/>
    <mergeCell ref="B17:G17"/>
    <mergeCell ref="P17:U17"/>
    <mergeCell ref="B18:I18"/>
    <mergeCell ref="P18:W18"/>
    <mergeCell ref="B13:J13"/>
    <mergeCell ref="P13:X13"/>
    <mergeCell ref="B14:L14"/>
    <mergeCell ref="P14:X14"/>
    <mergeCell ref="B15:G15"/>
    <mergeCell ref="P15:U15"/>
    <mergeCell ref="B10:G10"/>
    <mergeCell ref="P10:U10"/>
    <mergeCell ref="B11:J11"/>
    <mergeCell ref="P11:X11"/>
    <mergeCell ref="B12:H12"/>
    <mergeCell ref="P12:V12"/>
    <mergeCell ref="B6:N7"/>
    <mergeCell ref="Q6:AB7"/>
    <mergeCell ref="B8:L8"/>
    <mergeCell ref="B9:G9"/>
    <mergeCell ref="P9:U9"/>
    <mergeCell ref="P8:X8"/>
  </mergeCells>
  <pageMargins left="0.9" right="0.33" top="0.75" bottom="0.75" header="0.3" footer="0.3"/>
  <pageSetup paperSize="9" orientation="portrait" r:id="rId10"/>
  <drawing r:id="rId11"/>
  <legacyDrawing r:id="rId1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K43"/>
  <sheetViews>
    <sheetView zoomScaleNormal="100" workbookViewId="0">
      <selection activeCell="AG1" sqref="AG1"/>
    </sheetView>
  </sheetViews>
  <sheetFormatPr defaultColWidth="3.140625" defaultRowHeight="17.25" customHeight="1"/>
  <cols>
    <col min="1" max="1" width="4.140625" style="326" customWidth="1"/>
    <col min="2" max="9" width="3.140625" style="326"/>
    <col min="10" max="10" width="0.85546875" style="326" customWidth="1"/>
    <col min="11" max="11" width="3.28515625" style="326" customWidth="1"/>
    <col min="12" max="12" width="2.85546875" style="326" customWidth="1"/>
    <col min="13" max="13" width="3.140625" style="326"/>
    <col min="14" max="14" width="4.140625" style="326" customWidth="1"/>
    <col min="15" max="15" width="3.140625" style="326"/>
    <col min="16" max="16" width="2.28515625" style="326" customWidth="1"/>
    <col min="17" max="17" width="2.140625" style="326" customWidth="1"/>
    <col min="18" max="19" width="3.140625" style="326"/>
    <col min="20" max="20" width="2.5703125" style="326" customWidth="1"/>
    <col min="21" max="21" width="3.140625" style="326"/>
    <col min="22" max="22" width="2.28515625" style="326" customWidth="1"/>
    <col min="23" max="23" width="3.140625" style="326"/>
    <col min="24" max="24" width="6.42578125" style="326" customWidth="1"/>
    <col min="25" max="27" width="3.140625" style="523"/>
    <col min="28" max="28" width="1.85546875" style="326" customWidth="1"/>
    <col min="29" max="29" width="2.140625" style="326" customWidth="1"/>
    <col min="30" max="30" width="2.42578125" style="326" customWidth="1"/>
    <col min="31" max="31" width="5.5703125" style="326" customWidth="1"/>
    <col min="32" max="32" width="3" style="326" customWidth="1"/>
    <col min="33" max="16384" width="3.140625" style="326"/>
  </cols>
  <sheetData>
    <row r="1" spans="1:33" s="367" customFormat="1" ht="17.25" customHeight="1">
      <c r="A1" s="550" t="s">
        <v>1399</v>
      </c>
      <c r="X1" s="422"/>
      <c r="Y1" s="422"/>
      <c r="Z1" s="422"/>
      <c r="AA1" s="422"/>
      <c r="AB1" s="423"/>
      <c r="AC1" s="583"/>
      <c r="AD1" s="1261"/>
      <c r="AE1" s="422"/>
      <c r="AF1" s="2039" t="s">
        <v>1283</v>
      </c>
      <c r="AG1" s="422"/>
    </row>
    <row r="2" spans="1:33" ht="21.75" customHeight="1" thickBot="1">
      <c r="A2" s="514"/>
      <c r="B2" s="538"/>
      <c r="C2" s="324"/>
      <c r="D2" s="324"/>
      <c r="E2" s="324"/>
      <c r="F2" s="324"/>
      <c r="G2" s="324"/>
      <c r="H2" s="324"/>
      <c r="I2" s="324"/>
      <c r="J2" s="324"/>
      <c r="K2" s="324"/>
      <c r="L2" s="324"/>
      <c r="M2" s="324"/>
      <c r="N2" s="324"/>
      <c r="O2" s="324"/>
      <c r="P2" s="324"/>
      <c r="Q2" s="329"/>
      <c r="R2" s="329"/>
      <c r="S2" s="329"/>
      <c r="T2" s="329"/>
      <c r="U2" s="525"/>
      <c r="Y2" s="520"/>
      <c r="Z2" s="520"/>
      <c r="AA2" s="520"/>
      <c r="AB2" s="329"/>
      <c r="AC2" s="331"/>
      <c r="AD2" s="331"/>
      <c r="AE2" s="329"/>
    </row>
    <row r="3" spans="1:33" ht="17.25" customHeight="1">
      <c r="A3" s="755" t="s">
        <v>596</v>
      </c>
      <c r="B3" s="5349" t="s">
        <v>597</v>
      </c>
      <c r="C3" s="5350"/>
      <c r="D3" s="5350"/>
      <c r="E3" s="5350"/>
      <c r="F3" s="5350"/>
      <c r="G3" s="5350"/>
      <c r="H3" s="5350"/>
      <c r="I3" s="5350"/>
      <c r="J3" s="5350"/>
      <c r="K3" s="5350"/>
      <c r="L3" s="5350"/>
      <c r="M3" s="5350"/>
      <c r="N3" s="5350"/>
      <c r="O3" s="5350"/>
      <c r="P3" s="5350"/>
      <c r="Q3" s="5350"/>
      <c r="R3" s="5350"/>
      <c r="S3" s="5350"/>
      <c r="T3" s="5350"/>
      <c r="U3" s="515" t="s">
        <v>1287</v>
      </c>
      <c r="V3" s="515">
        <v>1</v>
      </c>
      <c r="X3" s="515"/>
      <c r="Y3" s="524"/>
      <c r="Z3" s="758"/>
      <c r="AA3" s="758"/>
      <c r="AC3" s="1428"/>
      <c r="AD3" s="1429"/>
      <c r="AE3" s="782"/>
      <c r="AF3" s="782"/>
      <c r="AG3" s="329"/>
    </row>
    <row r="4" spans="1:33" ht="12" customHeight="1" thickBot="1">
      <c r="B4" s="5350"/>
      <c r="C4" s="5350"/>
      <c r="D4" s="5350"/>
      <c r="E4" s="5350"/>
      <c r="F4" s="5350"/>
      <c r="G4" s="5350"/>
      <c r="H4" s="5350"/>
      <c r="I4" s="5350"/>
      <c r="J4" s="5350"/>
      <c r="K4" s="5350"/>
      <c r="L4" s="5350"/>
      <c r="M4" s="5350"/>
      <c r="N4" s="5350"/>
      <c r="O4" s="5350"/>
      <c r="P4" s="5350"/>
      <c r="Q4" s="5350"/>
      <c r="R4" s="5350"/>
      <c r="S4" s="5350"/>
      <c r="T4" s="5350"/>
      <c r="U4" s="516" t="s">
        <v>863</v>
      </c>
      <c r="V4" s="516">
        <v>2</v>
      </c>
      <c r="W4" s="2843" t="s">
        <v>1473</v>
      </c>
      <c r="X4" s="2844"/>
      <c r="Y4" s="2845"/>
      <c r="Z4" s="758"/>
      <c r="AA4" s="758"/>
      <c r="AC4" s="1430"/>
      <c r="AD4" s="332"/>
      <c r="AE4" s="329"/>
      <c r="AF4" s="329"/>
      <c r="AG4" s="329"/>
    </row>
    <row r="5" spans="1:33" ht="11.25" customHeight="1" thickBot="1">
      <c r="B5" s="756"/>
      <c r="C5" s="756"/>
      <c r="D5" s="756"/>
      <c r="E5" s="756"/>
      <c r="F5" s="756"/>
      <c r="G5" s="756"/>
      <c r="H5" s="756"/>
      <c r="I5" s="756"/>
      <c r="J5" s="756"/>
      <c r="K5" s="756"/>
      <c r="L5" s="756"/>
      <c r="M5" s="756"/>
      <c r="N5" s="756"/>
      <c r="O5" s="756"/>
      <c r="P5" s="756"/>
      <c r="Q5" s="756"/>
      <c r="R5" s="756"/>
      <c r="S5" s="756"/>
      <c r="T5" s="756"/>
      <c r="U5" s="517"/>
      <c r="V5" s="517"/>
      <c r="W5" s="517"/>
      <c r="X5" s="757"/>
      <c r="Y5" s="758"/>
      <c r="Z5" s="758"/>
      <c r="AA5" s="758"/>
      <c r="AC5" s="517"/>
      <c r="AD5" s="329"/>
      <c r="AE5" s="329"/>
      <c r="AF5" s="329"/>
    </row>
    <row r="6" spans="1:33" ht="17.25" customHeight="1">
      <c r="B6" s="5356">
        <v>9.0399999999999991</v>
      </c>
      <c r="C6" s="5357"/>
      <c r="D6" s="5357"/>
      <c r="E6" s="5357"/>
      <c r="F6" s="5357"/>
      <c r="G6" s="5357"/>
      <c r="H6" s="5357"/>
      <c r="I6" s="5357"/>
      <c r="J6" s="5357"/>
      <c r="K6" s="5357"/>
      <c r="L6" s="5358"/>
      <c r="M6" s="5359">
        <v>9.0500000000000007</v>
      </c>
      <c r="N6" s="5357"/>
      <c r="O6" s="5357"/>
      <c r="P6" s="5357"/>
      <c r="Q6" s="5358"/>
      <c r="R6" s="5359">
        <v>9.06</v>
      </c>
      <c r="S6" s="5357"/>
      <c r="T6" s="5357"/>
      <c r="U6" s="1134"/>
      <c r="V6" s="5359">
        <v>9.07</v>
      </c>
      <c r="W6" s="5357"/>
      <c r="X6" s="5357"/>
      <c r="Y6" s="5359">
        <v>9.08</v>
      </c>
      <c r="Z6" s="5357"/>
      <c r="AA6" s="5357"/>
      <c r="AB6" s="5357"/>
      <c r="AC6" s="5357"/>
      <c r="AD6" s="5357"/>
      <c r="AE6" s="5357"/>
      <c r="AF6" s="5387"/>
    </row>
    <row r="7" spans="1:33" ht="17.25" customHeight="1">
      <c r="B7" s="5351" t="s">
        <v>834</v>
      </c>
      <c r="C7" s="4559"/>
      <c r="D7" s="4559"/>
      <c r="E7" s="4559"/>
      <c r="F7" s="4559"/>
      <c r="G7" s="4559"/>
      <c r="H7" s="4559"/>
      <c r="I7" s="4559"/>
      <c r="J7" s="4559"/>
      <c r="K7" s="4559"/>
      <c r="L7" s="4562"/>
      <c r="M7" s="5381" t="s">
        <v>443</v>
      </c>
      <c r="N7" s="5382"/>
      <c r="O7" s="5382"/>
      <c r="P7" s="5382"/>
      <c r="Q7" s="5383"/>
      <c r="R7" s="5390" t="s">
        <v>495</v>
      </c>
      <c r="S7" s="5391"/>
      <c r="T7" s="5391"/>
      <c r="U7" s="5392"/>
      <c r="V7" s="4561" t="s">
        <v>1783</v>
      </c>
      <c r="W7" s="4559"/>
      <c r="X7" s="4562"/>
      <c r="Y7" s="4088" t="s">
        <v>1286</v>
      </c>
      <c r="Z7" s="5379"/>
      <c r="AA7" s="5379"/>
      <c r="AB7" s="5379"/>
      <c r="AC7" s="5379"/>
      <c r="AD7" s="5379"/>
      <c r="AE7" s="5379"/>
      <c r="AF7" s="5380"/>
    </row>
    <row r="8" spans="1:33" ht="13.5" customHeight="1">
      <c r="B8" s="5352"/>
      <c r="C8" s="4560"/>
      <c r="D8" s="4560"/>
      <c r="E8" s="4560"/>
      <c r="F8" s="4560"/>
      <c r="G8" s="4560"/>
      <c r="H8" s="4560"/>
      <c r="I8" s="4560"/>
      <c r="J8" s="4560"/>
      <c r="K8" s="4560"/>
      <c r="L8" s="4564"/>
      <c r="M8" s="5384"/>
      <c r="N8" s="5385"/>
      <c r="O8" s="5385"/>
      <c r="P8" s="5385"/>
      <c r="Q8" s="5386"/>
      <c r="R8" s="5393"/>
      <c r="S8" s="5394"/>
      <c r="T8" s="5394"/>
      <c r="U8" s="5395"/>
      <c r="V8" s="4563"/>
      <c r="W8" s="4560"/>
      <c r="X8" s="4564"/>
      <c r="Y8" s="4091"/>
      <c r="Z8" s="3884"/>
      <c r="AA8" s="3884"/>
      <c r="AB8" s="3884"/>
      <c r="AC8" s="3884"/>
      <c r="AD8" s="3884"/>
      <c r="AE8" s="3884"/>
      <c r="AF8" s="3981"/>
    </row>
    <row r="9" spans="1:33" ht="13.5" customHeight="1">
      <c r="B9" s="5352"/>
      <c r="C9" s="4560"/>
      <c r="D9" s="4560"/>
      <c r="E9" s="4560"/>
      <c r="F9" s="4560"/>
      <c r="G9" s="4560"/>
      <c r="H9" s="4560"/>
      <c r="I9" s="4560"/>
      <c r="J9" s="4560"/>
      <c r="K9" s="4560"/>
      <c r="L9" s="4564"/>
      <c r="M9" s="5384"/>
      <c r="N9" s="5385"/>
      <c r="O9" s="5385"/>
      <c r="P9" s="5385"/>
      <c r="Q9" s="5386"/>
      <c r="R9" s="5393"/>
      <c r="S9" s="5394"/>
      <c r="T9" s="5394"/>
      <c r="U9" s="5395"/>
      <c r="V9" s="4563"/>
      <c r="W9" s="4560"/>
      <c r="X9" s="4564"/>
      <c r="AF9" s="2523"/>
    </row>
    <row r="10" spans="1:33" ht="13.5" customHeight="1">
      <c r="B10" s="5370" t="s">
        <v>1474</v>
      </c>
      <c r="C10" s="5371"/>
      <c r="D10" s="5371"/>
      <c r="E10" s="5371"/>
      <c r="F10" s="5371"/>
      <c r="G10" s="5371"/>
      <c r="H10" s="5371"/>
      <c r="I10" s="5371"/>
      <c r="J10" s="5371"/>
      <c r="K10" s="5371"/>
      <c r="L10" s="5372"/>
      <c r="M10" s="1300"/>
      <c r="N10" s="1301"/>
      <c r="O10" s="1301"/>
      <c r="P10" s="1301"/>
      <c r="Q10" s="1302"/>
      <c r="R10" s="5393"/>
      <c r="S10" s="5394"/>
      <c r="T10" s="5394"/>
      <c r="U10" s="5395"/>
      <c r="V10" s="4563"/>
      <c r="W10" s="4560"/>
      <c r="X10" s="4564"/>
      <c r="Y10" s="2040" t="s">
        <v>1119</v>
      </c>
      <c r="Z10" s="2041"/>
      <c r="AA10" s="2041"/>
      <c r="AB10" s="2041"/>
      <c r="AC10" s="1495"/>
      <c r="AD10" s="1495"/>
      <c r="AE10" s="1495"/>
      <c r="AF10" s="2125" t="s">
        <v>486</v>
      </c>
    </row>
    <row r="11" spans="1:33" ht="13.5" customHeight="1">
      <c r="B11" s="5370"/>
      <c r="C11" s="5371"/>
      <c r="D11" s="5371"/>
      <c r="E11" s="5371"/>
      <c r="F11" s="5371"/>
      <c r="G11" s="5371"/>
      <c r="H11" s="5371"/>
      <c r="I11" s="5371"/>
      <c r="J11" s="5371"/>
      <c r="K11" s="5371"/>
      <c r="L11" s="5372"/>
      <c r="M11" s="1300"/>
      <c r="N11" s="1301"/>
      <c r="O11" s="1301"/>
      <c r="P11" s="1301"/>
      <c r="Q11" s="1302"/>
      <c r="R11" s="5393"/>
      <c r="S11" s="5394"/>
      <c r="T11" s="5394"/>
      <c r="U11" s="5395"/>
      <c r="V11" s="4563"/>
      <c r="W11" s="4560"/>
      <c r="X11" s="4564"/>
      <c r="Y11" s="2040" t="s">
        <v>1285</v>
      </c>
      <c r="Z11" s="2041"/>
      <c r="AA11" s="2041"/>
      <c r="AB11" s="2041"/>
      <c r="AC11" s="1495"/>
      <c r="AD11" s="1495"/>
      <c r="AE11" s="1495"/>
      <c r="AF11" s="2125" t="s">
        <v>487</v>
      </c>
    </row>
    <row r="12" spans="1:33" ht="13.5" customHeight="1">
      <c r="B12" s="5370"/>
      <c r="C12" s="5371"/>
      <c r="D12" s="5371"/>
      <c r="E12" s="5371"/>
      <c r="F12" s="5371"/>
      <c r="G12" s="5371"/>
      <c r="H12" s="5371"/>
      <c r="I12" s="5371"/>
      <c r="J12" s="5371"/>
      <c r="K12" s="5371"/>
      <c r="L12" s="5372"/>
      <c r="M12" s="1300"/>
      <c r="N12" s="1301"/>
      <c r="O12" s="1301"/>
      <c r="P12" s="1301"/>
      <c r="Q12" s="1302"/>
      <c r="R12" s="5393"/>
      <c r="S12" s="5394"/>
      <c r="T12" s="5394"/>
      <c r="U12" s="5395"/>
      <c r="V12" s="4563"/>
      <c r="W12" s="4560"/>
      <c r="X12" s="4564"/>
      <c r="Y12" s="2521" t="s">
        <v>1031</v>
      </c>
      <c r="Z12" s="2522"/>
      <c r="AA12" s="2522"/>
      <c r="AB12" s="2522"/>
      <c r="AC12" s="2522"/>
      <c r="AD12" s="2522"/>
      <c r="AE12" s="2522"/>
      <c r="AF12" s="2125" t="s">
        <v>488</v>
      </c>
    </row>
    <row r="13" spans="1:33" ht="13.5" customHeight="1">
      <c r="B13" s="5370"/>
      <c r="C13" s="5371"/>
      <c r="D13" s="5371"/>
      <c r="E13" s="5371"/>
      <c r="F13" s="5371"/>
      <c r="G13" s="5371"/>
      <c r="H13" s="5371"/>
      <c r="I13" s="5371"/>
      <c r="J13" s="5371"/>
      <c r="K13" s="5371"/>
      <c r="L13" s="5372"/>
      <c r="M13" s="1300"/>
      <c r="N13" s="1301"/>
      <c r="O13" s="1301"/>
      <c r="P13" s="1301"/>
      <c r="Q13" s="1302"/>
      <c r="R13" s="5393"/>
      <c r="S13" s="5394"/>
      <c r="T13" s="5394"/>
      <c r="U13" s="5395"/>
      <c r="V13" s="4563"/>
      <c r="W13" s="4560"/>
      <c r="X13" s="4564"/>
      <c r="Y13" s="2040" t="s">
        <v>1032</v>
      </c>
      <c r="Z13" s="2041"/>
      <c r="AA13" s="2041"/>
      <c r="AB13" s="2041"/>
      <c r="AC13" s="1495"/>
      <c r="AD13" s="1495"/>
      <c r="AE13" s="1495"/>
      <c r="AF13" s="2125" t="s">
        <v>489</v>
      </c>
    </row>
    <row r="14" spans="1:33" ht="13.5" customHeight="1">
      <c r="B14" s="5370"/>
      <c r="C14" s="5371"/>
      <c r="D14" s="5371"/>
      <c r="E14" s="5371"/>
      <c r="F14" s="5371"/>
      <c r="G14" s="5371"/>
      <c r="H14" s="5371"/>
      <c r="I14" s="5371"/>
      <c r="J14" s="5371"/>
      <c r="K14" s="5371"/>
      <c r="L14" s="5372"/>
      <c r="M14" s="5373" t="s">
        <v>1584</v>
      </c>
      <c r="N14" s="5374"/>
      <c r="O14" s="5374"/>
      <c r="P14" s="5374"/>
      <c r="Q14" s="5375"/>
      <c r="R14" s="5393"/>
      <c r="S14" s="5394"/>
      <c r="T14" s="5394"/>
      <c r="U14" s="5395"/>
      <c r="V14" s="4563"/>
      <c r="W14" s="4560"/>
      <c r="X14" s="4564"/>
      <c r="Y14" s="2040" t="s">
        <v>1033</v>
      </c>
      <c r="Z14" s="2041"/>
      <c r="AA14" s="2041"/>
      <c r="AB14" s="2041"/>
      <c r="AC14" s="1495"/>
      <c r="AD14" s="1495"/>
      <c r="AE14" s="1495"/>
      <c r="AF14" s="2125" t="s">
        <v>490</v>
      </c>
    </row>
    <row r="15" spans="1:33" ht="13.5" customHeight="1">
      <c r="B15" s="5370"/>
      <c r="C15" s="5371"/>
      <c r="D15" s="5371"/>
      <c r="E15" s="5371"/>
      <c r="F15" s="5371"/>
      <c r="G15" s="5371"/>
      <c r="H15" s="5371"/>
      <c r="I15" s="5371"/>
      <c r="J15" s="5371"/>
      <c r="K15" s="5371"/>
      <c r="L15" s="5372"/>
      <c r="M15" s="5373"/>
      <c r="N15" s="5374"/>
      <c r="O15" s="5374"/>
      <c r="P15" s="5374"/>
      <c r="Q15" s="5375"/>
      <c r="R15" s="5393"/>
      <c r="S15" s="5394"/>
      <c r="T15" s="5394"/>
      <c r="U15" s="5395"/>
      <c r="V15" s="4563"/>
      <c r="W15" s="4560"/>
      <c r="X15" s="4564"/>
      <c r="Y15" s="2040" t="s">
        <v>1034</v>
      </c>
      <c r="Z15" s="2041"/>
      <c r="AA15" s="2041"/>
      <c r="AB15" s="2041"/>
      <c r="AC15" s="1495"/>
      <c r="AD15" s="1495"/>
      <c r="AE15" s="1495"/>
      <c r="AF15" s="2125" t="s">
        <v>491</v>
      </c>
    </row>
    <row r="16" spans="1:33" ht="13.5" customHeight="1">
      <c r="B16" s="5370"/>
      <c r="C16" s="5371"/>
      <c r="D16" s="5371"/>
      <c r="E16" s="5371"/>
      <c r="F16" s="5371"/>
      <c r="G16" s="5371"/>
      <c r="H16" s="5371"/>
      <c r="I16" s="5371"/>
      <c r="J16" s="5371"/>
      <c r="K16" s="5371"/>
      <c r="L16" s="5372"/>
      <c r="M16" s="5373"/>
      <c r="N16" s="5374"/>
      <c r="O16" s="5374"/>
      <c r="P16" s="5374"/>
      <c r="Q16" s="5375"/>
      <c r="R16" s="5393"/>
      <c r="S16" s="5394"/>
      <c r="T16" s="5394"/>
      <c r="U16" s="5395"/>
      <c r="V16" s="4563"/>
      <c r="W16" s="4560"/>
      <c r="X16" s="4564"/>
      <c r="Y16" s="2040" t="s">
        <v>1035</v>
      </c>
      <c r="Z16" s="2041"/>
      <c r="AA16" s="2041"/>
      <c r="AB16" s="2041"/>
      <c r="AC16" s="1495"/>
      <c r="AD16" s="1495"/>
      <c r="AE16" s="1495"/>
      <c r="AF16" s="2125" t="s">
        <v>492</v>
      </c>
    </row>
    <row r="17" spans="1:32" ht="13.5" customHeight="1">
      <c r="B17" s="5370"/>
      <c r="C17" s="5371"/>
      <c r="D17" s="5371"/>
      <c r="E17" s="5371"/>
      <c r="F17" s="5371"/>
      <c r="G17" s="5371"/>
      <c r="H17" s="5371"/>
      <c r="I17" s="5371"/>
      <c r="J17" s="5371"/>
      <c r="K17" s="5371"/>
      <c r="L17" s="5372"/>
      <c r="M17" s="1300"/>
      <c r="N17" s="1301"/>
      <c r="O17" s="1301"/>
      <c r="P17" s="1301"/>
      <c r="Q17" s="1302"/>
      <c r="R17" s="5393"/>
      <c r="S17" s="5394"/>
      <c r="T17" s="5394"/>
      <c r="U17" s="5395"/>
      <c r="V17" s="4563"/>
      <c r="W17" s="4560"/>
      <c r="X17" s="4564"/>
      <c r="Y17" s="2040" t="s">
        <v>921</v>
      </c>
      <c r="Z17" s="2041"/>
      <c r="AA17" s="2041"/>
      <c r="AB17" s="2041"/>
      <c r="AC17" s="1495"/>
      <c r="AD17" s="1495"/>
      <c r="AE17" s="1495"/>
      <c r="AF17" s="2125" t="s">
        <v>493</v>
      </c>
    </row>
    <row r="18" spans="1:32" ht="13.5" customHeight="1">
      <c r="B18" s="1421"/>
      <c r="C18" s="459"/>
      <c r="D18" s="459"/>
      <c r="E18" s="459"/>
      <c r="F18" s="459"/>
      <c r="G18" s="459"/>
      <c r="H18" s="459"/>
      <c r="I18" s="459"/>
      <c r="J18" s="459"/>
      <c r="K18" s="459"/>
      <c r="L18" s="1422"/>
      <c r="M18" s="5230"/>
      <c r="N18" s="5360"/>
      <c r="O18" s="5360"/>
      <c r="P18" s="5360"/>
      <c r="Q18" s="5361"/>
      <c r="R18" s="5393"/>
      <c r="S18" s="5394"/>
      <c r="T18" s="5394"/>
      <c r="U18" s="5395"/>
      <c r="V18" s="4563"/>
      <c r="W18" s="4560"/>
      <c r="X18" s="4564"/>
      <c r="Y18" s="2040" t="s">
        <v>1036</v>
      </c>
      <c r="Z18" s="2041"/>
      <c r="AA18" s="2041"/>
      <c r="AB18" s="2041"/>
      <c r="AC18" s="1495"/>
      <c r="AD18" s="1495"/>
      <c r="AE18" s="1495"/>
      <c r="AF18" s="2125" t="s">
        <v>698</v>
      </c>
    </row>
    <row r="19" spans="1:32" ht="12.75" customHeight="1">
      <c r="B19" s="780"/>
      <c r="C19" s="751"/>
      <c r="D19" s="751"/>
      <c r="E19" s="751"/>
      <c r="F19" s="751"/>
      <c r="G19" s="751"/>
      <c r="H19" s="751"/>
      <c r="I19" s="751"/>
      <c r="J19" s="5363" t="s">
        <v>1037</v>
      </c>
      <c r="K19" s="5363"/>
      <c r="L19" s="5364"/>
      <c r="M19" s="5362"/>
      <c r="N19" s="5360"/>
      <c r="O19" s="5360"/>
      <c r="P19" s="5360"/>
      <c r="Q19" s="5361"/>
      <c r="R19" s="5393"/>
      <c r="S19" s="5394"/>
      <c r="T19" s="5394"/>
      <c r="U19" s="5395"/>
      <c r="V19" s="1119"/>
      <c r="W19" s="1120"/>
      <c r="X19" s="1120"/>
      <c r="Y19" s="2040" t="s">
        <v>1284</v>
      </c>
      <c r="Z19" s="2041"/>
      <c r="AA19" s="2041"/>
      <c r="AB19" s="2041"/>
      <c r="AC19" s="1495"/>
      <c r="AD19" s="1495"/>
      <c r="AE19" s="1495"/>
      <c r="AF19" s="2126">
        <v>10</v>
      </c>
    </row>
    <row r="20" spans="1:32" ht="12.75" customHeight="1">
      <c r="B20" s="781"/>
      <c r="C20" s="537"/>
      <c r="D20" s="537"/>
      <c r="E20" s="537"/>
      <c r="F20" s="537"/>
      <c r="G20" s="537"/>
      <c r="H20" s="537"/>
      <c r="I20" s="537"/>
      <c r="J20" s="5365" t="s">
        <v>1357</v>
      </c>
      <c r="K20" s="5366"/>
      <c r="L20" s="5367"/>
      <c r="M20" s="518"/>
      <c r="N20" s="329"/>
      <c r="O20" s="329"/>
      <c r="P20" s="329"/>
      <c r="Q20" s="1121"/>
      <c r="R20" s="1117"/>
      <c r="S20" s="1118"/>
      <c r="T20" s="1118"/>
      <c r="U20" s="1118"/>
      <c r="V20" s="1136"/>
      <c r="W20" s="1137"/>
      <c r="X20" s="1137"/>
      <c r="Y20" s="2040" t="s">
        <v>1422</v>
      </c>
      <c r="Z20" s="2041"/>
      <c r="AA20" s="2041"/>
      <c r="AB20" s="2041"/>
      <c r="AC20" s="1495"/>
      <c r="AD20" s="1495"/>
      <c r="AE20" s="1495"/>
      <c r="AF20" s="2126">
        <v>11</v>
      </c>
    </row>
    <row r="21" spans="1:32" ht="12.75" customHeight="1" thickBot="1">
      <c r="B21" s="5342" t="s">
        <v>441</v>
      </c>
      <c r="C21" s="5343"/>
      <c r="D21" s="5343"/>
      <c r="E21" s="5343"/>
      <c r="F21" s="5343"/>
      <c r="G21" s="5343"/>
      <c r="H21" s="5343"/>
      <c r="I21" s="5343"/>
      <c r="J21" s="5343"/>
      <c r="K21" s="5343"/>
      <c r="L21" s="5344"/>
      <c r="M21" s="5368" t="s">
        <v>1</v>
      </c>
      <c r="N21" s="5369"/>
      <c r="O21" s="5353" t="s">
        <v>2</v>
      </c>
      <c r="P21" s="5354"/>
      <c r="Q21" s="5355"/>
      <c r="R21" s="5396" t="s">
        <v>219</v>
      </c>
      <c r="S21" s="5397"/>
      <c r="T21" s="5397"/>
      <c r="U21" s="5398"/>
      <c r="V21" s="5388" t="s">
        <v>219</v>
      </c>
      <c r="W21" s="5389"/>
      <c r="X21" s="5389"/>
      <c r="Y21" s="1140"/>
      <c r="Z21" s="1423"/>
      <c r="AA21" s="1423"/>
      <c r="AB21" s="1432"/>
      <c r="AC21" s="1432"/>
      <c r="AD21" s="1432"/>
      <c r="AE21" s="1432"/>
      <c r="AF21" s="1433"/>
    </row>
    <row r="22" spans="1:32" ht="6.75" customHeight="1" thickBot="1">
      <c r="V22" s="518"/>
      <c r="W22" s="329"/>
      <c r="X22" s="329"/>
      <c r="Y22" s="1135"/>
      <c r="Z22" s="520"/>
      <c r="AA22" s="520"/>
      <c r="AB22" s="329"/>
      <c r="AC22" s="329"/>
      <c r="AD22" s="329"/>
      <c r="AE22" s="329"/>
    </row>
    <row r="23" spans="1:32" ht="17.25" customHeight="1">
      <c r="A23" s="2893">
        <v>1</v>
      </c>
      <c r="B23" s="5345" t="s">
        <v>433</v>
      </c>
      <c r="C23" s="5346"/>
      <c r="D23" s="761"/>
      <c r="E23" s="762"/>
      <c r="F23" s="762"/>
      <c r="G23" s="762"/>
      <c r="H23" s="762"/>
      <c r="I23" s="762"/>
      <c r="J23" s="763"/>
      <c r="K23" s="764"/>
      <c r="L23" s="765"/>
      <c r="M23" s="764"/>
      <c r="N23" s="766"/>
      <c r="O23" s="767"/>
      <c r="P23" s="766"/>
      <c r="Q23" s="765"/>
      <c r="R23" s="764"/>
      <c r="S23" s="766"/>
      <c r="T23" s="768"/>
      <c r="U23" s="768"/>
      <c r="V23" s="769"/>
      <c r="W23" s="768"/>
      <c r="X23" s="768"/>
      <c r="Y23" s="1139"/>
      <c r="Z23" s="1424"/>
      <c r="AA23" s="1424"/>
      <c r="AB23" s="768"/>
      <c r="AC23" s="768"/>
      <c r="AD23" s="768"/>
      <c r="AE23" s="768"/>
      <c r="AF23" s="1434"/>
    </row>
    <row r="24" spans="1:32" ht="17.25" customHeight="1">
      <c r="A24" s="2893">
        <v>2</v>
      </c>
      <c r="B24" s="5347" t="s">
        <v>434</v>
      </c>
      <c r="C24" s="5348"/>
      <c r="D24" s="5348"/>
      <c r="E24" s="5348"/>
      <c r="F24" s="5348"/>
      <c r="G24" s="5348"/>
      <c r="H24" s="5348"/>
      <c r="I24" s="527"/>
      <c r="J24" s="759"/>
      <c r="K24" s="529"/>
      <c r="L24" s="530"/>
      <c r="M24" s="529"/>
      <c r="N24" s="528"/>
      <c r="O24" s="531"/>
      <c r="P24" s="528"/>
      <c r="Q24" s="530"/>
      <c r="R24" s="529"/>
      <c r="S24" s="528"/>
      <c r="T24" s="532"/>
      <c r="U24" s="532"/>
      <c r="V24" s="533"/>
      <c r="W24" s="532"/>
      <c r="X24" s="532"/>
      <c r="Y24" s="1138"/>
      <c r="Z24" s="1425"/>
      <c r="AA24" s="1425"/>
      <c r="AB24" s="532"/>
      <c r="AC24" s="532"/>
      <c r="AD24" s="532"/>
      <c r="AE24" s="532"/>
      <c r="AF24" s="1435"/>
    </row>
    <row r="25" spans="1:32" ht="33" customHeight="1">
      <c r="A25" s="2893">
        <v>3</v>
      </c>
      <c r="B25" s="5340" t="s">
        <v>435</v>
      </c>
      <c r="C25" s="5341"/>
      <c r="D25" s="5341"/>
      <c r="E25" s="5341"/>
      <c r="F25" s="5341"/>
      <c r="G25" s="5341"/>
      <c r="H25" s="5341"/>
      <c r="I25" s="5341"/>
      <c r="J25" s="759"/>
      <c r="K25" s="529"/>
      <c r="L25" s="530"/>
      <c r="M25" s="529"/>
      <c r="N25" s="528"/>
      <c r="O25" s="531"/>
      <c r="P25" s="528"/>
      <c r="Q25" s="530"/>
      <c r="R25" s="529"/>
      <c r="S25" s="528"/>
      <c r="T25" s="532"/>
      <c r="U25" s="532"/>
      <c r="V25" s="533"/>
      <c r="W25" s="532"/>
      <c r="X25" s="532"/>
      <c r="Y25" s="1138"/>
      <c r="Z25" s="1425"/>
      <c r="AA25" s="1425"/>
      <c r="AB25" s="532"/>
      <c r="AC25" s="532"/>
      <c r="AD25" s="532"/>
      <c r="AE25" s="532"/>
      <c r="AF25" s="1435"/>
    </row>
    <row r="26" spans="1:32" ht="17.25" customHeight="1">
      <c r="A26" s="2893">
        <v>4</v>
      </c>
      <c r="B26" s="770" t="s">
        <v>436</v>
      </c>
      <c r="C26" s="760"/>
      <c r="D26" s="534"/>
      <c r="E26" s="535"/>
      <c r="F26" s="535"/>
      <c r="G26" s="535"/>
      <c r="H26" s="535"/>
      <c r="I26" s="535"/>
      <c r="J26" s="759"/>
      <c r="K26" s="529"/>
      <c r="L26" s="530"/>
      <c r="M26" s="529"/>
      <c r="N26" s="528"/>
      <c r="O26" s="531"/>
      <c r="P26" s="528"/>
      <c r="Q26" s="530"/>
      <c r="R26" s="529"/>
      <c r="S26" s="528"/>
      <c r="T26" s="532"/>
      <c r="U26" s="532"/>
      <c r="V26" s="533"/>
      <c r="W26" s="532"/>
      <c r="X26" s="532"/>
      <c r="Y26" s="1138"/>
      <c r="Z26" s="1425"/>
      <c r="AA26" s="1425"/>
      <c r="AB26" s="532"/>
      <c r="AC26" s="532"/>
      <c r="AD26" s="532"/>
      <c r="AE26" s="532"/>
      <c r="AF26" s="1435"/>
    </row>
    <row r="27" spans="1:32" ht="17.25" customHeight="1">
      <c r="A27" s="2893">
        <v>5</v>
      </c>
      <c r="B27" s="5347" t="s">
        <v>437</v>
      </c>
      <c r="C27" s="5348"/>
      <c r="D27" s="5348"/>
      <c r="E27" s="5348"/>
      <c r="F27" s="5348"/>
      <c r="G27" s="5348"/>
      <c r="H27" s="5348"/>
      <c r="I27" s="5348"/>
      <c r="J27" s="5348"/>
      <c r="K27" s="529"/>
      <c r="L27" s="530"/>
      <c r="M27" s="529"/>
      <c r="N27" s="528"/>
      <c r="O27" s="531"/>
      <c r="P27" s="528"/>
      <c r="Q27" s="530"/>
      <c r="R27" s="529"/>
      <c r="S27" s="528"/>
      <c r="T27" s="532"/>
      <c r="U27" s="532"/>
      <c r="V27" s="533"/>
      <c r="W27" s="532"/>
      <c r="X27" s="532"/>
      <c r="Y27" s="1138"/>
      <c r="Z27" s="1425"/>
      <c r="AA27" s="1425"/>
      <c r="AB27" s="532"/>
      <c r="AC27" s="532"/>
      <c r="AD27" s="532"/>
      <c r="AE27" s="532"/>
      <c r="AF27" s="1435"/>
    </row>
    <row r="28" spans="1:32" ht="33.75" customHeight="1">
      <c r="A28" s="2893">
        <v>6</v>
      </c>
      <c r="B28" s="5340" t="s">
        <v>438</v>
      </c>
      <c r="C28" s="5341"/>
      <c r="D28" s="5341"/>
      <c r="E28" s="5341"/>
      <c r="F28" s="5341"/>
      <c r="G28" s="5341"/>
      <c r="H28" s="5341"/>
      <c r="I28" s="5341"/>
      <c r="J28" s="759"/>
      <c r="K28" s="529"/>
      <c r="L28" s="530"/>
      <c r="M28" s="529"/>
      <c r="N28" s="528"/>
      <c r="O28" s="531"/>
      <c r="P28" s="528"/>
      <c r="Q28" s="530"/>
      <c r="R28" s="529"/>
      <c r="S28" s="528"/>
      <c r="T28" s="532"/>
      <c r="U28" s="532"/>
      <c r="V28" s="533"/>
      <c r="W28" s="532"/>
      <c r="X28" s="532"/>
      <c r="Y28" s="1436"/>
      <c r="Z28" s="1437"/>
      <c r="AA28" s="1437"/>
      <c r="AB28" s="1438"/>
      <c r="AC28" s="1438"/>
      <c r="AD28" s="1438"/>
      <c r="AE28" s="1438"/>
      <c r="AF28" s="1439"/>
    </row>
    <row r="29" spans="1:32" ht="30" customHeight="1">
      <c r="A29" s="2893">
        <v>7</v>
      </c>
      <c r="B29" s="5340" t="s">
        <v>439</v>
      </c>
      <c r="C29" s="5341"/>
      <c r="D29" s="5341"/>
      <c r="E29" s="5341"/>
      <c r="F29" s="5341"/>
      <c r="G29" s="5341"/>
      <c r="H29" s="5341"/>
      <c r="I29" s="5341"/>
      <c r="J29" s="759"/>
      <c r="K29" s="529"/>
      <c r="L29" s="530"/>
      <c r="M29" s="529"/>
      <c r="N29" s="528"/>
      <c r="O29" s="531"/>
      <c r="P29" s="528"/>
      <c r="Q29" s="530"/>
      <c r="R29" s="529"/>
      <c r="S29" s="528"/>
      <c r="T29" s="532"/>
      <c r="U29" s="532"/>
      <c r="V29" s="533"/>
      <c r="W29" s="532"/>
      <c r="X29" s="532"/>
      <c r="Y29" s="1436"/>
      <c r="Z29" s="1437"/>
      <c r="AA29" s="1437"/>
      <c r="AB29" s="1438"/>
      <c r="AC29" s="1438"/>
      <c r="AD29" s="1438"/>
      <c r="AE29" s="1438"/>
      <c r="AF29" s="1439"/>
    </row>
    <row r="30" spans="1:32" ht="17.25" customHeight="1">
      <c r="A30" s="2893">
        <v>8</v>
      </c>
      <c r="B30" s="770" t="s">
        <v>440</v>
      </c>
      <c r="C30" s="536"/>
      <c r="D30" s="527"/>
      <c r="E30" s="527"/>
      <c r="F30" s="527"/>
      <c r="G30" s="527"/>
      <c r="H30" s="527"/>
      <c r="I30" s="527"/>
      <c r="J30" s="759"/>
      <c r="K30" s="529"/>
      <c r="L30" s="530"/>
      <c r="M30" s="529"/>
      <c r="N30" s="528"/>
      <c r="O30" s="531"/>
      <c r="P30" s="528"/>
      <c r="Q30" s="530"/>
      <c r="R30" s="529"/>
      <c r="S30" s="528"/>
      <c r="T30" s="532"/>
      <c r="U30" s="532"/>
      <c r="V30" s="533"/>
      <c r="W30" s="532"/>
      <c r="X30" s="532"/>
      <c r="Y30" s="1138"/>
      <c r="Z30" s="1425"/>
      <c r="AA30" s="1425"/>
      <c r="AB30" s="532"/>
      <c r="AC30" s="532"/>
      <c r="AD30" s="532"/>
      <c r="AE30" s="532"/>
      <c r="AF30" s="1435"/>
    </row>
    <row r="31" spans="1:32" ht="21.75" customHeight="1">
      <c r="A31" s="2893">
        <v>9</v>
      </c>
      <c r="B31" s="770" t="s">
        <v>442</v>
      </c>
      <c r="C31" s="536"/>
      <c r="D31" s="527"/>
      <c r="E31" s="527"/>
      <c r="F31" s="527"/>
      <c r="G31" s="527"/>
      <c r="H31" s="527"/>
      <c r="I31" s="527"/>
      <c r="J31" s="759"/>
      <c r="K31" s="529"/>
      <c r="L31" s="530"/>
      <c r="M31" s="529"/>
      <c r="N31" s="528"/>
      <c r="O31" s="531"/>
      <c r="P31" s="528"/>
      <c r="Q31" s="530"/>
      <c r="R31" s="529"/>
      <c r="S31" s="528"/>
      <c r="T31" s="532"/>
      <c r="U31" s="532"/>
      <c r="V31" s="533"/>
      <c r="W31" s="532"/>
      <c r="X31" s="532"/>
      <c r="Y31" s="1138"/>
      <c r="Z31" s="1425"/>
      <c r="AA31" s="1425"/>
      <c r="AB31" s="532"/>
      <c r="AC31" s="532"/>
      <c r="AD31" s="532"/>
      <c r="AE31" s="532"/>
      <c r="AF31" s="1435"/>
    </row>
    <row r="32" spans="1:32" ht="21.75" customHeight="1">
      <c r="A32" s="2893">
        <v>10</v>
      </c>
      <c r="B32" s="770" t="s">
        <v>442</v>
      </c>
      <c r="C32" s="536"/>
      <c r="D32" s="2894"/>
      <c r="E32" s="2894"/>
      <c r="F32" s="2894"/>
      <c r="G32" s="2894"/>
      <c r="H32" s="2894"/>
      <c r="I32" s="2894"/>
      <c r="J32" s="2895"/>
      <c r="K32" s="2896"/>
      <c r="L32" s="2897"/>
      <c r="M32" s="2896"/>
      <c r="N32" s="2898"/>
      <c r="O32" s="2899"/>
      <c r="P32" s="2898"/>
      <c r="Q32" s="2897"/>
      <c r="R32" s="2896"/>
      <c r="S32" s="2898"/>
      <c r="T32" s="2900"/>
      <c r="U32" s="2900"/>
      <c r="V32" s="5376"/>
      <c r="W32" s="5377"/>
      <c r="X32" s="5378"/>
      <c r="Y32" s="5376"/>
      <c r="Z32" s="5377"/>
      <c r="AA32" s="5377"/>
      <c r="AB32" s="5377"/>
      <c r="AC32" s="5377"/>
      <c r="AD32" s="5377"/>
      <c r="AE32" s="5377"/>
      <c r="AF32" s="5377"/>
    </row>
    <row r="33" spans="1:37" ht="21.75" customHeight="1">
      <c r="A33" s="2893">
        <v>11</v>
      </c>
      <c r="B33" s="770" t="s">
        <v>442</v>
      </c>
      <c r="C33" s="536"/>
      <c r="D33" s="2894"/>
      <c r="E33" s="2894"/>
      <c r="F33" s="2894"/>
      <c r="G33" s="2894"/>
      <c r="H33" s="2894"/>
      <c r="I33" s="2894"/>
      <c r="J33" s="2895"/>
      <c r="K33" s="2896"/>
      <c r="L33" s="2897"/>
      <c r="M33" s="2896"/>
      <c r="N33" s="2898"/>
      <c r="O33" s="2899"/>
      <c r="P33" s="2898"/>
      <c r="Q33" s="2897"/>
      <c r="R33" s="2896"/>
      <c r="S33" s="2898"/>
      <c r="T33" s="2900"/>
      <c r="U33" s="2900"/>
      <c r="V33" s="5376"/>
      <c r="W33" s="5377"/>
      <c r="X33" s="5378"/>
      <c r="Y33" s="5399"/>
      <c r="Z33" s="5400"/>
      <c r="AA33" s="5400"/>
      <c r="AB33" s="5400"/>
      <c r="AC33" s="5400"/>
      <c r="AD33" s="5400"/>
      <c r="AE33" s="5400"/>
      <c r="AF33" s="5401"/>
    </row>
    <row r="34" spans="1:37" ht="21.75" customHeight="1">
      <c r="A34" s="2893">
        <v>12</v>
      </c>
      <c r="B34" s="770" t="s">
        <v>442</v>
      </c>
      <c r="C34" s="536"/>
      <c r="D34" s="2894"/>
      <c r="E34" s="2894"/>
      <c r="F34" s="2894"/>
      <c r="G34" s="2894"/>
      <c r="H34" s="2894"/>
      <c r="I34" s="2894"/>
      <c r="J34" s="2895"/>
      <c r="K34" s="2896"/>
      <c r="L34" s="2897"/>
      <c r="M34" s="2896"/>
      <c r="N34" s="2898"/>
      <c r="O34" s="2899"/>
      <c r="P34" s="2898"/>
      <c r="Q34" s="2897"/>
      <c r="R34" s="2896"/>
      <c r="S34" s="2898"/>
      <c r="T34" s="2900"/>
      <c r="U34" s="2900"/>
      <c r="V34" s="5376"/>
      <c r="W34" s="5377"/>
      <c r="X34" s="5378"/>
      <c r="Y34" s="5399"/>
      <c r="Z34" s="5400"/>
      <c r="AA34" s="5400"/>
      <c r="AB34" s="5400"/>
      <c r="AC34" s="5400"/>
      <c r="AD34" s="5400"/>
      <c r="AE34" s="5400"/>
      <c r="AF34" s="5401"/>
    </row>
    <row r="35" spans="1:37" ht="27.75" customHeight="1" thickBot="1">
      <c r="A35" s="2520">
        <v>13</v>
      </c>
      <c r="B35" s="771" t="s">
        <v>442</v>
      </c>
      <c r="C35" s="772"/>
      <c r="D35" s="773"/>
      <c r="E35" s="773"/>
      <c r="F35" s="773"/>
      <c r="G35" s="773"/>
      <c r="H35" s="773"/>
      <c r="I35" s="773"/>
      <c r="J35" s="774"/>
      <c r="K35" s="775"/>
      <c r="L35" s="776"/>
      <c r="M35" s="775"/>
      <c r="N35" s="777"/>
      <c r="O35" s="778"/>
      <c r="P35" s="777"/>
      <c r="Q35" s="776"/>
      <c r="R35" s="775"/>
      <c r="S35" s="777"/>
      <c r="T35" s="779"/>
      <c r="U35" s="779"/>
      <c r="V35" s="5376"/>
      <c r="W35" s="5377"/>
      <c r="X35" s="5378"/>
      <c r="Y35" s="5399"/>
      <c r="Z35" s="5400"/>
      <c r="AA35" s="5400"/>
      <c r="AB35" s="5400"/>
      <c r="AC35" s="5400"/>
      <c r="AD35" s="5400"/>
      <c r="AE35" s="5400"/>
      <c r="AF35" s="5401"/>
    </row>
    <row r="43" spans="1:37" ht="17.25" customHeight="1">
      <c r="AK43" s="326" t="s">
        <v>1566</v>
      </c>
    </row>
  </sheetData>
  <customSheetViews>
    <customSheetView guid="{BDF1A126-BD1D-4A5E-80B8-98941684E462}" showPageBreaks="1" printArea="1">
      <selection activeCell="AK10" sqref="AK10"/>
      <pageMargins left="0.4" right="0.18" top="0.88" bottom="0.75" header="0.43" footer="0.3"/>
      <pageSetup paperSize="9" orientation="portrait" r:id="rId1"/>
    </customSheetView>
    <customSheetView guid="{04F0793E-5444-463D-A1D5-E52E08A4C249}" topLeftCell="A19">
      <selection activeCell="B32" sqref="B32"/>
      <pageMargins left="0.25" right="0.25" top="0.75" bottom="0.75" header="0.3" footer="0.3"/>
      <pageSetup paperSize="9" orientation="portrait" r:id="rId2"/>
    </customSheetView>
    <customSheetView guid="{925F74B5-C2F5-4E55-AFE4-045C56169B44}" topLeftCell="A19">
      <selection activeCell="B32" sqref="B32"/>
      <pageMargins left="0.25" right="0.25" top="0.75" bottom="0.75" header="0.3" footer="0.3"/>
      <pageSetup paperSize="9" orientation="portrait" r:id="rId3"/>
    </customSheetView>
    <customSheetView guid="{1FF58891-F32F-4F97-9812-E2D02F4497AA}">
      <selection activeCell="B5" sqref="B5:L23"/>
      <pageMargins left="0.4" right="0.18" top="0.88" bottom="0.75" header="0.43" footer="0.3"/>
      <pageSetup paperSize="9" orientation="portrait" r:id="rId4"/>
    </customSheetView>
    <customSheetView guid="{2A6091F0-BAF4-46A2-BC20-0DE610E67601}" showPageBreaks="1" printArea="1">
      <selection activeCell="AK10" sqref="AK10"/>
      <pageMargins left="0.4" right="0.18" top="0.88" bottom="0.75" header="0.43" footer="0.3"/>
      <pageSetup paperSize="9" orientation="portrait" r:id="rId5"/>
    </customSheetView>
    <customSheetView guid="{5111FDC7-EEAC-46C3-8033-47A3563F0C00}" showPageBreaks="1" printArea="1" topLeftCell="A13">
      <selection activeCell="W32" sqref="W32"/>
      <pageMargins left="0.4" right="0.18" top="0.88" bottom="0.75" header="0.43" footer="0.3"/>
      <pageSetup paperSize="9" orientation="portrait" r:id="rId6"/>
    </customSheetView>
    <customSheetView guid="{2A5E79E4-584C-4F65-A220-87928CEA02AF}" showPageBreaks="1" printArea="1" topLeftCell="A13">
      <selection activeCell="W32" sqref="W32"/>
      <pageMargins left="0.4" right="0.18" top="0.88" bottom="0.75" header="0.43" footer="0.3"/>
      <pageSetup paperSize="9" orientation="portrait" r:id="rId7"/>
    </customSheetView>
    <customSheetView guid="{66872EF1-41BD-4D4B-B603-B8B0D03DAD22}" showPageBreaks="1" printArea="1" topLeftCell="A13">
      <selection activeCell="W32" sqref="W32"/>
      <pageMargins left="0.4" right="0.18" top="0.88" bottom="0.75" header="0.43" footer="0.3"/>
      <pageSetup paperSize="9" orientation="portrait" r:id="rId8"/>
    </customSheetView>
    <customSheetView guid="{ACE56013-11B3-4BF4-BD0B-BF59142DAC13}" showPageBreaks="1" printArea="1">
      <selection activeCell="Z10" sqref="Z10"/>
      <pageMargins left="0.4" right="0.18" top="0.88" bottom="0.75" header="0.43" footer="0.3"/>
      <pageSetup paperSize="9" orientation="portrait" r:id="rId9"/>
    </customSheetView>
  </customSheetViews>
  <mergeCells count="35">
    <mergeCell ref="V33:X33"/>
    <mergeCell ref="Y33:AF33"/>
    <mergeCell ref="V34:X34"/>
    <mergeCell ref="Y34:AF34"/>
    <mergeCell ref="V35:X35"/>
    <mergeCell ref="Y35:AF35"/>
    <mergeCell ref="V32:X32"/>
    <mergeCell ref="Y32:AF32"/>
    <mergeCell ref="Y7:AF8"/>
    <mergeCell ref="M7:Q9"/>
    <mergeCell ref="Y6:AF6"/>
    <mergeCell ref="V7:X18"/>
    <mergeCell ref="R6:T6"/>
    <mergeCell ref="V6:X6"/>
    <mergeCell ref="V21:X21"/>
    <mergeCell ref="R7:U19"/>
    <mergeCell ref="R21:U21"/>
    <mergeCell ref="B3:T4"/>
    <mergeCell ref="B27:J27"/>
    <mergeCell ref="B7:L9"/>
    <mergeCell ref="O21:Q21"/>
    <mergeCell ref="B6:L6"/>
    <mergeCell ref="M6:Q6"/>
    <mergeCell ref="M18:Q19"/>
    <mergeCell ref="J19:L19"/>
    <mergeCell ref="J20:L20"/>
    <mergeCell ref="M21:N21"/>
    <mergeCell ref="B10:L17"/>
    <mergeCell ref="M14:Q16"/>
    <mergeCell ref="B28:I28"/>
    <mergeCell ref="B29:I29"/>
    <mergeCell ref="B21:L21"/>
    <mergeCell ref="B23:C23"/>
    <mergeCell ref="B24:H24"/>
    <mergeCell ref="B25:I25"/>
  </mergeCells>
  <pageMargins left="0.4" right="0.18" top="0.88" bottom="0.75" header="0.43" footer="0.3"/>
  <pageSetup paperSize="9" orientation="portrait" r:id="rId10"/>
  <drawing r:id="rId11"/>
  <legacyDrawing r:id="rId1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J40"/>
  <sheetViews>
    <sheetView showGridLines="0" view="pageLayout" topLeftCell="W1" zoomScaleNormal="100" zoomScaleSheetLayoutView="100" workbookViewId="0">
      <selection activeCell="AB14" sqref="AB14:AG15"/>
    </sheetView>
  </sheetViews>
  <sheetFormatPr defaultColWidth="9.140625" defaultRowHeight="12.75"/>
  <cols>
    <col min="1" max="1" width="2.7109375" style="31" customWidth="1"/>
    <col min="2" max="2" width="1.5703125" style="31" customWidth="1"/>
    <col min="3" max="4" width="4.7109375" style="79" customWidth="1"/>
    <col min="5" max="6" width="9" style="79" customWidth="1"/>
    <col min="7" max="7" width="10.7109375" style="79" customWidth="1"/>
    <col min="8" max="10" width="7.85546875" style="79" customWidth="1"/>
    <col min="11" max="11" width="10.42578125" style="79" customWidth="1"/>
    <col min="12" max="12" width="7.85546875" style="79" customWidth="1"/>
    <col min="13" max="13" width="9" style="79" customWidth="1"/>
    <col min="14" max="14" width="9.28515625" style="79" customWidth="1"/>
    <col min="15" max="17" width="7.85546875" style="79" customWidth="1"/>
    <col min="18" max="18" width="7.28515625" style="79" customWidth="1"/>
    <col min="19" max="19" width="7.85546875" style="79" customWidth="1"/>
    <col min="20" max="20" width="4.7109375" style="79" customWidth="1"/>
    <col min="21" max="21" width="7" style="79" customWidth="1"/>
    <col min="22" max="22" width="11.140625" style="79" customWidth="1"/>
    <col min="23" max="24" width="4.7109375" style="79" customWidth="1"/>
    <col min="25" max="25" width="10.42578125" style="79" customWidth="1"/>
    <col min="26" max="26" width="7.140625" style="79" customWidth="1"/>
    <col min="27" max="27" width="3.7109375" style="79" customWidth="1"/>
    <col min="28" max="28" width="10.28515625" style="79" customWidth="1"/>
    <col min="29" max="29" width="9" style="79" customWidth="1"/>
    <col min="30" max="30" width="10.7109375" style="79" customWidth="1"/>
    <col min="31" max="31" width="9.5703125" style="79" customWidth="1"/>
    <col min="32" max="33" width="7.85546875" style="79" customWidth="1"/>
    <col min="34" max="34" width="4.7109375" style="79" customWidth="1"/>
    <col min="35" max="35" width="8.28515625" style="79" customWidth="1"/>
    <col min="36" max="36" width="10.42578125" style="79" customWidth="1"/>
    <col min="37" max="16384" width="9.140625" style="31"/>
  </cols>
  <sheetData>
    <row r="1" spans="1:36" s="33" customFormat="1" ht="15" customHeight="1">
      <c r="A1" s="32"/>
      <c r="B1" s="32"/>
      <c r="C1" s="1107" t="s">
        <v>1288</v>
      </c>
      <c r="F1" s="53"/>
      <c r="G1" s="53"/>
      <c r="H1" s="53"/>
      <c r="I1" s="367"/>
      <c r="J1" s="367"/>
      <c r="K1" s="5456" t="s">
        <v>1561</v>
      </c>
      <c r="L1" s="5456"/>
      <c r="M1" s="5457"/>
      <c r="N1" s="2846"/>
      <c r="O1" s="2847"/>
      <c r="P1" s="422"/>
      <c r="Q1" s="53"/>
      <c r="R1" s="53"/>
      <c r="S1" s="53"/>
      <c r="T1" s="29" t="s">
        <v>727</v>
      </c>
      <c r="U1" s="1"/>
      <c r="V1" s="53"/>
      <c r="W1" s="1"/>
      <c r="X1" s="1"/>
      <c r="Y1" s="53"/>
      <c r="Z1" s="1"/>
      <c r="AA1" s="1"/>
      <c r="AB1" s="29"/>
      <c r="AC1" s="53"/>
      <c r="AD1" s="53"/>
      <c r="AE1" s="53"/>
      <c r="AF1" s="53"/>
      <c r="AG1" s="53"/>
      <c r="AH1" s="1"/>
      <c r="AI1" s="1"/>
      <c r="AJ1" s="53"/>
    </row>
    <row r="2" spans="1:36" s="33" customFormat="1" ht="5.25" customHeight="1">
      <c r="A2" s="32"/>
      <c r="B2" s="32"/>
      <c r="C2" s="29"/>
      <c r="F2" s="53"/>
      <c r="G2" s="53"/>
      <c r="H2" s="53"/>
      <c r="I2" s="53"/>
      <c r="J2" s="53"/>
      <c r="K2" s="53"/>
      <c r="L2" s="29"/>
      <c r="M2" s="53"/>
      <c r="N2" s="53"/>
      <c r="O2" s="53"/>
      <c r="P2" s="53"/>
      <c r="Q2" s="53"/>
      <c r="R2" s="53"/>
      <c r="S2" s="53"/>
      <c r="T2" s="1"/>
      <c r="U2" s="1"/>
      <c r="V2" s="53"/>
      <c r="W2" s="1"/>
      <c r="X2" s="1"/>
      <c r="Y2" s="53"/>
      <c r="Z2" s="1"/>
      <c r="AA2" s="1"/>
      <c r="AB2" s="29"/>
      <c r="AC2" s="53"/>
      <c r="AD2" s="53"/>
      <c r="AE2" s="53"/>
      <c r="AF2" s="53"/>
      <c r="AG2" s="53"/>
      <c r="AH2" s="1"/>
      <c r="AI2" s="1"/>
      <c r="AJ2" s="53"/>
    </row>
    <row r="3" spans="1:36" s="82" customFormat="1" ht="12.95" customHeight="1" thickBot="1">
      <c r="A3" s="790"/>
      <c r="B3" s="791"/>
      <c r="C3" s="5464">
        <v>10.01</v>
      </c>
      <c r="D3" s="5414"/>
      <c r="E3" s="5405">
        <f>+C3+0.01</f>
        <v>10.02</v>
      </c>
      <c r="F3" s="5415"/>
      <c r="G3" s="5415"/>
      <c r="H3" s="5415"/>
      <c r="I3" s="5415"/>
      <c r="J3" s="5415"/>
      <c r="K3" s="5415"/>
      <c r="L3" s="5405">
        <f>+E3+0.01</f>
        <v>10.029999999999999</v>
      </c>
      <c r="M3" s="5415"/>
      <c r="N3" s="5415"/>
      <c r="O3" s="5415"/>
      <c r="P3" s="5415"/>
      <c r="Q3" s="5415"/>
      <c r="R3" s="5415"/>
      <c r="S3" s="5406"/>
      <c r="T3" s="5405">
        <f>+L3+0.01</f>
        <v>10.039999999999999</v>
      </c>
      <c r="U3" s="5414"/>
      <c r="V3" s="783">
        <f>+T3+0.01</f>
        <v>10.049999999999999</v>
      </c>
      <c r="W3" s="5405">
        <f>+V3+0.01</f>
        <v>10.059999999999999</v>
      </c>
      <c r="X3" s="5414"/>
      <c r="Y3" s="783">
        <f>+W3+0.01</f>
        <v>10.069999999999999</v>
      </c>
      <c r="Z3" s="5405">
        <f>+Y3+0.01</f>
        <v>10.079999999999998</v>
      </c>
      <c r="AA3" s="5414"/>
      <c r="AB3" s="5405">
        <f>+Z3+0.01</f>
        <v>10.089999999999998</v>
      </c>
      <c r="AC3" s="5415"/>
      <c r="AD3" s="5415"/>
      <c r="AE3" s="5415"/>
      <c r="AF3" s="5415"/>
      <c r="AG3" s="5415"/>
      <c r="AH3" s="5405">
        <f>+AB3+0.01</f>
        <v>10.099999999999998</v>
      </c>
      <c r="AI3" s="5406"/>
      <c r="AJ3" s="783">
        <f>+AH3+0.01</f>
        <v>10.109999999999998</v>
      </c>
    </row>
    <row r="4" spans="1:36" s="35" customFormat="1" ht="12.95" customHeight="1">
      <c r="A4" s="5458" t="s">
        <v>405</v>
      </c>
      <c r="B4" s="5459"/>
      <c r="C4" s="5411" t="s">
        <v>404</v>
      </c>
      <c r="D4" s="5408"/>
      <c r="E4" s="5407" t="s">
        <v>728</v>
      </c>
      <c r="F4" s="5407"/>
      <c r="G4" s="5407"/>
      <c r="H4" s="5407"/>
      <c r="I4" s="5407"/>
      <c r="J4" s="5407"/>
      <c r="K4" s="5407"/>
      <c r="L4" s="5411" t="s">
        <v>393</v>
      </c>
      <c r="M4" s="5407"/>
      <c r="N4" s="5407"/>
      <c r="O4" s="5407"/>
      <c r="P4" s="5407"/>
      <c r="Q4" s="5407"/>
      <c r="R4" s="5407"/>
      <c r="S4" s="5408"/>
      <c r="T4" s="5407" t="s">
        <v>1585</v>
      </c>
      <c r="U4" s="5408"/>
      <c r="V4" s="5411" t="s">
        <v>412</v>
      </c>
      <c r="W4" s="5411" t="s">
        <v>1587</v>
      </c>
      <c r="X4" s="5408"/>
      <c r="Y4" s="5416" t="s">
        <v>399</v>
      </c>
      <c r="Z4" s="5411" t="s">
        <v>1586</v>
      </c>
      <c r="AA4" s="5408"/>
      <c r="AB4" s="5422" t="s">
        <v>1807</v>
      </c>
      <c r="AC4" s="5423"/>
      <c r="AD4" s="5423"/>
      <c r="AE4" s="5423"/>
      <c r="AF4" s="5423"/>
      <c r="AG4" s="5424"/>
      <c r="AH4" s="5411" t="s">
        <v>840</v>
      </c>
      <c r="AI4" s="5408"/>
      <c r="AJ4" s="5402" t="s">
        <v>1784</v>
      </c>
    </row>
    <row r="5" spans="1:36" s="35" customFormat="1" ht="12.95" customHeight="1">
      <c r="A5" s="5460"/>
      <c r="B5" s="5461"/>
      <c r="C5" s="5412"/>
      <c r="D5" s="5410"/>
      <c r="E5" s="5409"/>
      <c r="F5" s="5409"/>
      <c r="G5" s="5409"/>
      <c r="H5" s="5409"/>
      <c r="I5" s="5409"/>
      <c r="J5" s="5409"/>
      <c r="K5" s="5409"/>
      <c r="L5" s="5412"/>
      <c r="M5" s="5409"/>
      <c r="N5" s="5409"/>
      <c r="O5" s="5409"/>
      <c r="P5" s="5409"/>
      <c r="Q5" s="5409"/>
      <c r="R5" s="5409"/>
      <c r="S5" s="5410"/>
      <c r="T5" s="5409"/>
      <c r="U5" s="5410"/>
      <c r="V5" s="5412"/>
      <c r="W5" s="5412"/>
      <c r="X5" s="5410"/>
      <c r="Y5" s="5417"/>
      <c r="Z5" s="5412"/>
      <c r="AA5" s="5410"/>
      <c r="AB5" s="5425"/>
      <c r="AC5" s="5426"/>
      <c r="AD5" s="5426"/>
      <c r="AE5" s="5426"/>
      <c r="AF5" s="5426"/>
      <c r="AG5" s="5427"/>
      <c r="AH5" s="5412"/>
      <c r="AI5" s="5410"/>
      <c r="AJ5" s="5403"/>
    </row>
    <row r="6" spans="1:36" s="35" customFormat="1" ht="12.95" customHeight="1">
      <c r="A6" s="5460"/>
      <c r="B6" s="5461"/>
      <c r="C6" s="5412"/>
      <c r="D6" s="5410"/>
      <c r="E6" s="5409"/>
      <c r="F6" s="5409"/>
      <c r="G6" s="5409"/>
      <c r="H6" s="5409"/>
      <c r="I6" s="5409"/>
      <c r="J6" s="5409"/>
      <c r="K6" s="5409"/>
      <c r="L6" s="5412"/>
      <c r="M6" s="5409"/>
      <c r="N6" s="5409"/>
      <c r="O6" s="5409"/>
      <c r="P6" s="5409"/>
      <c r="Q6" s="5409"/>
      <c r="R6" s="5409"/>
      <c r="S6" s="5410"/>
      <c r="T6" s="5409"/>
      <c r="U6" s="5410"/>
      <c r="V6" s="5412"/>
      <c r="W6" s="5412"/>
      <c r="X6" s="5410"/>
      <c r="Y6" s="5417"/>
      <c r="Z6" s="5412"/>
      <c r="AA6" s="5410"/>
      <c r="AB6" s="5425"/>
      <c r="AC6" s="5426"/>
      <c r="AD6" s="5426"/>
      <c r="AE6" s="5426"/>
      <c r="AF6" s="5426"/>
      <c r="AG6" s="5427"/>
      <c r="AH6" s="5412"/>
      <c r="AI6" s="5410"/>
      <c r="AJ6" s="5403"/>
    </row>
    <row r="7" spans="1:36" s="35" customFormat="1" ht="12.95" customHeight="1">
      <c r="A7" s="5460"/>
      <c r="B7" s="5461"/>
      <c r="C7" s="5412"/>
      <c r="D7" s="5410"/>
      <c r="E7" s="5409"/>
      <c r="F7" s="5409"/>
      <c r="G7" s="5409"/>
      <c r="H7" s="5409"/>
      <c r="I7" s="5409"/>
      <c r="J7" s="5409"/>
      <c r="K7" s="5409"/>
      <c r="L7" s="5412"/>
      <c r="M7" s="5409"/>
      <c r="N7" s="5409"/>
      <c r="O7" s="5409"/>
      <c r="P7" s="5409"/>
      <c r="Q7" s="5409"/>
      <c r="R7" s="5409"/>
      <c r="S7" s="5410"/>
      <c r="T7" s="5409"/>
      <c r="U7" s="5410"/>
      <c r="V7" s="5412"/>
      <c r="W7" s="5412"/>
      <c r="X7" s="5410"/>
      <c r="Y7" s="5417"/>
      <c r="Z7" s="5412"/>
      <c r="AA7" s="5410"/>
      <c r="AB7" s="5425"/>
      <c r="AC7" s="5426"/>
      <c r="AD7" s="5426"/>
      <c r="AE7" s="5426"/>
      <c r="AF7" s="5426"/>
      <c r="AG7" s="5427"/>
      <c r="AH7" s="5412"/>
      <c r="AI7" s="5410"/>
      <c r="AJ7" s="5403"/>
    </row>
    <row r="8" spans="1:36" s="35" customFormat="1" ht="12.95" customHeight="1">
      <c r="A8" s="5460"/>
      <c r="B8" s="5461"/>
      <c r="C8" s="5412"/>
      <c r="D8" s="5410"/>
      <c r="E8" s="5409"/>
      <c r="F8" s="5409"/>
      <c r="G8" s="5409"/>
      <c r="H8" s="5409"/>
      <c r="I8" s="5409"/>
      <c r="J8" s="5409"/>
      <c r="K8" s="5409"/>
      <c r="L8" s="5412"/>
      <c r="M8" s="5409"/>
      <c r="N8" s="5409"/>
      <c r="O8" s="5409"/>
      <c r="P8" s="5409"/>
      <c r="Q8" s="5409"/>
      <c r="R8" s="5409"/>
      <c r="S8" s="5410"/>
      <c r="T8" s="5409"/>
      <c r="U8" s="5410"/>
      <c r="V8" s="5412"/>
      <c r="W8" s="5412"/>
      <c r="X8" s="5410"/>
      <c r="Y8" s="5417"/>
      <c r="Z8" s="5412"/>
      <c r="AA8" s="5410"/>
      <c r="AB8" s="5425"/>
      <c r="AC8" s="5426"/>
      <c r="AD8" s="5426"/>
      <c r="AE8" s="5426"/>
      <c r="AF8" s="5426"/>
      <c r="AG8" s="5427"/>
      <c r="AH8" s="5412"/>
      <c r="AI8" s="5410"/>
      <c r="AJ8" s="5403"/>
    </row>
    <row r="9" spans="1:36" s="35" customFormat="1" ht="12.95" customHeight="1">
      <c r="A9" s="5460"/>
      <c r="B9" s="5461"/>
      <c r="C9" s="5412"/>
      <c r="D9" s="5410"/>
      <c r="E9" s="502" t="s">
        <v>388</v>
      </c>
      <c r="F9" s="502"/>
      <c r="G9" s="502"/>
      <c r="H9" s="502"/>
      <c r="I9" s="502"/>
      <c r="J9" s="502"/>
      <c r="K9" s="502"/>
      <c r="L9" s="501" t="s">
        <v>389</v>
      </c>
      <c r="M9" s="502"/>
      <c r="N9" s="502"/>
      <c r="O9" s="502"/>
      <c r="P9" s="502"/>
      <c r="Q9" s="502"/>
      <c r="R9" s="502"/>
      <c r="S9" s="472"/>
      <c r="T9" s="5409"/>
      <c r="U9" s="5410"/>
      <c r="V9" s="5412"/>
      <c r="W9" s="5412"/>
      <c r="X9" s="5410"/>
      <c r="Y9" s="5417"/>
      <c r="Z9" s="5412"/>
      <c r="AA9" s="5410"/>
      <c r="AB9" s="5453" t="s">
        <v>1808</v>
      </c>
      <c r="AC9" s="5454"/>
      <c r="AD9" s="5454"/>
      <c r="AE9" s="5454"/>
      <c r="AF9" s="5454"/>
      <c r="AG9" s="5455"/>
      <c r="AH9" s="5412"/>
      <c r="AI9" s="5410"/>
      <c r="AJ9" s="5403"/>
    </row>
    <row r="10" spans="1:36" s="35" customFormat="1" ht="12.95" customHeight="1">
      <c r="A10" s="5460"/>
      <c r="B10" s="5461"/>
      <c r="C10" s="5412"/>
      <c r="D10" s="5410"/>
      <c r="E10" s="502"/>
      <c r="F10" s="502"/>
      <c r="G10" s="502"/>
      <c r="H10" s="502"/>
      <c r="I10" s="502"/>
      <c r="J10" s="502"/>
      <c r="K10" s="502"/>
      <c r="L10" s="501"/>
      <c r="M10" s="502"/>
      <c r="N10" s="502"/>
      <c r="O10" s="502"/>
      <c r="P10" s="502"/>
      <c r="Q10" s="502"/>
      <c r="R10" s="502"/>
      <c r="S10" s="472"/>
      <c r="T10" s="5409"/>
      <c r="U10" s="5410"/>
      <c r="V10" s="5412"/>
      <c r="W10" s="5412"/>
      <c r="X10" s="5410"/>
      <c r="Y10" s="5417"/>
      <c r="Z10" s="5412"/>
      <c r="AA10" s="5410"/>
      <c r="AB10" s="5453"/>
      <c r="AC10" s="5454"/>
      <c r="AD10" s="5454"/>
      <c r="AE10" s="5454"/>
      <c r="AF10" s="5454"/>
      <c r="AG10" s="5455"/>
      <c r="AH10" s="5412"/>
      <c r="AI10" s="5410"/>
      <c r="AJ10" s="5403"/>
    </row>
    <row r="11" spans="1:36" s="35" customFormat="1" ht="12.95" customHeight="1">
      <c r="A11" s="5460"/>
      <c r="B11" s="5461"/>
      <c r="C11" s="5412"/>
      <c r="D11" s="5410"/>
      <c r="E11" s="502"/>
      <c r="F11" s="502"/>
      <c r="G11" s="502"/>
      <c r="H11" s="502"/>
      <c r="I11" s="502"/>
      <c r="J11" s="502"/>
      <c r="K11" s="502"/>
      <c r="L11" s="501"/>
      <c r="M11" s="502"/>
      <c r="N11" s="502"/>
      <c r="O11" s="502"/>
      <c r="P11" s="502"/>
      <c r="Q11" s="502"/>
      <c r="R11" s="502"/>
      <c r="S11" s="472"/>
      <c r="T11" s="5409"/>
      <c r="U11" s="5410"/>
      <c r="V11" s="5412"/>
      <c r="W11" s="5412"/>
      <c r="X11" s="5410"/>
      <c r="Y11" s="5417"/>
      <c r="Z11" s="5412"/>
      <c r="AA11" s="5410"/>
      <c r="AH11" s="5412"/>
      <c r="AI11" s="5410"/>
      <c r="AJ11" s="5403"/>
    </row>
    <row r="12" spans="1:36" s="35" customFormat="1" ht="12.95" customHeight="1">
      <c r="A12" s="5460"/>
      <c r="B12" s="5461"/>
      <c r="C12" s="5412"/>
      <c r="D12" s="5410"/>
      <c r="E12" s="38"/>
      <c r="F12" s="38"/>
      <c r="G12" s="38"/>
      <c r="H12" s="38"/>
      <c r="I12" s="38"/>
      <c r="J12" s="38"/>
      <c r="K12" s="38"/>
      <c r="L12" s="37"/>
      <c r="M12" s="38"/>
      <c r="N12" s="38"/>
      <c r="O12" s="38"/>
      <c r="P12" s="38"/>
      <c r="Q12" s="38"/>
      <c r="R12" s="38"/>
      <c r="S12" s="36"/>
      <c r="T12" s="5409"/>
      <c r="U12" s="5410"/>
      <c r="V12" s="5412"/>
      <c r="W12" s="5412"/>
      <c r="X12" s="5410"/>
      <c r="Y12" s="5417"/>
      <c r="Z12" s="5412"/>
      <c r="AA12" s="5410"/>
      <c r="AH12" s="5412"/>
      <c r="AI12" s="5410"/>
      <c r="AJ12" s="5403"/>
    </row>
    <row r="13" spans="1:36" s="35" customFormat="1" ht="12.95" customHeight="1" thickBot="1">
      <c r="A13" s="5460"/>
      <c r="B13" s="5461"/>
      <c r="C13" s="5412"/>
      <c r="D13" s="5410"/>
      <c r="E13" s="38"/>
      <c r="F13" s="38"/>
      <c r="G13" s="38"/>
      <c r="H13" s="38"/>
      <c r="I13" s="38"/>
      <c r="J13" s="38"/>
      <c r="K13" s="38"/>
      <c r="L13" s="37"/>
      <c r="M13" s="38"/>
      <c r="N13" s="38"/>
      <c r="O13" s="38"/>
      <c r="P13" s="38"/>
      <c r="Q13" s="38"/>
      <c r="R13" s="38"/>
      <c r="S13" s="36"/>
      <c r="T13" s="5409"/>
      <c r="U13" s="5410"/>
      <c r="V13" s="5412"/>
      <c r="W13" s="5412"/>
      <c r="X13" s="5410"/>
      <c r="Y13" s="5417"/>
      <c r="Z13" s="5412"/>
      <c r="AA13" s="5410"/>
      <c r="AB13" s="501" t="s">
        <v>388</v>
      </c>
      <c r="AC13" s="3422"/>
      <c r="AD13" s="3422"/>
      <c r="AE13" s="3422"/>
      <c r="AF13" s="3422"/>
      <c r="AG13" s="3423"/>
      <c r="AH13" s="5412"/>
      <c r="AI13" s="5410"/>
      <c r="AJ13" s="5403"/>
    </row>
    <row r="14" spans="1:36" s="35" customFormat="1" ht="12.95" customHeight="1">
      <c r="A14" s="5460"/>
      <c r="B14" s="5461"/>
      <c r="C14" s="5412"/>
      <c r="D14" s="5410"/>
      <c r="E14" s="5444" t="s">
        <v>382</v>
      </c>
      <c r="F14" s="5444"/>
      <c r="G14" s="5444"/>
      <c r="H14" s="5444"/>
      <c r="I14" s="5444"/>
      <c r="J14" s="5444"/>
      <c r="K14" s="5444"/>
      <c r="L14" s="5448" t="s">
        <v>1326</v>
      </c>
      <c r="M14" s="5444"/>
      <c r="N14" s="5444"/>
      <c r="O14" s="5444"/>
      <c r="P14" s="5444"/>
      <c r="Q14" s="5444"/>
      <c r="R14" s="5444"/>
      <c r="S14" s="5449"/>
      <c r="T14" s="5409"/>
      <c r="U14" s="5410"/>
      <c r="V14" s="5412"/>
      <c r="W14" s="5412"/>
      <c r="X14" s="5410"/>
      <c r="Y14" s="5417"/>
      <c r="Z14" s="5412"/>
      <c r="AA14" s="5410"/>
      <c r="AB14" s="5448" t="s">
        <v>403</v>
      </c>
      <c r="AC14" s="5444"/>
      <c r="AD14" s="5444"/>
      <c r="AE14" s="5444"/>
      <c r="AF14" s="5444"/>
      <c r="AG14" s="5449"/>
      <c r="AH14" s="5412"/>
      <c r="AI14" s="5410"/>
      <c r="AJ14" s="5403"/>
    </row>
    <row r="15" spans="1:36" s="35" customFormat="1" ht="12.95" customHeight="1" thickBot="1">
      <c r="A15" s="5460"/>
      <c r="B15" s="5461"/>
      <c r="C15" s="5412"/>
      <c r="D15" s="5410"/>
      <c r="E15" s="5445"/>
      <c r="F15" s="5445"/>
      <c r="G15" s="5445"/>
      <c r="H15" s="5445"/>
      <c r="I15" s="5445"/>
      <c r="J15" s="5445"/>
      <c r="K15" s="5445"/>
      <c r="L15" s="5450"/>
      <c r="M15" s="5445"/>
      <c r="N15" s="5445"/>
      <c r="O15" s="5445"/>
      <c r="P15" s="5445"/>
      <c r="Q15" s="5445"/>
      <c r="R15" s="5445"/>
      <c r="S15" s="5451"/>
      <c r="T15" s="5409"/>
      <c r="U15" s="5410"/>
      <c r="V15" s="5412"/>
      <c r="W15" s="5412"/>
      <c r="X15" s="5410"/>
      <c r="Y15" s="5417"/>
      <c r="Z15" s="5412"/>
      <c r="AA15" s="5410"/>
      <c r="AB15" s="5450"/>
      <c r="AC15" s="5445"/>
      <c r="AD15" s="5445"/>
      <c r="AE15" s="5445"/>
      <c r="AF15" s="5465"/>
      <c r="AG15" s="5466"/>
      <c r="AH15" s="5412"/>
      <c r="AI15" s="5410"/>
      <c r="AJ15" s="5403"/>
    </row>
    <row r="16" spans="1:36" s="35" customFormat="1" ht="12.95" customHeight="1">
      <c r="A16" s="5460"/>
      <c r="B16" s="5461"/>
      <c r="C16" s="5412"/>
      <c r="D16" s="5410"/>
      <c r="E16" s="59">
        <v>1</v>
      </c>
      <c r="F16" s="471">
        <v>2</v>
      </c>
      <c r="G16" s="471">
        <v>3</v>
      </c>
      <c r="H16" s="3"/>
      <c r="I16" s="3"/>
      <c r="J16" s="3"/>
      <c r="K16" s="3"/>
      <c r="L16" s="471">
        <v>1</v>
      </c>
      <c r="M16" s="471">
        <v>2</v>
      </c>
      <c r="N16" s="471">
        <v>3</v>
      </c>
      <c r="O16" s="471">
        <v>4</v>
      </c>
      <c r="P16" s="471">
        <v>5</v>
      </c>
      <c r="Q16" s="471">
        <v>6</v>
      </c>
      <c r="R16" s="58">
        <v>7</v>
      </c>
      <c r="S16" s="784">
        <v>8</v>
      </c>
      <c r="T16" s="5409"/>
      <c r="U16" s="5410"/>
      <c r="V16" s="5412"/>
      <c r="W16" s="5412"/>
      <c r="X16" s="5410"/>
      <c r="Y16" s="5417"/>
      <c r="Z16" s="5412"/>
      <c r="AA16" s="5410"/>
      <c r="AB16" s="471">
        <v>1</v>
      </c>
      <c r="AC16" s="471">
        <v>2</v>
      </c>
      <c r="AD16" s="471">
        <v>3</v>
      </c>
      <c r="AE16" s="471">
        <v>4</v>
      </c>
      <c r="AF16" s="180">
        <v>5</v>
      </c>
      <c r="AG16" s="80">
        <v>6</v>
      </c>
      <c r="AH16" s="5412"/>
      <c r="AI16" s="5410"/>
      <c r="AJ16" s="5403"/>
    </row>
    <row r="17" spans="1:36" s="35" customFormat="1" ht="12.95" customHeight="1">
      <c r="A17" s="5460"/>
      <c r="B17" s="5461"/>
      <c r="C17" s="5412"/>
      <c r="D17" s="5410"/>
      <c r="E17" s="5433" t="s">
        <v>390</v>
      </c>
      <c r="F17" s="5419" t="s">
        <v>380</v>
      </c>
      <c r="G17" s="5433" t="s">
        <v>381</v>
      </c>
      <c r="H17" s="25" t="s">
        <v>385</v>
      </c>
      <c r="I17" s="27"/>
      <c r="J17" s="27"/>
      <c r="K17" s="27"/>
      <c r="L17" s="5446" t="s">
        <v>391</v>
      </c>
      <c r="M17" s="5419" t="s">
        <v>406</v>
      </c>
      <c r="N17" s="5433" t="s">
        <v>392</v>
      </c>
      <c r="O17" s="5419" t="s">
        <v>394</v>
      </c>
      <c r="P17" s="5433" t="s">
        <v>395</v>
      </c>
      <c r="Q17" s="5419" t="s">
        <v>396</v>
      </c>
      <c r="R17" s="5433" t="s">
        <v>397</v>
      </c>
      <c r="S17" s="5419" t="s">
        <v>398</v>
      </c>
      <c r="T17" s="5409"/>
      <c r="U17" s="5410"/>
      <c r="V17" s="5412"/>
      <c r="W17" s="5412"/>
      <c r="X17" s="5410"/>
      <c r="Y17" s="5417"/>
      <c r="Z17" s="5412"/>
      <c r="AA17" s="5410"/>
      <c r="AB17" s="5446" t="s">
        <v>729</v>
      </c>
      <c r="AC17" s="5419" t="s">
        <v>400</v>
      </c>
      <c r="AD17" s="5441" t="s">
        <v>1660</v>
      </c>
      <c r="AE17" s="5419" t="s">
        <v>401</v>
      </c>
      <c r="AF17" s="5419" t="s">
        <v>402</v>
      </c>
      <c r="AG17" s="5419" t="s">
        <v>730</v>
      </c>
      <c r="AH17" s="5412"/>
      <c r="AI17" s="5410"/>
      <c r="AJ17" s="5403"/>
    </row>
    <row r="18" spans="1:36" s="35" customFormat="1" ht="12.95" customHeight="1">
      <c r="A18" s="5460"/>
      <c r="B18" s="5461"/>
      <c r="C18" s="37"/>
      <c r="D18" s="36"/>
      <c r="E18" s="5434"/>
      <c r="F18" s="5420"/>
      <c r="G18" s="5434"/>
      <c r="H18" s="180">
        <v>4</v>
      </c>
      <c r="I18" s="180">
        <v>5</v>
      </c>
      <c r="J18" s="180">
        <v>6</v>
      </c>
      <c r="K18" s="495">
        <v>7</v>
      </c>
      <c r="L18" s="5447"/>
      <c r="M18" s="5420"/>
      <c r="N18" s="5434"/>
      <c r="O18" s="5420"/>
      <c r="P18" s="5434"/>
      <c r="Q18" s="5420"/>
      <c r="R18" s="5434"/>
      <c r="S18" s="5420"/>
      <c r="T18" s="38"/>
      <c r="U18" s="38"/>
      <c r="V18" s="5412"/>
      <c r="W18" s="37"/>
      <c r="X18" s="36"/>
      <c r="Y18" s="5417"/>
      <c r="Z18" s="37"/>
      <c r="AA18" s="36"/>
      <c r="AB18" s="5447"/>
      <c r="AC18" s="5420"/>
      <c r="AD18" s="5442"/>
      <c r="AE18" s="5420"/>
      <c r="AF18" s="5420"/>
      <c r="AG18" s="5420"/>
      <c r="AH18" s="38"/>
      <c r="AI18" s="38"/>
      <c r="AJ18" s="5403"/>
    </row>
    <row r="19" spans="1:36" s="35" customFormat="1" ht="12.95" customHeight="1">
      <c r="A19" s="5460"/>
      <c r="B19" s="5461"/>
      <c r="C19" s="2536" t="s">
        <v>862</v>
      </c>
      <c r="D19" s="2537">
        <v>1</v>
      </c>
      <c r="E19" s="5434"/>
      <c r="F19" s="5420"/>
      <c r="G19" s="5434"/>
      <c r="H19" s="5419" t="s">
        <v>383</v>
      </c>
      <c r="I19" s="5419" t="s">
        <v>384</v>
      </c>
      <c r="J19" s="5419" t="s">
        <v>386</v>
      </c>
      <c r="K19" s="5446" t="s">
        <v>387</v>
      </c>
      <c r="L19" s="5447"/>
      <c r="M19" s="5420"/>
      <c r="N19" s="5434"/>
      <c r="O19" s="5420"/>
      <c r="P19" s="5434"/>
      <c r="Q19" s="5420"/>
      <c r="R19" s="5434"/>
      <c r="S19" s="5420"/>
      <c r="T19" s="786" t="s">
        <v>862</v>
      </c>
      <c r="U19" s="785">
        <v>1</v>
      </c>
      <c r="V19" s="5412"/>
      <c r="W19" s="786" t="s">
        <v>862</v>
      </c>
      <c r="X19" s="785">
        <v>1</v>
      </c>
      <c r="Y19" s="5417"/>
      <c r="Z19" s="786" t="s">
        <v>862</v>
      </c>
      <c r="AA19" s="785">
        <v>1</v>
      </c>
      <c r="AB19" s="5447"/>
      <c r="AC19" s="5420"/>
      <c r="AD19" s="5442"/>
      <c r="AE19" s="5420"/>
      <c r="AF19" s="5420"/>
      <c r="AG19" s="5420"/>
      <c r="AH19" s="786" t="s">
        <v>862</v>
      </c>
      <c r="AI19" s="785">
        <v>1</v>
      </c>
      <c r="AJ19" s="5403"/>
    </row>
    <row r="20" spans="1:36" s="35" customFormat="1" ht="12.95" customHeight="1">
      <c r="A20" s="5460"/>
      <c r="B20" s="5461"/>
      <c r="C20" s="2538" t="s">
        <v>863</v>
      </c>
      <c r="D20" s="2539">
        <v>2</v>
      </c>
      <c r="E20" s="5434"/>
      <c r="F20" s="5420"/>
      <c r="G20" s="5434"/>
      <c r="H20" s="5420"/>
      <c r="I20" s="5420"/>
      <c r="J20" s="5420"/>
      <c r="K20" s="5447" t="s">
        <v>59</v>
      </c>
      <c r="L20" s="5447"/>
      <c r="M20" s="5420"/>
      <c r="N20" s="5434"/>
      <c r="O20" s="5420"/>
      <c r="P20" s="5434"/>
      <c r="Q20" s="5420"/>
      <c r="R20" s="5434"/>
      <c r="S20" s="5420"/>
      <c r="T20" s="788" t="s">
        <v>863</v>
      </c>
      <c r="U20" s="787">
        <v>2</v>
      </c>
      <c r="V20" s="5412"/>
      <c r="W20" s="788" t="s">
        <v>863</v>
      </c>
      <c r="X20" s="787">
        <v>2</v>
      </c>
      <c r="Y20" s="5417"/>
      <c r="Z20" s="788" t="s">
        <v>863</v>
      </c>
      <c r="AA20" s="787">
        <v>2</v>
      </c>
      <c r="AB20" s="5447"/>
      <c r="AC20" s="5420"/>
      <c r="AD20" s="5442"/>
      <c r="AE20" s="5420"/>
      <c r="AF20" s="5420"/>
      <c r="AG20" s="5420"/>
      <c r="AH20" s="788" t="s">
        <v>863</v>
      </c>
      <c r="AI20" s="787">
        <v>2</v>
      </c>
      <c r="AJ20" s="5403"/>
    </row>
    <row r="21" spans="1:36" s="35" customFormat="1" ht="12.95" customHeight="1">
      <c r="A21" s="5460"/>
      <c r="B21" s="5461"/>
      <c r="C21" s="2540" t="s">
        <v>12</v>
      </c>
      <c r="D21" s="2541" t="s">
        <v>598</v>
      </c>
      <c r="E21" s="5434"/>
      <c r="F21" s="5420"/>
      <c r="G21" s="5434"/>
      <c r="H21" s="5420"/>
      <c r="I21" s="498"/>
      <c r="J21" s="5420"/>
      <c r="K21" s="5447"/>
      <c r="L21" s="5447"/>
      <c r="M21" s="5420"/>
      <c r="N21" s="5434"/>
      <c r="O21" s="5420"/>
      <c r="P21" s="5434"/>
      <c r="Q21" s="5420"/>
      <c r="R21" s="5434"/>
      <c r="S21" s="5420"/>
      <c r="T21" s="789" t="s">
        <v>12</v>
      </c>
      <c r="U21" s="677" t="s">
        <v>599</v>
      </c>
      <c r="V21" s="5412"/>
      <c r="W21" s="676" t="s">
        <v>12</v>
      </c>
      <c r="X21" s="677" t="s">
        <v>600</v>
      </c>
      <c r="Y21" s="5417"/>
      <c r="Z21" s="676" t="s">
        <v>12</v>
      </c>
      <c r="AA21" s="677" t="s">
        <v>601</v>
      </c>
      <c r="AB21" s="5447"/>
      <c r="AC21" s="5420"/>
      <c r="AD21" s="5442"/>
      <c r="AE21" s="5420"/>
      <c r="AF21" s="5420"/>
      <c r="AG21" s="5420"/>
      <c r="AH21" s="5428" t="s">
        <v>19</v>
      </c>
      <c r="AI21" s="5429"/>
      <c r="AJ21" s="5403"/>
    </row>
    <row r="22" spans="1:36" s="35" customFormat="1" ht="12.95" customHeight="1">
      <c r="A22" s="5460"/>
      <c r="B22" s="5461"/>
      <c r="C22" s="24"/>
      <c r="D22" s="23"/>
      <c r="E22" s="5434"/>
      <c r="F22" s="5420"/>
      <c r="G22" s="5434"/>
      <c r="H22" s="498"/>
      <c r="I22" s="498"/>
      <c r="J22" s="499"/>
      <c r="K22" s="473"/>
      <c r="L22" s="5447"/>
      <c r="M22" s="5420"/>
      <c r="N22" s="5434"/>
      <c r="O22" s="5420"/>
      <c r="P22" s="5434"/>
      <c r="Q22" s="5420"/>
      <c r="R22" s="5434"/>
      <c r="S22" s="499"/>
      <c r="T22" s="3"/>
      <c r="U22" s="23"/>
      <c r="V22" s="5412"/>
      <c r="W22" s="24"/>
      <c r="X22" s="23"/>
      <c r="Y22" s="5417"/>
      <c r="Z22" s="24"/>
      <c r="AA22" s="23"/>
      <c r="AB22" s="5447"/>
      <c r="AC22" s="5420"/>
      <c r="AD22" s="5442"/>
      <c r="AE22" s="5420"/>
      <c r="AF22" s="5420"/>
      <c r="AG22" s="5420"/>
      <c r="AH22" s="24"/>
      <c r="AI22" s="23"/>
      <c r="AJ22" s="5403"/>
    </row>
    <row r="23" spans="1:36" s="35" customFormat="1" ht="12.75" customHeight="1">
      <c r="A23" s="5460"/>
      <c r="B23" s="5461"/>
      <c r="C23" s="24"/>
      <c r="D23" s="23"/>
      <c r="E23" s="5435"/>
      <c r="F23" s="5421"/>
      <c r="G23" s="5435"/>
      <c r="H23" s="500"/>
      <c r="I23" s="500"/>
      <c r="J23" s="500"/>
      <c r="K23" s="474"/>
      <c r="L23" s="5452"/>
      <c r="M23" s="5421"/>
      <c r="N23" s="5435"/>
      <c r="O23" s="5421"/>
      <c r="P23" s="5435"/>
      <c r="Q23" s="5421"/>
      <c r="R23" s="5435"/>
      <c r="S23" s="500"/>
      <c r="T23" s="3"/>
      <c r="U23" s="23"/>
      <c r="V23" s="5413"/>
      <c r="W23" s="24"/>
      <c r="X23" s="23"/>
      <c r="Y23" s="5418"/>
      <c r="Z23" s="24"/>
      <c r="AA23" s="23"/>
      <c r="AB23" s="5452"/>
      <c r="AC23" s="5421"/>
      <c r="AD23" s="5443"/>
      <c r="AE23" s="5421"/>
      <c r="AF23" s="5421"/>
      <c r="AG23" s="5421"/>
      <c r="AH23" s="24"/>
      <c r="AI23" s="23"/>
      <c r="AJ23" s="5404"/>
    </row>
    <row r="24" spans="1:36" s="40" customFormat="1" ht="12.95" customHeight="1" thickBot="1">
      <c r="A24" s="5462"/>
      <c r="B24" s="5463"/>
      <c r="C24" s="2542"/>
      <c r="D24" s="683"/>
      <c r="E24" s="573" t="s">
        <v>219</v>
      </c>
      <c r="F24" s="684" t="s">
        <v>219</v>
      </c>
      <c r="G24" s="684" t="s">
        <v>219</v>
      </c>
      <c r="H24" s="684" t="s">
        <v>219</v>
      </c>
      <c r="I24" s="684" t="s">
        <v>219</v>
      </c>
      <c r="J24" s="684" t="s">
        <v>219</v>
      </c>
      <c r="K24" s="684" t="s">
        <v>219</v>
      </c>
      <c r="L24" s="684" t="s">
        <v>219</v>
      </c>
      <c r="M24" s="684" t="s">
        <v>219</v>
      </c>
      <c r="N24" s="684" t="s">
        <v>219</v>
      </c>
      <c r="O24" s="684" t="s">
        <v>219</v>
      </c>
      <c r="P24" s="684" t="s">
        <v>219</v>
      </c>
      <c r="Q24" s="684" t="s">
        <v>219</v>
      </c>
      <c r="R24" s="684" t="s">
        <v>219</v>
      </c>
      <c r="S24" s="686" t="s">
        <v>219</v>
      </c>
      <c r="T24" s="687"/>
      <c r="U24" s="683"/>
      <c r="V24" s="684" t="s">
        <v>219</v>
      </c>
      <c r="W24" s="682"/>
      <c r="X24" s="683"/>
      <c r="Y24" s="684" t="s">
        <v>219</v>
      </c>
      <c r="Z24" s="682"/>
      <c r="AA24" s="683"/>
      <c r="AB24" s="684" t="s">
        <v>219</v>
      </c>
      <c r="AC24" s="684" t="s">
        <v>219</v>
      </c>
      <c r="AD24" s="684" t="s">
        <v>219</v>
      </c>
      <c r="AE24" s="684" t="s">
        <v>219</v>
      </c>
      <c r="AF24" s="684" t="s">
        <v>219</v>
      </c>
      <c r="AG24" s="684" t="s">
        <v>219</v>
      </c>
      <c r="AH24" s="682"/>
      <c r="AI24" s="683"/>
      <c r="AJ24" s="685" t="s">
        <v>219</v>
      </c>
    </row>
    <row r="25" spans="1:36" s="30" customFormat="1" ht="17.25" customHeight="1">
      <c r="A25" s="5430">
        <v>1</v>
      </c>
      <c r="B25" s="5431"/>
      <c r="C25" s="11"/>
      <c r="D25" s="9"/>
      <c r="E25" s="675"/>
      <c r="F25" s="675"/>
      <c r="G25" s="675"/>
      <c r="H25" s="675"/>
      <c r="I25" s="675"/>
      <c r="J25" s="675"/>
      <c r="K25" s="675"/>
      <c r="L25" s="675"/>
      <c r="M25" s="675"/>
      <c r="N25" s="675"/>
      <c r="O25" s="675"/>
      <c r="P25" s="675"/>
      <c r="Q25" s="675"/>
      <c r="R25" s="675"/>
      <c r="S25" s="675"/>
      <c r="T25" s="8"/>
      <c r="U25" s="9"/>
      <c r="V25" s="675"/>
      <c r="W25" s="8"/>
      <c r="X25" s="9"/>
      <c r="Y25" s="675"/>
      <c r="Z25" s="8"/>
      <c r="AA25" s="9"/>
      <c r="AB25" s="675"/>
      <c r="AC25" s="675"/>
      <c r="AD25" s="675"/>
      <c r="AE25" s="675"/>
      <c r="AF25" s="675"/>
      <c r="AG25" s="675"/>
      <c r="AH25" s="8"/>
      <c r="AI25" s="9"/>
      <c r="AJ25" s="675"/>
    </row>
    <row r="26" spans="1:36" s="30" customFormat="1" ht="17.25" customHeight="1">
      <c r="A26" s="5432">
        <v>2</v>
      </c>
      <c r="B26" s="4316"/>
      <c r="C26" s="12"/>
      <c r="D26" s="7"/>
      <c r="E26" s="5"/>
      <c r="F26" s="5"/>
      <c r="G26" s="5"/>
      <c r="H26" s="5"/>
      <c r="I26" s="5"/>
      <c r="J26" s="5"/>
      <c r="K26" s="5"/>
      <c r="L26" s="5"/>
      <c r="M26" s="5"/>
      <c r="N26" s="5"/>
      <c r="O26" s="5"/>
      <c r="P26" s="5"/>
      <c r="Q26" s="5"/>
      <c r="R26" s="5"/>
      <c r="S26" s="5"/>
      <c r="T26" s="6"/>
      <c r="U26" s="7"/>
      <c r="V26" s="5"/>
      <c r="W26" s="6"/>
      <c r="X26" s="7"/>
      <c r="Y26" s="5"/>
      <c r="Z26" s="6"/>
      <c r="AA26" s="7"/>
      <c r="AB26" s="5"/>
      <c r="AC26" s="5"/>
      <c r="AD26" s="5"/>
      <c r="AE26" s="5"/>
      <c r="AF26" s="5"/>
      <c r="AG26" s="5"/>
      <c r="AH26" s="6"/>
      <c r="AI26" s="7"/>
      <c r="AJ26" s="5"/>
    </row>
    <row r="27" spans="1:36" s="30" customFormat="1" ht="17.25" customHeight="1" thickBot="1">
      <c r="A27" s="5438">
        <v>3</v>
      </c>
      <c r="B27" s="5439"/>
      <c r="C27" s="2524"/>
      <c r="D27" s="2525"/>
      <c r="E27" s="2526"/>
      <c r="F27" s="2526"/>
      <c r="G27" s="2526"/>
      <c r="H27" s="2526"/>
      <c r="I27" s="2526"/>
      <c r="J27" s="2526"/>
      <c r="K27" s="2526"/>
      <c r="L27" s="2526"/>
      <c r="M27" s="2526"/>
      <c r="N27" s="2526"/>
      <c r="O27" s="2526"/>
      <c r="P27" s="2526"/>
      <c r="Q27" s="2526"/>
      <c r="R27" s="2526"/>
      <c r="S27" s="2526"/>
      <c r="T27" s="2535"/>
      <c r="U27" s="2525"/>
      <c r="V27" s="2526"/>
      <c r="W27" s="2535"/>
      <c r="X27" s="2525"/>
      <c r="Y27" s="2526"/>
      <c r="Z27" s="2535"/>
      <c r="AA27" s="2525"/>
      <c r="AB27" s="2526"/>
      <c r="AC27" s="2526"/>
      <c r="AD27" s="2526"/>
      <c r="AE27" s="2526"/>
      <c r="AF27" s="2526"/>
      <c r="AG27" s="2526"/>
      <c r="AH27" s="2535"/>
      <c r="AI27" s="2525"/>
      <c r="AJ27" s="2526"/>
    </row>
    <row r="28" spans="1:36" s="30" customFormat="1" ht="17.25" customHeight="1" thickTop="1">
      <c r="A28" s="5440">
        <v>4</v>
      </c>
      <c r="B28" s="4319"/>
      <c r="C28" s="2527"/>
      <c r="D28" s="2528"/>
      <c r="E28" s="2529"/>
      <c r="F28" s="2529"/>
      <c r="G28" s="2529"/>
      <c r="H28" s="2529"/>
      <c r="I28" s="2529"/>
      <c r="J28" s="2529"/>
      <c r="K28" s="2529"/>
      <c r="L28" s="2529"/>
      <c r="M28" s="2529"/>
      <c r="N28" s="2529"/>
      <c r="O28" s="2529"/>
      <c r="P28" s="2529"/>
      <c r="Q28" s="2529"/>
      <c r="R28" s="2529"/>
      <c r="S28" s="2529"/>
      <c r="T28" s="2533"/>
      <c r="U28" s="2528"/>
      <c r="V28" s="2529"/>
      <c r="W28" s="2533"/>
      <c r="X28" s="2528"/>
      <c r="Y28" s="2529"/>
      <c r="Z28" s="2533"/>
      <c r="AA28" s="2528"/>
      <c r="AB28" s="2529"/>
      <c r="AC28" s="2529"/>
      <c r="AD28" s="2529"/>
      <c r="AE28" s="2529"/>
      <c r="AF28" s="2529"/>
      <c r="AG28" s="2529"/>
      <c r="AH28" s="2533"/>
      <c r="AI28" s="2528"/>
      <c r="AJ28" s="2529"/>
    </row>
    <row r="29" spans="1:36" s="30" customFormat="1" ht="17.25" customHeight="1">
      <c r="A29" s="5440">
        <v>5</v>
      </c>
      <c r="B29" s="4319"/>
      <c r="C29" s="12"/>
      <c r="D29" s="7"/>
      <c r="E29" s="5"/>
      <c r="F29" s="5"/>
      <c r="G29" s="5"/>
      <c r="H29" s="5"/>
      <c r="I29" s="5"/>
      <c r="J29" s="5"/>
      <c r="K29" s="5"/>
      <c r="L29" s="5"/>
      <c r="M29" s="5"/>
      <c r="N29" s="5"/>
      <c r="O29" s="5"/>
      <c r="P29" s="5"/>
      <c r="Q29" s="5"/>
      <c r="R29" s="5"/>
      <c r="S29" s="5"/>
      <c r="T29" s="6"/>
      <c r="U29" s="7"/>
      <c r="V29" s="5"/>
      <c r="W29" s="6"/>
      <c r="X29" s="7"/>
      <c r="Y29" s="5"/>
      <c r="Z29" s="6"/>
      <c r="AA29" s="7"/>
      <c r="AB29" s="5"/>
      <c r="AC29" s="5"/>
      <c r="AD29" s="5"/>
      <c r="AE29" s="5"/>
      <c r="AF29" s="5"/>
      <c r="AG29" s="5"/>
      <c r="AH29" s="6"/>
      <c r="AI29" s="7"/>
      <c r="AJ29" s="5"/>
    </row>
    <row r="30" spans="1:36" s="30" customFormat="1" ht="17.25" customHeight="1" thickBot="1">
      <c r="A30" s="5436">
        <v>6</v>
      </c>
      <c r="B30" s="5437"/>
      <c r="C30" s="2530"/>
      <c r="D30" s="2531"/>
      <c r="E30" s="2532"/>
      <c r="F30" s="2532"/>
      <c r="G30" s="2532"/>
      <c r="H30" s="2532"/>
      <c r="I30" s="2532"/>
      <c r="J30" s="2532"/>
      <c r="K30" s="2532"/>
      <c r="L30" s="2532"/>
      <c r="M30" s="2532"/>
      <c r="N30" s="2532"/>
      <c r="O30" s="2532"/>
      <c r="P30" s="2532"/>
      <c r="Q30" s="2532"/>
      <c r="R30" s="2532"/>
      <c r="S30" s="2532"/>
      <c r="T30" s="2534"/>
      <c r="U30" s="2531"/>
      <c r="V30" s="2532"/>
      <c r="W30" s="2534"/>
      <c r="X30" s="2531"/>
      <c r="Y30" s="2532"/>
      <c r="Z30" s="2534"/>
      <c r="AA30" s="2531"/>
      <c r="AB30" s="2532"/>
      <c r="AC30" s="2532"/>
      <c r="AD30" s="2532"/>
      <c r="AE30" s="2532"/>
      <c r="AF30" s="2532"/>
      <c r="AG30" s="2532"/>
      <c r="AH30" s="2534"/>
      <c r="AI30" s="2531"/>
      <c r="AJ30" s="2532"/>
    </row>
    <row r="31" spans="1:36" s="30" customFormat="1" ht="17.25" customHeight="1" thickTop="1">
      <c r="A31" s="5432">
        <v>7</v>
      </c>
      <c r="B31" s="4316"/>
      <c r="C31" s="11"/>
      <c r="D31" s="9"/>
      <c r="E31" s="675"/>
      <c r="F31" s="675"/>
      <c r="G31" s="675"/>
      <c r="H31" s="675"/>
      <c r="I31" s="675"/>
      <c r="J31" s="675"/>
      <c r="K31" s="675"/>
      <c r="L31" s="675"/>
      <c r="M31" s="675"/>
      <c r="N31" s="675"/>
      <c r="O31" s="675"/>
      <c r="P31" s="675"/>
      <c r="Q31" s="675"/>
      <c r="R31" s="675"/>
      <c r="S31" s="675"/>
      <c r="T31" s="8"/>
      <c r="U31" s="9"/>
      <c r="V31" s="675"/>
      <c r="W31" s="8"/>
      <c r="X31" s="9"/>
      <c r="Y31" s="675"/>
      <c r="Z31" s="8"/>
      <c r="AA31" s="9"/>
      <c r="AB31" s="675"/>
      <c r="AC31" s="675"/>
      <c r="AD31" s="675"/>
      <c r="AE31" s="675"/>
      <c r="AF31" s="675"/>
      <c r="AG31" s="675"/>
      <c r="AH31" s="8"/>
      <c r="AI31" s="9"/>
      <c r="AJ31" s="675"/>
    </row>
    <row r="32" spans="1:36" s="30" customFormat="1" ht="17.25" customHeight="1">
      <c r="A32" s="5432">
        <v>8</v>
      </c>
      <c r="B32" s="4316"/>
      <c r="C32" s="12"/>
      <c r="D32" s="7"/>
      <c r="E32" s="5"/>
      <c r="F32" s="5"/>
      <c r="G32" s="5"/>
      <c r="H32" s="5"/>
      <c r="I32" s="5"/>
      <c r="J32" s="5"/>
      <c r="K32" s="5"/>
      <c r="L32" s="5"/>
      <c r="M32" s="5"/>
      <c r="N32" s="5"/>
      <c r="O32" s="5"/>
      <c r="P32" s="5"/>
      <c r="Q32" s="5"/>
      <c r="R32" s="5"/>
      <c r="S32" s="5"/>
      <c r="T32" s="6"/>
      <c r="U32" s="7"/>
      <c r="V32" s="5"/>
      <c r="W32" s="6"/>
      <c r="X32" s="7"/>
      <c r="Y32" s="5"/>
      <c r="Z32" s="6"/>
      <c r="AA32" s="7"/>
      <c r="AB32" s="5"/>
      <c r="AC32" s="5"/>
      <c r="AD32" s="5"/>
      <c r="AE32" s="5"/>
      <c r="AF32" s="5"/>
      <c r="AG32" s="5"/>
      <c r="AH32" s="6"/>
      <c r="AI32" s="7"/>
      <c r="AJ32" s="5"/>
    </row>
    <row r="33" spans="1:36" s="30" customFormat="1" ht="17.25" customHeight="1" thickBot="1">
      <c r="A33" s="5432">
        <v>9</v>
      </c>
      <c r="B33" s="4316"/>
      <c r="C33" s="2524"/>
      <c r="D33" s="2525"/>
      <c r="E33" s="2526"/>
      <c r="F33" s="2526"/>
      <c r="G33" s="2526"/>
      <c r="H33" s="2526"/>
      <c r="I33" s="2526"/>
      <c r="J33" s="2526"/>
      <c r="K33" s="2526"/>
      <c r="L33" s="2526"/>
      <c r="M33" s="2526"/>
      <c r="N33" s="2526"/>
      <c r="O33" s="2526"/>
      <c r="P33" s="2526"/>
      <c r="Q33" s="2526"/>
      <c r="R33" s="2526"/>
      <c r="S33" s="2526"/>
      <c r="T33" s="2535"/>
      <c r="U33" s="2525"/>
      <c r="V33" s="2526"/>
      <c r="W33" s="2535"/>
      <c r="X33" s="2525"/>
      <c r="Y33" s="2526"/>
      <c r="Z33" s="2535"/>
      <c r="AA33" s="2525"/>
      <c r="AB33" s="2526"/>
      <c r="AC33" s="2526"/>
      <c r="AD33" s="2526"/>
      <c r="AE33" s="2526"/>
      <c r="AF33" s="2526"/>
      <c r="AG33" s="2526"/>
      <c r="AH33" s="2535"/>
      <c r="AI33" s="2525"/>
      <c r="AJ33" s="2526"/>
    </row>
    <row r="34" spans="1:36" s="30" customFormat="1" ht="17.25" customHeight="1" thickTop="1">
      <c r="A34" s="5440">
        <v>10</v>
      </c>
      <c r="B34" s="4319"/>
      <c r="C34" s="2533"/>
      <c r="D34" s="2528"/>
      <c r="E34" s="2529"/>
      <c r="F34" s="2529"/>
      <c r="G34" s="2529"/>
      <c r="H34" s="2529"/>
      <c r="I34" s="2529"/>
      <c r="J34" s="2529"/>
      <c r="K34" s="2529"/>
      <c r="L34" s="2529"/>
      <c r="M34" s="2529"/>
      <c r="N34" s="2529"/>
      <c r="O34" s="2529"/>
      <c r="P34" s="2529"/>
      <c r="Q34" s="2529"/>
      <c r="R34" s="2529"/>
      <c r="S34" s="2529"/>
      <c r="T34" s="2533"/>
      <c r="U34" s="2528"/>
      <c r="V34" s="2529"/>
      <c r="W34" s="2533"/>
      <c r="X34" s="2528"/>
      <c r="Y34" s="2529"/>
      <c r="Z34" s="2533"/>
      <c r="AA34" s="2528"/>
      <c r="AB34" s="2529"/>
      <c r="AC34" s="2529"/>
      <c r="AD34" s="2529"/>
      <c r="AE34" s="2529"/>
      <c r="AF34" s="2529"/>
      <c r="AG34" s="2529"/>
      <c r="AH34" s="2533"/>
      <c r="AI34" s="2528"/>
      <c r="AJ34" s="2529"/>
    </row>
    <row r="35" spans="1:36" s="30" customFormat="1" ht="17.25" customHeight="1">
      <c r="A35" s="5440">
        <v>11</v>
      </c>
      <c r="B35" s="4319"/>
      <c r="C35" s="6"/>
      <c r="D35" s="7"/>
      <c r="E35" s="5"/>
      <c r="F35" s="5"/>
      <c r="G35" s="5"/>
      <c r="H35" s="5"/>
      <c r="I35" s="5"/>
      <c r="J35" s="5"/>
      <c r="K35" s="5"/>
      <c r="L35" s="5"/>
      <c r="M35" s="5"/>
      <c r="N35" s="5"/>
      <c r="O35" s="5"/>
      <c r="P35" s="5"/>
      <c r="Q35" s="5"/>
      <c r="R35" s="5"/>
      <c r="S35" s="5"/>
      <c r="T35" s="6"/>
      <c r="U35" s="7"/>
      <c r="V35" s="5"/>
      <c r="W35" s="6"/>
      <c r="X35" s="7"/>
      <c r="Y35" s="5"/>
      <c r="Z35" s="6"/>
      <c r="AA35" s="7"/>
      <c r="AB35" s="5"/>
      <c r="AC35" s="5"/>
      <c r="AD35" s="5"/>
      <c r="AE35" s="5"/>
      <c r="AF35" s="5"/>
      <c r="AG35" s="5"/>
      <c r="AH35" s="6"/>
      <c r="AI35" s="7"/>
      <c r="AJ35" s="5"/>
    </row>
    <row r="36" spans="1:36" s="30" customFormat="1" ht="17.25" customHeight="1" thickBot="1">
      <c r="A36" s="5440">
        <v>12</v>
      </c>
      <c r="B36" s="4319"/>
      <c r="C36" s="2534"/>
      <c r="D36" s="2531"/>
      <c r="E36" s="2532"/>
      <c r="F36" s="2532"/>
      <c r="G36" s="2532"/>
      <c r="H36" s="2532"/>
      <c r="I36" s="2532"/>
      <c r="J36" s="2532"/>
      <c r="K36" s="2532"/>
      <c r="L36" s="2532"/>
      <c r="M36" s="2532"/>
      <c r="N36" s="2532"/>
      <c r="O36" s="2532"/>
      <c r="P36" s="2532"/>
      <c r="Q36" s="2532"/>
      <c r="R36" s="2532"/>
      <c r="S36" s="2532"/>
      <c r="T36" s="2534"/>
      <c r="U36" s="2531"/>
      <c r="V36" s="2532"/>
      <c r="W36" s="2534"/>
      <c r="X36" s="2531"/>
      <c r="Y36" s="2532"/>
      <c r="Z36" s="2534"/>
      <c r="AA36" s="2531"/>
      <c r="AB36" s="2532"/>
      <c r="AC36" s="2532"/>
      <c r="AD36" s="2532"/>
      <c r="AE36" s="2532"/>
      <c r="AF36" s="2532"/>
      <c r="AG36" s="2532"/>
      <c r="AH36" s="2534"/>
      <c r="AI36" s="2531"/>
      <c r="AJ36" s="2532"/>
    </row>
    <row r="37" spans="1:36" s="30" customFormat="1" ht="17.25" customHeight="1" thickTop="1">
      <c r="A37" s="5432">
        <v>13</v>
      </c>
      <c r="B37" s="4316"/>
      <c r="C37" s="11"/>
      <c r="D37" s="9"/>
      <c r="E37" s="675"/>
      <c r="F37" s="675"/>
      <c r="G37" s="675"/>
      <c r="H37" s="675"/>
      <c r="I37" s="675"/>
      <c r="J37" s="675"/>
      <c r="K37" s="675"/>
      <c r="L37" s="675"/>
      <c r="M37" s="675"/>
      <c r="N37" s="675"/>
      <c r="O37" s="675"/>
      <c r="P37" s="675"/>
      <c r="Q37" s="675"/>
      <c r="R37" s="675"/>
      <c r="S37" s="675"/>
      <c r="T37" s="8"/>
      <c r="U37" s="9"/>
      <c r="V37" s="675"/>
      <c r="W37" s="8"/>
      <c r="X37" s="9"/>
      <c r="Y37" s="675"/>
      <c r="Z37" s="8"/>
      <c r="AA37" s="9"/>
      <c r="AB37" s="675"/>
      <c r="AC37" s="675"/>
      <c r="AD37" s="675"/>
      <c r="AE37" s="675"/>
      <c r="AF37" s="675"/>
      <c r="AG37" s="675"/>
      <c r="AH37" s="8"/>
      <c r="AI37" s="9"/>
      <c r="AJ37" s="675"/>
    </row>
    <row r="38" spans="1:36" s="30" customFormat="1" ht="17.25" customHeight="1">
      <c r="A38" s="5432">
        <v>14</v>
      </c>
      <c r="B38" s="4316"/>
      <c r="C38" s="12"/>
      <c r="D38" s="7"/>
      <c r="E38" s="5"/>
      <c r="F38" s="5"/>
      <c r="G38" s="5"/>
      <c r="H38" s="5"/>
      <c r="I38" s="5"/>
      <c r="J38" s="5"/>
      <c r="K38" s="5"/>
      <c r="L38" s="5"/>
      <c r="M38" s="5"/>
      <c r="N38" s="5"/>
      <c r="O38" s="5"/>
      <c r="P38" s="5"/>
      <c r="Q38" s="5"/>
      <c r="R38" s="5"/>
      <c r="S38" s="5"/>
      <c r="T38" s="6"/>
      <c r="U38" s="7"/>
      <c r="V38" s="5"/>
      <c r="W38" s="6"/>
      <c r="X38" s="7"/>
      <c r="Y38" s="5"/>
      <c r="Z38" s="6"/>
      <c r="AA38" s="7"/>
      <c r="AB38" s="5"/>
      <c r="AC38" s="5"/>
      <c r="AD38" s="5"/>
      <c r="AE38" s="5"/>
      <c r="AF38" s="5"/>
      <c r="AG38" s="5"/>
      <c r="AH38" s="6"/>
      <c r="AI38" s="7"/>
      <c r="AJ38" s="5"/>
    </row>
    <row r="39" spans="1:36" s="30" customFormat="1" ht="17.25" customHeight="1">
      <c r="A39" s="5432">
        <v>15</v>
      </c>
      <c r="B39" s="4316"/>
      <c r="C39" s="12"/>
      <c r="D39" s="7"/>
      <c r="E39" s="5"/>
      <c r="F39" s="5"/>
      <c r="G39" s="5"/>
      <c r="H39" s="5"/>
      <c r="I39" s="5"/>
      <c r="J39" s="5"/>
      <c r="K39" s="5"/>
      <c r="L39" s="5"/>
      <c r="M39" s="5"/>
      <c r="N39" s="5"/>
      <c r="O39" s="5"/>
      <c r="P39" s="5"/>
      <c r="Q39" s="5"/>
      <c r="R39" s="5"/>
      <c r="S39" s="5"/>
      <c r="T39" s="6"/>
      <c r="U39" s="7"/>
      <c r="V39" s="5"/>
      <c r="W39" s="6"/>
      <c r="X39" s="7"/>
      <c r="Y39" s="5"/>
      <c r="Z39" s="6"/>
      <c r="AA39" s="7"/>
      <c r="AB39" s="5"/>
      <c r="AC39" s="5"/>
      <c r="AD39" s="5"/>
      <c r="AE39" s="5"/>
      <c r="AF39" s="5"/>
      <c r="AG39" s="5"/>
      <c r="AH39" s="6"/>
      <c r="AI39" s="7"/>
      <c r="AJ39" s="5"/>
    </row>
    <row r="40" spans="1:36" ht="13.5">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row>
  </sheetData>
  <customSheetViews>
    <customSheetView guid="{BDF1A126-BD1D-4A5E-80B8-98941684E462}" showPageBreaks="1" showGridLines="0" printArea="1" view="pageLayout">
      <selection activeCell="C1" sqref="C1"/>
      <colBreaks count="1" manualBreakCount="1">
        <brk id="19" max="37" man="1"/>
      </colBreaks>
      <pageMargins left="0.196850393700787" right="0.196850393700787" top="0.196850393700787" bottom="0.196850393700787" header="0" footer="0"/>
      <pageSetup paperSize="9" fitToWidth="3" orientation="landscape" r:id="rId1"/>
      <headerFooter alignWithMargins="0"/>
    </customSheetView>
    <customSheetView guid="{04F0793E-5444-463D-A1D5-E52E08A4C249}" showPageBreaks="1" showGridLines="0" printArea="1" view="pageLayout">
      <selection activeCell="F33" sqref="F33"/>
      <colBreaks count="1" manualBreakCount="1">
        <brk id="19" max="37" man="1"/>
      </colBreaks>
      <pageMargins left="0.196850393700787" right="0.196850393700787" top="0.196850393700787" bottom="0.196850393700787" header="0" footer="0"/>
      <pageSetup paperSize="9" fitToWidth="3" orientation="landscape" r:id="rId2"/>
      <headerFooter alignWithMargins="0"/>
    </customSheetView>
    <customSheetView guid="{925F74B5-C2F5-4E55-AFE4-045C56169B44}" showPageBreaks="1" showGridLines="0" printArea="1" view="pageLayout">
      <selection activeCell="F33" sqref="F33"/>
      <colBreaks count="1" manualBreakCount="1">
        <brk id="19" max="37" man="1"/>
      </colBreaks>
      <pageMargins left="0.196850393700787" right="0.196850393700787" top="0.196850393700787" bottom="0.196850393700787" header="0" footer="0"/>
      <pageSetup paperSize="9" fitToWidth="3" orientation="landscape" r:id="rId3"/>
      <headerFooter alignWithMargins="0"/>
    </customSheetView>
    <customSheetView guid="{1FF58891-F32F-4F97-9812-E2D02F4497AA}" showPageBreaks="1" showGridLines="0" printArea="1" view="pageLayout" topLeftCell="G1">
      <selection activeCell="A4" sqref="A4:B24"/>
      <colBreaks count="1" manualBreakCount="1">
        <brk id="19" max="37" man="1"/>
      </colBreaks>
      <pageMargins left="0.196850393700787" right="0.196850393700787" top="0.196850393700787" bottom="0.196850393700787" header="0" footer="0"/>
      <pageSetup paperSize="9" fitToWidth="3" orientation="landscape" r:id="rId4"/>
      <headerFooter alignWithMargins="0"/>
    </customSheetView>
    <customSheetView guid="{2A6091F0-BAF4-46A2-BC20-0DE610E67601}" showPageBreaks="1" showGridLines="0" printArea="1" view="pageLayout" topLeftCell="G1">
      <selection activeCell="A4" sqref="A4:B24"/>
      <colBreaks count="1" manualBreakCount="1">
        <brk id="19" max="37" man="1"/>
      </colBreaks>
      <pageMargins left="0.196850393700787" right="0.196850393700787" top="0.196850393700787" bottom="0.196850393700787" header="0" footer="0"/>
      <pageSetup paperSize="9" fitToWidth="3" orientation="landscape" r:id="rId5"/>
      <headerFooter alignWithMargins="0"/>
    </customSheetView>
    <customSheetView guid="{5111FDC7-EEAC-46C3-8033-47A3563F0C00}" showPageBreaks="1" showGridLines="0" printArea="1" view="pageLayout" topLeftCell="N1">
      <selection activeCell="AH4" sqref="AH4:AI17"/>
      <colBreaks count="1" manualBreakCount="1">
        <brk id="19" max="37" man="1"/>
      </colBreaks>
      <pageMargins left="0.196850393700787" right="0.196850393700787" top="0.196850393700787" bottom="0.196850393700787" header="0" footer="0"/>
      <pageSetup paperSize="9" fitToWidth="3" orientation="landscape" r:id="rId6"/>
      <headerFooter alignWithMargins="0"/>
    </customSheetView>
    <customSheetView guid="{2A5E79E4-584C-4F65-A220-87928CEA02AF}" showPageBreaks="1" showGridLines="0" printArea="1" view="pageLayout" topLeftCell="N1">
      <selection activeCell="AH4" sqref="AH4:AI17"/>
      <colBreaks count="1" manualBreakCount="1">
        <brk id="19" max="37" man="1"/>
      </colBreaks>
      <pageMargins left="0.196850393700787" right="0.196850393700787" top="0.196850393700787" bottom="0.196850393700787" header="0" footer="0"/>
      <pageSetup paperSize="9" fitToWidth="3" orientation="landscape" r:id="rId7"/>
      <headerFooter alignWithMargins="0"/>
    </customSheetView>
    <customSheetView guid="{66872EF1-41BD-4D4B-B603-B8B0D03DAD22}" showPageBreaks="1" showGridLines="0" printArea="1" view="pageLayout" topLeftCell="Q1">
      <selection activeCell="AH4" sqref="AH4:AI17"/>
      <colBreaks count="1" manualBreakCount="1">
        <brk id="19" max="37" man="1"/>
      </colBreaks>
      <pageMargins left="0.196850393700787" right="0.196850393700787" top="0.196850393700787" bottom="0.196850393700787" header="0" footer="0"/>
      <pageSetup paperSize="9" fitToWidth="3" orientation="landscape" r:id="rId8"/>
      <headerFooter alignWithMargins="0"/>
    </customSheetView>
    <customSheetView guid="{ACE56013-11B3-4BF4-BD0B-BF59142DAC13}" showPageBreaks="1" showGridLines="0" printArea="1" view="pageLayout" topLeftCell="Z1">
      <selection activeCell="AJ4" sqref="AJ4:AJ23"/>
      <colBreaks count="1" manualBreakCount="1">
        <brk id="19" max="37" man="1"/>
      </colBreaks>
      <pageMargins left="0.196850393700787" right="0.196850393700787" top="0.196850393700787" bottom="0.196850393700787" header="0" footer="0"/>
      <pageSetup paperSize="9" fitToWidth="3" orientation="landscape" r:id="rId9"/>
      <headerFooter alignWithMargins="0"/>
    </customSheetView>
  </customSheetViews>
  <mergeCells count="62">
    <mergeCell ref="AB9:AG10"/>
    <mergeCell ref="K1:M1"/>
    <mergeCell ref="A38:B38"/>
    <mergeCell ref="A33:B33"/>
    <mergeCell ref="A34:B34"/>
    <mergeCell ref="A35:B35"/>
    <mergeCell ref="A4:B24"/>
    <mergeCell ref="C4:D17"/>
    <mergeCell ref="C3:D3"/>
    <mergeCell ref="E4:K8"/>
    <mergeCell ref="L4:S8"/>
    <mergeCell ref="N17:N23"/>
    <mergeCell ref="E3:K3"/>
    <mergeCell ref="L3:S3"/>
    <mergeCell ref="AB14:AG15"/>
    <mergeCell ref="AB17:AB23"/>
    <mergeCell ref="AC17:AC23"/>
    <mergeCell ref="AD17:AD23"/>
    <mergeCell ref="E14:K15"/>
    <mergeCell ref="I19:I20"/>
    <mergeCell ref="J19:J21"/>
    <mergeCell ref="K19:K21"/>
    <mergeCell ref="O17:O23"/>
    <mergeCell ref="P17:P23"/>
    <mergeCell ref="Q17:Q23"/>
    <mergeCell ref="R17:R23"/>
    <mergeCell ref="S17:S21"/>
    <mergeCell ref="L14:S15"/>
    <mergeCell ref="L17:L23"/>
    <mergeCell ref="M17:M23"/>
    <mergeCell ref="AH4:AI17"/>
    <mergeCell ref="A25:B25"/>
    <mergeCell ref="A26:B26"/>
    <mergeCell ref="H19:H21"/>
    <mergeCell ref="A39:B39"/>
    <mergeCell ref="E17:E23"/>
    <mergeCell ref="F17:F23"/>
    <mergeCell ref="G17:G23"/>
    <mergeCell ref="A30:B30"/>
    <mergeCell ref="A31:B31"/>
    <mergeCell ref="A32:B32"/>
    <mergeCell ref="A27:B27"/>
    <mergeCell ref="A28:B28"/>
    <mergeCell ref="A29:B29"/>
    <mergeCell ref="A36:B36"/>
    <mergeCell ref="A37:B37"/>
    <mergeCell ref="AJ4:AJ23"/>
    <mergeCell ref="AH3:AI3"/>
    <mergeCell ref="T4:U17"/>
    <mergeCell ref="V4:V23"/>
    <mergeCell ref="T3:U3"/>
    <mergeCell ref="W4:X17"/>
    <mergeCell ref="Z3:AA3"/>
    <mergeCell ref="AB3:AG3"/>
    <mergeCell ref="W3:X3"/>
    <mergeCell ref="Y4:Y23"/>
    <mergeCell ref="AE17:AE23"/>
    <mergeCell ref="AF17:AF23"/>
    <mergeCell ref="AG17:AG23"/>
    <mergeCell ref="Z4:AA17"/>
    <mergeCell ref="AB4:AG8"/>
    <mergeCell ref="AH21:AI21"/>
  </mergeCells>
  <pageMargins left="0.196850393700787" right="0.196850393700787" top="0.196850393700787" bottom="0.196850393700787" header="0" footer="0"/>
  <pageSetup paperSize="9" fitToWidth="3" orientation="landscape" r:id="rId10"/>
  <headerFooter alignWithMargins="0"/>
  <colBreaks count="1" manualBreakCount="1">
    <brk id="19" max="37" man="1"/>
  </colBreaks>
  <drawing r:id="rId11"/>
  <legacyDrawing r:id="rId1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45"/>
  <sheetViews>
    <sheetView showGridLines="0" zoomScale="90" zoomScaleNormal="90" workbookViewId="0">
      <selection activeCell="Z1" sqref="Z1"/>
    </sheetView>
  </sheetViews>
  <sheetFormatPr defaultColWidth="11.42578125" defaultRowHeight="12.75"/>
  <cols>
    <col min="1" max="1" width="3.85546875" style="75" customWidth="1"/>
    <col min="2" max="3" width="3.7109375" style="74" customWidth="1"/>
    <col min="4" max="4" width="3.85546875" style="76" customWidth="1"/>
    <col min="5" max="5" width="6" style="76" customWidth="1"/>
    <col min="6" max="6" width="2" style="76" customWidth="1"/>
    <col min="7" max="8" width="2.28515625" style="76" customWidth="1"/>
    <col min="9" max="9" width="2.5703125" style="76" customWidth="1"/>
    <col min="10" max="10" width="3.7109375" style="76" customWidth="1"/>
    <col min="11" max="11" width="2" style="76" customWidth="1"/>
    <col min="12" max="12" width="17.42578125" style="76" customWidth="1"/>
    <col min="13" max="13" width="3.28515625" style="76" customWidth="1"/>
    <col min="14" max="14" width="2.28515625" style="76" customWidth="1"/>
    <col min="15" max="16" width="3" style="76" customWidth="1"/>
    <col min="17" max="17" width="3.42578125" style="76" customWidth="1"/>
    <col min="18" max="18" width="3.7109375" style="76" customWidth="1"/>
    <col min="19" max="19" width="2.85546875" style="74" customWidth="1"/>
    <col min="20" max="20" width="2.5703125" style="74" customWidth="1"/>
    <col min="21" max="21" width="3.140625" style="76" customWidth="1"/>
    <col min="22" max="22" width="3.140625" style="74" customWidth="1"/>
    <col min="23" max="24" width="3.42578125" style="74" customWidth="1"/>
    <col min="25" max="25" width="2.28515625" style="76" customWidth="1"/>
    <col min="26" max="26" width="51" style="74" customWidth="1"/>
    <col min="27" max="30" width="3.7109375" style="74" customWidth="1"/>
    <col min="31" max="62" width="2.7109375" style="74" customWidth="1"/>
    <col min="63" max="16384" width="11.42578125" style="74"/>
  </cols>
  <sheetData>
    <row r="1" spans="1:25" s="69" customFormat="1" ht="18">
      <c r="A1" s="68" t="s">
        <v>1355</v>
      </c>
      <c r="B1" s="28"/>
      <c r="C1" s="28"/>
      <c r="D1" s="28"/>
      <c r="E1" s="28"/>
      <c r="F1" s="28"/>
      <c r="G1" s="28"/>
      <c r="H1" s="28"/>
    </row>
    <row r="2" spans="1:25" s="69" customFormat="1">
      <c r="A2" s="2902"/>
      <c r="B2" s="2903"/>
      <c r="C2" s="2903"/>
      <c r="D2" s="2904"/>
      <c r="E2" s="2905" t="s">
        <v>1573</v>
      </c>
      <c r="F2" s="2906"/>
      <c r="G2" s="2907"/>
      <c r="H2" s="2903"/>
    </row>
    <row r="3" spans="1:25" s="69" customFormat="1" ht="5.25" customHeight="1" thickBot="1">
      <c r="A3" s="78"/>
      <c r="B3" s="78"/>
      <c r="C3" s="78"/>
      <c r="D3" s="77"/>
      <c r="E3" s="78"/>
      <c r="F3" s="78"/>
      <c r="G3" s="78"/>
      <c r="H3" s="78"/>
    </row>
    <row r="4" spans="1:25" s="69" customFormat="1" ht="14.25" customHeight="1" thickBot="1">
      <c r="A4" s="2042"/>
      <c r="B4" s="2043"/>
      <c r="C4" s="2044"/>
      <c r="D4" s="2044"/>
      <c r="E4" s="2044"/>
      <c r="F4" s="2044"/>
      <c r="G4" s="2044"/>
      <c r="H4" s="2044"/>
      <c r="I4" s="2044"/>
      <c r="J4" s="2044"/>
      <c r="K4" s="2045"/>
      <c r="L4" s="2046"/>
      <c r="M4" s="5492">
        <v>11.01</v>
      </c>
      <c r="N4" s="5493"/>
      <c r="O4" s="5493"/>
      <c r="P4" s="5493"/>
      <c r="Q4" s="5493"/>
      <c r="R4" s="5493"/>
      <c r="S4" s="5494"/>
      <c r="T4" s="5495">
        <f>+M4+0.01</f>
        <v>11.02</v>
      </c>
      <c r="U4" s="5496"/>
      <c r="V4" s="5496"/>
      <c r="W4" s="5496"/>
      <c r="X4" s="5496"/>
      <c r="Y4" s="5497"/>
    </row>
    <row r="5" spans="1:25" s="69" customFormat="1" ht="21.75" customHeight="1">
      <c r="A5" s="5489" t="s">
        <v>70</v>
      </c>
      <c r="B5" s="3613" t="s">
        <v>1749</v>
      </c>
      <c r="C5" s="3614"/>
      <c r="D5" s="3614"/>
      <c r="E5" s="3614"/>
      <c r="F5" s="3614"/>
      <c r="G5" s="3614"/>
      <c r="H5" s="3614"/>
      <c r="I5" s="3614"/>
      <c r="J5" s="3614"/>
      <c r="K5" s="3614"/>
      <c r="L5" s="3615"/>
      <c r="M5" s="5475" t="s">
        <v>1290</v>
      </c>
      <c r="N5" s="5476"/>
      <c r="O5" s="5476"/>
      <c r="P5" s="5476"/>
      <c r="Q5" s="5476"/>
      <c r="R5" s="5476"/>
      <c r="S5" s="5477"/>
      <c r="T5" s="5500" t="s">
        <v>1291</v>
      </c>
      <c r="U5" s="5501"/>
      <c r="V5" s="5501"/>
      <c r="W5" s="5501"/>
      <c r="X5" s="5501"/>
      <c r="Y5" s="5502"/>
    </row>
    <row r="6" spans="1:25" s="69" customFormat="1" ht="13.5" customHeight="1">
      <c r="A6" s="5490"/>
      <c r="B6" s="3616" t="s">
        <v>1750</v>
      </c>
      <c r="C6" s="3617"/>
      <c r="D6" s="3617"/>
      <c r="E6" s="3617"/>
      <c r="F6" s="3617"/>
      <c r="G6" s="3617"/>
      <c r="H6" s="3617"/>
      <c r="I6" s="3617"/>
      <c r="J6" s="3617"/>
      <c r="K6" s="3617"/>
      <c r="L6" s="3618"/>
      <c r="M6" s="5478"/>
      <c r="N6" s="5233"/>
      <c r="O6" s="5233"/>
      <c r="P6" s="5233"/>
      <c r="Q6" s="5233"/>
      <c r="R6" s="5233"/>
      <c r="S6" s="5479"/>
      <c r="T6" s="5503"/>
      <c r="U6" s="5504"/>
      <c r="V6" s="5504"/>
      <c r="W6" s="5504"/>
      <c r="X6" s="5504"/>
      <c r="Y6" s="5505"/>
    </row>
    <row r="7" spans="1:25" s="69" customFormat="1">
      <c r="A7" s="5490"/>
      <c r="B7" s="3616"/>
      <c r="C7" s="3617"/>
      <c r="D7" s="3617"/>
      <c r="E7" s="3617"/>
      <c r="F7" s="3617"/>
      <c r="G7" s="3617"/>
      <c r="H7" s="3617"/>
      <c r="I7" s="3617"/>
      <c r="J7" s="3617"/>
      <c r="K7" s="3617"/>
      <c r="L7" s="3618"/>
      <c r="M7" s="5478"/>
      <c r="N7" s="5233"/>
      <c r="O7" s="5233"/>
      <c r="P7" s="5233"/>
      <c r="Q7" s="5233"/>
      <c r="R7" s="5233"/>
      <c r="S7" s="5479"/>
      <c r="T7" s="5503"/>
      <c r="U7" s="5504"/>
      <c r="V7" s="5504"/>
      <c r="W7" s="5504"/>
      <c r="X7" s="5504"/>
      <c r="Y7" s="5505"/>
    </row>
    <row r="8" spans="1:25" s="69" customFormat="1" ht="45.75" customHeight="1">
      <c r="A8" s="5490"/>
      <c r="B8" s="64"/>
      <c r="C8" s="70"/>
      <c r="D8" s="70"/>
      <c r="E8" s="70"/>
      <c r="F8" s="70"/>
      <c r="G8" s="70"/>
      <c r="H8" s="70"/>
      <c r="I8" s="70"/>
      <c r="J8" s="70"/>
      <c r="K8" s="70"/>
      <c r="L8" s="71"/>
      <c r="M8" s="5478"/>
      <c r="N8" s="5233"/>
      <c r="O8" s="5233"/>
      <c r="P8" s="5233"/>
      <c r="Q8" s="5233"/>
      <c r="R8" s="5233"/>
      <c r="S8" s="5479"/>
      <c r="T8" s="5503"/>
      <c r="U8" s="5504"/>
      <c r="V8" s="5504"/>
      <c r="W8" s="5504"/>
      <c r="X8" s="5504"/>
      <c r="Y8" s="5505"/>
    </row>
    <row r="9" spans="1:25" s="69" customFormat="1" ht="13.5" customHeight="1">
      <c r="A9" s="5490"/>
      <c r="B9" s="65"/>
      <c r="C9" s="70"/>
      <c r="D9" s="70"/>
      <c r="E9" s="70"/>
      <c r="F9" s="70"/>
      <c r="G9" s="70"/>
      <c r="H9" s="70"/>
      <c r="I9" s="70"/>
      <c r="J9" s="70"/>
      <c r="K9" s="70"/>
      <c r="L9" s="71"/>
      <c r="M9" s="5487" t="s">
        <v>862</v>
      </c>
      <c r="N9" s="5488"/>
      <c r="O9" s="2047">
        <v>1</v>
      </c>
      <c r="P9" s="2048"/>
      <c r="Q9" s="2048"/>
      <c r="R9" s="2048"/>
      <c r="S9" s="2049"/>
      <c r="T9" s="5503"/>
      <c r="U9" s="5504"/>
      <c r="V9" s="5504"/>
      <c r="W9" s="5504"/>
      <c r="X9" s="5504"/>
      <c r="Y9" s="5505"/>
    </row>
    <row r="10" spans="1:25" s="69" customFormat="1" ht="13.5" customHeight="1">
      <c r="A10" s="5490"/>
      <c r="B10" s="65"/>
      <c r="C10" s="70"/>
      <c r="D10" s="70"/>
      <c r="E10" s="70"/>
      <c r="F10" s="70"/>
      <c r="G10" s="70"/>
      <c r="H10" s="70"/>
      <c r="I10" s="70"/>
      <c r="J10" s="70"/>
      <c r="K10" s="70"/>
      <c r="L10" s="71"/>
      <c r="M10" s="5487" t="s">
        <v>863</v>
      </c>
      <c r="N10" s="5488"/>
      <c r="O10" s="2050">
        <v>2</v>
      </c>
      <c r="P10" s="2051" t="s">
        <v>540</v>
      </c>
      <c r="Q10" s="2052"/>
      <c r="R10" s="2052"/>
      <c r="S10" s="2049"/>
      <c r="T10" s="5506"/>
      <c r="U10" s="5507"/>
      <c r="V10" s="5507"/>
      <c r="W10" s="5507"/>
      <c r="X10" s="5507"/>
      <c r="Y10" s="5508"/>
    </row>
    <row r="11" spans="1:25" s="69" customFormat="1" ht="11.25" customHeight="1" thickBot="1">
      <c r="A11" s="5491"/>
      <c r="B11" s="5509" t="s">
        <v>47</v>
      </c>
      <c r="C11" s="5510"/>
      <c r="D11" s="5510"/>
      <c r="E11" s="5510"/>
      <c r="F11" s="5510"/>
      <c r="G11" s="5510"/>
      <c r="H11" s="5510"/>
      <c r="I11" s="5510"/>
      <c r="J11" s="5510"/>
      <c r="K11" s="72"/>
      <c r="L11" s="73"/>
      <c r="M11" s="62"/>
      <c r="N11" s="63"/>
      <c r="O11" s="63"/>
      <c r="P11" s="72"/>
      <c r="Q11" s="72"/>
      <c r="R11" s="72"/>
      <c r="S11" s="73"/>
      <c r="T11" s="5511" t="s">
        <v>219</v>
      </c>
      <c r="U11" s="5512"/>
      <c r="V11" s="5512"/>
      <c r="W11" s="5512"/>
      <c r="X11" s="5512"/>
      <c r="Y11" s="5513"/>
    </row>
    <row r="12" spans="1:25" s="3274" customFormat="1" ht="15.75" customHeight="1" thickTop="1">
      <c r="A12" s="3269">
        <v>1</v>
      </c>
      <c r="B12" s="5467" t="s">
        <v>420</v>
      </c>
      <c r="C12" s="5468"/>
      <c r="D12" s="5468"/>
      <c r="E12" s="5468"/>
      <c r="F12" s="5468"/>
      <c r="G12" s="5468"/>
      <c r="H12" s="5468"/>
      <c r="I12" s="5468"/>
      <c r="J12" s="5468"/>
      <c r="K12" s="5468"/>
      <c r="L12" s="5469"/>
      <c r="M12" s="3270"/>
      <c r="N12" s="3271"/>
      <c r="O12" s="3271"/>
      <c r="P12" s="3271"/>
      <c r="Q12" s="3271"/>
      <c r="R12" s="3271"/>
      <c r="S12" s="3272"/>
      <c r="T12" s="3270"/>
      <c r="U12" s="3271"/>
      <c r="V12" s="3271"/>
      <c r="W12" s="3271"/>
      <c r="X12" s="3271"/>
      <c r="Y12" s="3273"/>
    </row>
    <row r="13" spans="1:25" s="3274" customFormat="1" ht="15.75" customHeight="1">
      <c r="A13" s="3275">
        <v>2</v>
      </c>
      <c r="B13" s="5480" t="s">
        <v>421</v>
      </c>
      <c r="C13" s="5470"/>
      <c r="D13" s="5470"/>
      <c r="E13" s="5470"/>
      <c r="F13" s="5470"/>
      <c r="G13" s="5470"/>
      <c r="H13" s="5470"/>
      <c r="I13" s="5470"/>
      <c r="J13" s="5470"/>
      <c r="K13" s="5470"/>
      <c r="L13" s="5471"/>
      <c r="M13" s="3276"/>
      <c r="N13" s="3277"/>
      <c r="O13" s="3277"/>
      <c r="P13" s="3277"/>
      <c r="Q13" s="3277"/>
      <c r="R13" s="3277"/>
      <c r="S13" s="3278"/>
      <c r="T13" s="3276"/>
      <c r="U13" s="3277"/>
      <c r="V13" s="3277"/>
      <c r="W13" s="3277"/>
      <c r="X13" s="3277"/>
      <c r="Y13" s="3279"/>
    </row>
    <row r="14" spans="1:25" s="3274" customFormat="1" ht="14.25" customHeight="1">
      <c r="A14" s="3269">
        <v>3</v>
      </c>
      <c r="B14" s="5467" t="s">
        <v>414</v>
      </c>
      <c r="C14" s="5468"/>
      <c r="D14" s="5468"/>
      <c r="E14" s="5468"/>
      <c r="F14" s="5468"/>
      <c r="G14" s="5468"/>
      <c r="H14" s="5468"/>
      <c r="I14" s="5468"/>
      <c r="J14" s="5468"/>
      <c r="K14" s="5468"/>
      <c r="L14" s="5469"/>
      <c r="M14" s="3276"/>
      <c r="N14" s="3277"/>
      <c r="O14" s="3277"/>
      <c r="P14" s="3277"/>
      <c r="Q14" s="3277"/>
      <c r="R14" s="3277"/>
      <c r="S14" s="3278"/>
      <c r="T14" s="3276"/>
      <c r="U14" s="3277"/>
      <c r="V14" s="3277"/>
      <c r="W14" s="3277"/>
      <c r="X14" s="3277"/>
      <c r="Y14" s="3279"/>
    </row>
    <row r="15" spans="1:25" s="3274" customFormat="1" ht="16.5" customHeight="1">
      <c r="A15" s="3275">
        <v>4</v>
      </c>
      <c r="B15" s="5481" t="s">
        <v>424</v>
      </c>
      <c r="C15" s="5482"/>
      <c r="D15" s="5482"/>
      <c r="E15" s="5482"/>
      <c r="F15" s="5482"/>
      <c r="G15" s="5482"/>
      <c r="H15" s="5482"/>
      <c r="I15" s="5482"/>
      <c r="J15" s="5482"/>
      <c r="K15" s="5482"/>
      <c r="L15" s="5483"/>
      <c r="M15" s="3276"/>
      <c r="N15" s="3277"/>
      <c r="O15" s="3277"/>
      <c r="P15" s="3277"/>
      <c r="Q15" s="3277"/>
      <c r="R15" s="3277"/>
      <c r="S15" s="3278"/>
      <c r="T15" s="3276"/>
      <c r="U15" s="3277"/>
      <c r="V15" s="3277"/>
      <c r="W15" s="3277"/>
      <c r="X15" s="3277"/>
      <c r="Y15" s="3279"/>
    </row>
    <row r="16" spans="1:25" s="3274" customFormat="1" ht="17.25" customHeight="1">
      <c r="A16" s="3269">
        <v>5</v>
      </c>
      <c r="B16" s="5467" t="s">
        <v>418</v>
      </c>
      <c r="C16" s="5468"/>
      <c r="D16" s="5468"/>
      <c r="E16" s="5468"/>
      <c r="F16" s="5468"/>
      <c r="G16" s="5468"/>
      <c r="H16" s="5468"/>
      <c r="I16" s="5468"/>
      <c r="J16" s="5468"/>
      <c r="K16" s="5468"/>
      <c r="L16" s="5469"/>
      <c r="M16" s="3270"/>
      <c r="N16" s="3271"/>
      <c r="O16" s="3271"/>
      <c r="P16" s="3271"/>
      <c r="Q16" s="3271"/>
      <c r="R16" s="3271"/>
      <c r="S16" s="3272"/>
      <c r="T16" s="3270"/>
      <c r="U16" s="3271"/>
      <c r="V16" s="3271"/>
      <c r="W16" s="3271"/>
      <c r="X16" s="3271"/>
      <c r="Y16" s="3273"/>
    </row>
    <row r="17" spans="1:28" s="3274" customFormat="1" ht="15.75" customHeight="1">
      <c r="A17" s="3275">
        <v>6</v>
      </c>
      <c r="B17" s="5467" t="s">
        <v>416</v>
      </c>
      <c r="C17" s="5468"/>
      <c r="D17" s="5468"/>
      <c r="E17" s="5468"/>
      <c r="F17" s="5468"/>
      <c r="G17" s="5468"/>
      <c r="H17" s="5468"/>
      <c r="I17" s="5468"/>
      <c r="J17" s="5468"/>
      <c r="K17" s="5468"/>
      <c r="L17" s="5469"/>
      <c r="M17" s="3270"/>
      <c r="N17" s="3271"/>
      <c r="O17" s="3271"/>
      <c r="P17" s="3271"/>
      <c r="Q17" s="3271"/>
      <c r="R17" s="3271"/>
      <c r="S17" s="3272"/>
      <c r="T17" s="3270"/>
      <c r="U17" s="3271"/>
      <c r="V17" s="3271"/>
      <c r="W17" s="3271"/>
      <c r="X17" s="3271"/>
      <c r="Y17" s="3273"/>
    </row>
    <row r="18" spans="1:28" s="3274" customFormat="1" ht="15.75" customHeight="1">
      <c r="A18" s="3269">
        <v>7</v>
      </c>
      <c r="B18" s="5467" t="s">
        <v>417</v>
      </c>
      <c r="C18" s="5468"/>
      <c r="D18" s="5468"/>
      <c r="E18" s="5468"/>
      <c r="F18" s="5468"/>
      <c r="G18" s="5468"/>
      <c r="H18" s="5468"/>
      <c r="I18" s="5468"/>
      <c r="J18" s="5468"/>
      <c r="K18" s="5468"/>
      <c r="L18" s="5469"/>
      <c r="M18" s="3270"/>
      <c r="N18" s="3271"/>
      <c r="O18" s="3271"/>
      <c r="P18" s="3271"/>
      <c r="Q18" s="3271"/>
      <c r="R18" s="3271"/>
      <c r="S18" s="3272"/>
      <c r="T18" s="3270"/>
      <c r="U18" s="3271"/>
      <c r="V18" s="3271"/>
      <c r="W18" s="3271"/>
      <c r="X18" s="3271"/>
      <c r="Y18" s="3273"/>
    </row>
    <row r="19" spans="1:28" s="3274" customFormat="1" ht="15.75" customHeight="1">
      <c r="A19" s="3275">
        <v>8</v>
      </c>
      <c r="B19" s="5484" t="s">
        <v>28</v>
      </c>
      <c r="C19" s="5485"/>
      <c r="D19" s="5485"/>
      <c r="E19" s="5485"/>
      <c r="F19" s="5485"/>
      <c r="G19" s="5485"/>
      <c r="H19" s="5485"/>
      <c r="I19" s="5485"/>
      <c r="J19" s="5485"/>
      <c r="K19" s="5485"/>
      <c r="L19" s="3280"/>
      <c r="M19" s="3270"/>
      <c r="N19" s="3271"/>
      <c r="O19" s="3271"/>
      <c r="P19" s="3271"/>
      <c r="Q19" s="3271"/>
      <c r="R19" s="3271"/>
      <c r="S19" s="3272"/>
      <c r="T19" s="3270"/>
      <c r="U19" s="3271"/>
      <c r="V19" s="3271"/>
      <c r="W19" s="3271"/>
      <c r="X19" s="3271"/>
      <c r="Y19" s="3273"/>
    </row>
    <row r="20" spans="1:28" s="3274" customFormat="1" ht="15.75" customHeight="1">
      <c r="A20" s="3269">
        <v>9</v>
      </c>
      <c r="B20" s="5484" t="s">
        <v>29</v>
      </c>
      <c r="C20" s="5485"/>
      <c r="D20" s="5485"/>
      <c r="E20" s="5485"/>
      <c r="F20" s="5485"/>
      <c r="G20" s="5485"/>
      <c r="H20" s="5485"/>
      <c r="I20" s="5485"/>
      <c r="J20" s="5485"/>
      <c r="K20" s="5485"/>
      <c r="L20" s="5486"/>
      <c r="M20" s="3270"/>
      <c r="N20" s="3271"/>
      <c r="O20" s="3271"/>
      <c r="P20" s="3271"/>
      <c r="Q20" s="3271"/>
      <c r="R20" s="3271"/>
      <c r="S20" s="3272"/>
      <c r="T20" s="3270"/>
      <c r="U20" s="3271"/>
      <c r="V20" s="3271"/>
      <c r="W20" s="3271"/>
      <c r="X20" s="3271"/>
      <c r="Y20" s="3273"/>
    </row>
    <row r="21" spans="1:28" s="3274" customFormat="1" ht="14.25" customHeight="1">
      <c r="A21" s="3275">
        <v>10</v>
      </c>
      <c r="B21" s="5484" t="s">
        <v>714</v>
      </c>
      <c r="C21" s="5485"/>
      <c r="D21" s="5485"/>
      <c r="E21" s="5485"/>
      <c r="F21" s="5485"/>
      <c r="G21" s="5485"/>
      <c r="H21" s="5485"/>
      <c r="I21" s="5485"/>
      <c r="J21" s="5485"/>
      <c r="K21" s="5485"/>
      <c r="L21" s="5486"/>
      <c r="M21" s="3270"/>
      <c r="N21" s="3271"/>
      <c r="O21" s="3271"/>
      <c r="P21" s="3271"/>
      <c r="Q21" s="3271"/>
      <c r="R21" s="3271"/>
      <c r="S21" s="3272"/>
      <c r="T21" s="3270"/>
      <c r="U21" s="3271"/>
      <c r="V21" s="3271"/>
      <c r="W21" s="3271"/>
      <c r="X21" s="3271"/>
      <c r="Y21" s="3273"/>
      <c r="AB21" s="3281"/>
    </row>
    <row r="22" spans="1:28" s="3274" customFormat="1" ht="13.5" customHeight="1">
      <c r="A22" s="3269">
        <v>11</v>
      </c>
      <c r="B22" s="5484" t="s">
        <v>415</v>
      </c>
      <c r="C22" s="5485"/>
      <c r="D22" s="5485"/>
      <c r="E22" s="5485"/>
      <c r="F22" s="5485"/>
      <c r="G22" s="5485"/>
      <c r="H22" s="5485"/>
      <c r="I22" s="5485"/>
      <c r="J22" s="5485"/>
      <c r="K22" s="5485"/>
      <c r="L22" s="5486"/>
      <c r="M22" s="3270"/>
      <c r="N22" s="3271"/>
      <c r="O22" s="3271"/>
      <c r="P22" s="3271"/>
      <c r="Q22" s="3271"/>
      <c r="R22" s="3271"/>
      <c r="S22" s="3272"/>
      <c r="T22" s="3270"/>
      <c r="U22" s="3271"/>
      <c r="V22" s="3271"/>
      <c r="W22" s="3271"/>
      <c r="X22" s="3271"/>
      <c r="Y22" s="3273"/>
    </row>
    <row r="23" spans="1:28" s="3274" customFormat="1" ht="15.75" customHeight="1">
      <c r="A23" s="3275">
        <v>12</v>
      </c>
      <c r="B23" s="5467" t="s">
        <v>413</v>
      </c>
      <c r="C23" s="5468"/>
      <c r="D23" s="5468"/>
      <c r="E23" s="5468"/>
      <c r="F23" s="5468"/>
      <c r="G23" s="5468"/>
      <c r="H23" s="5468"/>
      <c r="I23" s="5468"/>
      <c r="J23" s="5468"/>
      <c r="K23" s="5468"/>
      <c r="L23" s="5469"/>
      <c r="M23" s="3270"/>
      <c r="N23" s="3271"/>
      <c r="O23" s="3271"/>
      <c r="P23" s="3271"/>
      <c r="Q23" s="3271"/>
      <c r="R23" s="3271"/>
      <c r="S23" s="3272"/>
      <c r="T23" s="3270"/>
      <c r="U23" s="3271"/>
      <c r="V23" s="3271"/>
      <c r="W23" s="3271"/>
      <c r="X23" s="3271"/>
      <c r="Y23" s="3273"/>
    </row>
    <row r="24" spans="1:28" s="3274" customFormat="1" ht="15.75" customHeight="1">
      <c r="A24" s="3269">
        <v>13</v>
      </c>
      <c r="B24" s="5467" t="s">
        <v>410</v>
      </c>
      <c r="C24" s="5468"/>
      <c r="D24" s="5468"/>
      <c r="E24" s="5468"/>
      <c r="F24" s="5468"/>
      <c r="G24" s="5468"/>
      <c r="H24" s="5468"/>
      <c r="I24" s="5468"/>
      <c r="J24" s="5468"/>
      <c r="K24" s="5468"/>
      <c r="L24" s="5469"/>
      <c r="M24" s="3270"/>
      <c r="N24" s="3271"/>
      <c r="O24" s="3271"/>
      <c r="P24" s="3271"/>
      <c r="Q24" s="3271"/>
      <c r="R24" s="3271"/>
      <c r="S24" s="3272"/>
      <c r="T24" s="3270"/>
      <c r="U24" s="3271"/>
      <c r="V24" s="3271"/>
      <c r="W24" s="3271"/>
      <c r="X24" s="3271"/>
      <c r="Y24" s="3273"/>
    </row>
    <row r="25" spans="1:28" s="3274" customFormat="1" ht="15.75" customHeight="1">
      <c r="A25" s="3275">
        <v>14</v>
      </c>
      <c r="B25" s="5467" t="s">
        <v>411</v>
      </c>
      <c r="C25" s="5468"/>
      <c r="D25" s="5468"/>
      <c r="E25" s="5468"/>
      <c r="F25" s="5468"/>
      <c r="G25" s="5468"/>
      <c r="H25" s="5468"/>
      <c r="I25" s="5468"/>
      <c r="J25" s="5468"/>
      <c r="K25" s="5468"/>
      <c r="L25" s="5469"/>
      <c r="M25" s="3270"/>
      <c r="N25" s="3271"/>
      <c r="O25" s="3271"/>
      <c r="P25" s="3271"/>
      <c r="Q25" s="3271"/>
      <c r="R25" s="3271"/>
      <c r="S25" s="3272"/>
      <c r="T25" s="3270"/>
      <c r="U25" s="3271"/>
      <c r="V25" s="3271"/>
      <c r="W25" s="3271"/>
      <c r="X25" s="3271"/>
      <c r="Y25" s="3273"/>
    </row>
    <row r="26" spans="1:28" s="3274" customFormat="1" ht="15.75" customHeight="1">
      <c r="A26" s="3269">
        <v>15</v>
      </c>
      <c r="B26" s="5467" t="s">
        <v>423</v>
      </c>
      <c r="C26" s="5468"/>
      <c r="D26" s="5468"/>
      <c r="E26" s="5468"/>
      <c r="F26" s="5468"/>
      <c r="G26" s="5468"/>
      <c r="H26" s="5468"/>
      <c r="I26" s="5468"/>
      <c r="J26" s="5468"/>
      <c r="K26" s="5468"/>
      <c r="L26" s="5469"/>
      <c r="M26" s="3270"/>
      <c r="N26" s="3271"/>
      <c r="O26" s="3271"/>
      <c r="P26" s="3271"/>
      <c r="Q26" s="3271"/>
      <c r="R26" s="3271"/>
      <c r="S26" s="3272"/>
      <c r="T26" s="3270"/>
      <c r="U26" s="3271"/>
      <c r="V26" s="3271"/>
      <c r="W26" s="3271"/>
      <c r="X26" s="3271"/>
      <c r="Y26" s="3273"/>
    </row>
    <row r="27" spans="1:28" s="3274" customFormat="1" ht="11.25" customHeight="1">
      <c r="A27" s="3275">
        <v>16</v>
      </c>
      <c r="B27" s="5467" t="s">
        <v>422</v>
      </c>
      <c r="C27" s="5468"/>
      <c r="D27" s="5468"/>
      <c r="E27" s="5468"/>
      <c r="F27" s="5468"/>
      <c r="G27" s="5468"/>
      <c r="H27" s="5468"/>
      <c r="I27" s="3282"/>
      <c r="J27" s="3282"/>
      <c r="K27" s="3282"/>
      <c r="L27" s="3283"/>
      <c r="M27" s="3270"/>
      <c r="N27" s="3271"/>
      <c r="O27" s="3271"/>
      <c r="P27" s="3271"/>
      <c r="Q27" s="3271"/>
      <c r="R27" s="3271"/>
      <c r="S27" s="3272"/>
      <c r="T27" s="3270"/>
      <c r="U27" s="3271"/>
      <c r="V27" s="3271"/>
      <c r="W27" s="3271"/>
      <c r="X27" s="3271"/>
      <c r="Y27" s="3273"/>
    </row>
    <row r="28" spans="1:28" s="3274" customFormat="1" ht="25.5" customHeight="1">
      <c r="A28" s="3269">
        <v>17</v>
      </c>
      <c r="B28" s="5467" t="s">
        <v>428</v>
      </c>
      <c r="C28" s="5468"/>
      <c r="D28" s="5468"/>
      <c r="E28" s="5468"/>
      <c r="F28" s="5468"/>
      <c r="G28" s="5468"/>
      <c r="H28" s="5468"/>
      <c r="I28" s="5468"/>
      <c r="J28" s="5468"/>
      <c r="K28" s="5468"/>
      <c r="L28" s="5469"/>
      <c r="M28" s="5472"/>
      <c r="N28" s="5473"/>
      <c r="O28" s="5473"/>
      <c r="P28" s="5473"/>
      <c r="Q28" s="5473"/>
      <c r="R28" s="5473"/>
      <c r="S28" s="5474"/>
      <c r="T28" s="3619"/>
      <c r="U28" s="3620"/>
      <c r="V28" s="3620"/>
      <c r="W28" s="3620"/>
      <c r="X28" s="3620"/>
      <c r="Y28" s="3621"/>
    </row>
    <row r="29" spans="1:28" s="3274" customFormat="1" ht="13.5" customHeight="1">
      <c r="A29" s="3275"/>
      <c r="B29" s="3284" t="s">
        <v>1785</v>
      </c>
      <c r="C29" s="5470" t="s">
        <v>426</v>
      </c>
      <c r="D29" s="5470"/>
      <c r="E29" s="5470"/>
      <c r="F29" s="5470"/>
      <c r="G29" s="5470"/>
      <c r="H29" s="5470"/>
      <c r="I29" s="5470"/>
      <c r="J29" s="5470"/>
      <c r="K29" s="5470"/>
      <c r="L29" s="5471"/>
      <c r="M29" s="3619"/>
      <c r="N29" s="3620"/>
      <c r="O29" s="3620"/>
      <c r="P29" s="3620"/>
      <c r="Q29" s="3620"/>
      <c r="R29" s="3620"/>
      <c r="S29" s="3622"/>
      <c r="T29" s="3270"/>
      <c r="U29" s="3271"/>
      <c r="V29" s="3271"/>
      <c r="W29" s="3271"/>
      <c r="X29" s="3271"/>
      <c r="Y29" s="3273"/>
    </row>
    <row r="30" spans="1:28" s="3274" customFormat="1" ht="12.75" customHeight="1">
      <c r="A30" s="3269"/>
      <c r="B30" s="3284" t="s">
        <v>1786</v>
      </c>
      <c r="C30" s="5470" t="s">
        <v>427</v>
      </c>
      <c r="D30" s="5470"/>
      <c r="E30" s="5470"/>
      <c r="F30" s="5470"/>
      <c r="G30" s="5470"/>
      <c r="H30" s="5470"/>
      <c r="I30" s="5470"/>
      <c r="J30" s="5470"/>
      <c r="K30" s="5470"/>
      <c r="L30" s="5471"/>
      <c r="M30" s="3619"/>
      <c r="N30" s="3620"/>
      <c r="O30" s="3620"/>
      <c r="P30" s="3620"/>
      <c r="Q30" s="3620"/>
      <c r="R30" s="3620"/>
      <c r="S30" s="3622"/>
      <c r="T30" s="3270"/>
      <c r="U30" s="3271"/>
      <c r="V30" s="3271"/>
      <c r="W30" s="3271"/>
      <c r="X30" s="3271"/>
      <c r="Y30" s="3273"/>
    </row>
    <row r="31" spans="1:28" s="3274" customFormat="1" ht="14.25" customHeight="1">
      <c r="A31" s="3275"/>
      <c r="B31" s="3284" t="s">
        <v>1787</v>
      </c>
      <c r="C31" s="5470" t="s">
        <v>429</v>
      </c>
      <c r="D31" s="5470"/>
      <c r="E31" s="5470"/>
      <c r="F31" s="5470"/>
      <c r="G31" s="5470"/>
      <c r="H31" s="5470"/>
      <c r="I31" s="5470"/>
      <c r="J31" s="5470"/>
      <c r="K31" s="5470"/>
      <c r="L31" s="5471"/>
      <c r="M31" s="3619"/>
      <c r="N31" s="3620"/>
      <c r="O31" s="3620"/>
      <c r="P31" s="3620"/>
      <c r="Q31" s="3620"/>
      <c r="R31" s="3620"/>
      <c r="S31" s="3622"/>
      <c r="T31" s="3270"/>
      <c r="U31" s="3271"/>
      <c r="V31" s="3271"/>
      <c r="W31" s="3271"/>
      <c r="X31" s="3271"/>
      <c r="Y31" s="3273"/>
    </row>
    <row r="32" spans="1:28" s="3274" customFormat="1" ht="14.25" customHeight="1">
      <c r="A32" s="3269"/>
      <c r="B32" s="3284" t="s">
        <v>1788</v>
      </c>
      <c r="C32" s="5470" t="s">
        <v>430</v>
      </c>
      <c r="D32" s="5470"/>
      <c r="E32" s="5470"/>
      <c r="F32" s="5470"/>
      <c r="G32" s="5470"/>
      <c r="H32" s="5470"/>
      <c r="I32" s="5470"/>
      <c r="J32" s="5470"/>
      <c r="K32" s="5470"/>
      <c r="L32" s="5471"/>
      <c r="M32" s="3619"/>
      <c r="N32" s="3620"/>
      <c r="O32" s="3620"/>
      <c r="P32" s="3620"/>
      <c r="Q32" s="3620"/>
      <c r="R32" s="3620"/>
      <c r="S32" s="3622"/>
      <c r="T32" s="3270"/>
      <c r="U32" s="3271"/>
      <c r="V32" s="3271"/>
      <c r="W32" s="3271"/>
      <c r="X32" s="3271"/>
      <c r="Y32" s="3273"/>
    </row>
    <row r="33" spans="1:26" s="3274" customFormat="1" ht="15.75" customHeight="1">
      <c r="A33" s="3275"/>
      <c r="B33" s="3284" t="s">
        <v>1789</v>
      </c>
      <c r="C33" s="5470" t="s">
        <v>431</v>
      </c>
      <c r="D33" s="5470"/>
      <c r="E33" s="5470"/>
      <c r="F33" s="5470"/>
      <c r="G33" s="5470"/>
      <c r="H33" s="5470"/>
      <c r="I33" s="5470"/>
      <c r="J33" s="5470"/>
      <c r="K33" s="5470"/>
      <c r="L33" s="5471"/>
      <c r="M33" s="3619"/>
      <c r="N33" s="3620"/>
      <c r="O33" s="3620"/>
      <c r="P33" s="3620"/>
      <c r="Q33" s="3620"/>
      <c r="R33" s="3620"/>
      <c r="S33" s="3622"/>
      <c r="T33" s="3270"/>
      <c r="U33" s="3271"/>
      <c r="V33" s="3271"/>
      <c r="W33" s="3271"/>
      <c r="X33" s="3271"/>
      <c r="Y33" s="3273"/>
    </row>
    <row r="34" spans="1:26" s="3274" customFormat="1" ht="15.75" customHeight="1">
      <c r="A34" s="3269"/>
      <c r="B34" s="3284" t="s">
        <v>1790</v>
      </c>
      <c r="C34" s="5470" t="s">
        <v>432</v>
      </c>
      <c r="D34" s="5470"/>
      <c r="E34" s="5470"/>
      <c r="F34" s="5470"/>
      <c r="G34" s="5470"/>
      <c r="H34" s="5470"/>
      <c r="I34" s="5470"/>
      <c r="J34" s="5470"/>
      <c r="K34" s="5470"/>
      <c r="L34" s="5471"/>
      <c r="M34" s="3619"/>
      <c r="N34" s="3620"/>
      <c r="O34" s="3620"/>
      <c r="P34" s="3620"/>
      <c r="Q34" s="3620"/>
      <c r="R34" s="3620"/>
      <c r="S34" s="3622"/>
      <c r="T34" s="3270"/>
      <c r="U34" s="3271"/>
      <c r="V34" s="3271"/>
      <c r="W34" s="3271"/>
      <c r="X34" s="3271"/>
      <c r="Y34" s="3273"/>
    </row>
    <row r="35" spans="1:26" s="3274" customFormat="1" ht="27" customHeight="1">
      <c r="A35" s="3275">
        <v>18</v>
      </c>
      <c r="B35" s="5467" t="s">
        <v>731</v>
      </c>
      <c r="C35" s="5468"/>
      <c r="D35" s="5468"/>
      <c r="E35" s="5468"/>
      <c r="F35" s="5468"/>
      <c r="G35" s="5468"/>
      <c r="H35" s="5468"/>
      <c r="I35" s="5468"/>
      <c r="J35" s="5468"/>
      <c r="K35" s="5468"/>
      <c r="L35" s="5469"/>
      <c r="M35" s="3270"/>
      <c r="N35" s="3271"/>
      <c r="O35" s="3271"/>
      <c r="P35" s="3271"/>
      <c r="Q35" s="3271"/>
      <c r="R35" s="3271"/>
      <c r="S35" s="3272"/>
      <c r="T35" s="3270"/>
      <c r="U35" s="3271"/>
      <c r="V35" s="3271"/>
      <c r="W35" s="3271"/>
      <c r="X35" s="3271"/>
      <c r="Y35" s="3273"/>
    </row>
    <row r="36" spans="1:26" s="3274" customFormat="1" ht="27" customHeight="1">
      <c r="A36" s="3269">
        <v>19</v>
      </c>
      <c r="B36" s="5467" t="s">
        <v>425</v>
      </c>
      <c r="C36" s="5468"/>
      <c r="D36" s="5468"/>
      <c r="E36" s="5468"/>
      <c r="F36" s="5468"/>
      <c r="G36" s="5468"/>
      <c r="H36" s="5468"/>
      <c r="I36" s="5468"/>
      <c r="J36" s="5468"/>
      <c r="K36" s="5468"/>
      <c r="L36" s="5469"/>
      <c r="M36" s="3270"/>
      <c r="N36" s="3271"/>
      <c r="O36" s="3271"/>
      <c r="P36" s="3271"/>
      <c r="Q36" s="3271"/>
      <c r="R36" s="3271"/>
      <c r="S36" s="3272"/>
      <c r="T36" s="3270"/>
      <c r="U36" s="3271"/>
      <c r="V36" s="3271"/>
      <c r="W36" s="3271"/>
      <c r="X36" s="3271"/>
      <c r="Y36" s="3273"/>
    </row>
    <row r="37" spans="1:26" s="3274" customFormat="1" ht="11.25" customHeight="1">
      <c r="A37" s="3275">
        <v>20</v>
      </c>
      <c r="B37" s="5467" t="s">
        <v>407</v>
      </c>
      <c r="C37" s="5468"/>
      <c r="D37" s="5468"/>
      <c r="E37" s="5468"/>
      <c r="F37" s="5468"/>
      <c r="G37" s="5468"/>
      <c r="H37" s="5468"/>
      <c r="I37" s="5468"/>
      <c r="J37" s="3285"/>
      <c r="K37" s="3285"/>
      <c r="L37" s="3286"/>
      <c r="M37" s="3270"/>
      <c r="N37" s="3271"/>
      <c r="O37" s="3271"/>
      <c r="P37" s="3271"/>
      <c r="Q37" s="3271"/>
      <c r="R37" s="3271"/>
      <c r="S37" s="3272"/>
      <c r="T37" s="3270"/>
      <c r="U37" s="3271"/>
      <c r="V37" s="3271"/>
      <c r="W37" s="3271"/>
      <c r="X37" s="3271"/>
      <c r="Y37" s="3273"/>
    </row>
    <row r="38" spans="1:26" s="3274" customFormat="1" ht="15" customHeight="1">
      <c r="A38" s="3269">
        <v>21</v>
      </c>
      <c r="B38" s="5484" t="s">
        <v>30</v>
      </c>
      <c r="C38" s="5485"/>
      <c r="D38" s="5485"/>
      <c r="E38" s="5485"/>
      <c r="F38" s="5485"/>
      <c r="G38" s="5485"/>
      <c r="H38" s="5485"/>
      <c r="I38" s="5485"/>
      <c r="J38" s="3287"/>
      <c r="K38" s="3287"/>
      <c r="L38" s="3280"/>
      <c r="M38" s="3270"/>
      <c r="N38" s="3271"/>
      <c r="O38" s="3271"/>
      <c r="P38" s="3271"/>
      <c r="Q38" s="3271"/>
      <c r="R38" s="3271"/>
      <c r="S38" s="3272"/>
      <c r="T38" s="3270"/>
      <c r="U38" s="3271"/>
      <c r="V38" s="3271"/>
      <c r="W38" s="3271"/>
      <c r="X38" s="3271"/>
      <c r="Y38" s="3273"/>
    </row>
    <row r="39" spans="1:26" s="3274" customFormat="1" ht="13.5" customHeight="1">
      <c r="A39" s="3275">
        <v>22</v>
      </c>
      <c r="B39" s="5467" t="s">
        <v>408</v>
      </c>
      <c r="C39" s="5468"/>
      <c r="D39" s="5468"/>
      <c r="E39" s="5468"/>
      <c r="F39" s="5468"/>
      <c r="G39" s="5468"/>
      <c r="H39" s="5468"/>
      <c r="I39" s="5468"/>
      <c r="J39" s="5468"/>
      <c r="K39" s="5468"/>
      <c r="L39" s="5469"/>
      <c r="M39" s="3270"/>
      <c r="N39" s="3271"/>
      <c r="O39" s="3271"/>
      <c r="P39" s="3271"/>
      <c r="Q39" s="3271"/>
      <c r="R39" s="3271"/>
      <c r="S39" s="3272"/>
      <c r="T39" s="3270"/>
      <c r="U39" s="3271"/>
      <c r="V39" s="3271"/>
      <c r="W39" s="3271"/>
      <c r="X39" s="3271"/>
      <c r="Y39" s="3273"/>
    </row>
    <row r="40" spans="1:26" s="3274" customFormat="1" ht="12.75" customHeight="1">
      <c r="A40" s="3269">
        <v>23</v>
      </c>
      <c r="B40" s="5467" t="s">
        <v>409</v>
      </c>
      <c r="C40" s="5468"/>
      <c r="D40" s="5468"/>
      <c r="E40" s="5468"/>
      <c r="F40" s="5468"/>
      <c r="G40" s="5468"/>
      <c r="H40" s="5468"/>
      <c r="I40" s="5468"/>
      <c r="J40" s="5468"/>
      <c r="K40" s="5468"/>
      <c r="L40" s="5469"/>
      <c r="M40" s="3270"/>
      <c r="N40" s="3271"/>
      <c r="O40" s="3271"/>
      <c r="P40" s="3271"/>
      <c r="Q40" s="3271"/>
      <c r="R40" s="3271"/>
      <c r="S40" s="3272"/>
      <c r="T40" s="3270"/>
      <c r="U40" s="3271"/>
      <c r="V40" s="3271"/>
      <c r="W40" s="3271"/>
      <c r="X40" s="3271"/>
      <c r="Y40" s="3273"/>
    </row>
    <row r="41" spans="1:26" s="3274" customFormat="1" ht="12.75" customHeight="1">
      <c r="A41" s="3275">
        <v>24</v>
      </c>
      <c r="B41" s="5467" t="s">
        <v>732</v>
      </c>
      <c r="C41" s="5468"/>
      <c r="D41" s="5468"/>
      <c r="E41" s="5468"/>
      <c r="F41" s="5468"/>
      <c r="G41" s="5468"/>
      <c r="H41" s="5468"/>
      <c r="I41" s="5468"/>
      <c r="J41" s="5468"/>
      <c r="K41" s="5468"/>
      <c r="L41" s="5469"/>
      <c r="M41" s="3270"/>
      <c r="N41" s="3271"/>
      <c r="O41" s="3271"/>
      <c r="P41" s="3271"/>
      <c r="Q41" s="3271"/>
      <c r="R41" s="3271"/>
      <c r="S41" s="3272"/>
      <c r="T41" s="3270"/>
      <c r="U41" s="3271"/>
      <c r="V41" s="3271"/>
      <c r="W41" s="3271"/>
      <c r="X41" s="3271"/>
      <c r="Y41" s="3273"/>
    </row>
    <row r="42" spans="1:26" s="3274" customFormat="1" ht="12" customHeight="1">
      <c r="A42" s="3269">
        <v>25</v>
      </c>
      <c r="B42" s="5467" t="s">
        <v>732</v>
      </c>
      <c r="C42" s="5468"/>
      <c r="D42" s="5468"/>
      <c r="E42" s="5468"/>
      <c r="F42" s="5468"/>
      <c r="G42" s="5468"/>
      <c r="H42" s="5468"/>
      <c r="I42" s="5468"/>
      <c r="J42" s="5468"/>
      <c r="K42" s="5468"/>
      <c r="L42" s="5469"/>
      <c r="M42" s="3270"/>
      <c r="N42" s="3271"/>
      <c r="O42" s="3271"/>
      <c r="P42" s="3271"/>
      <c r="Q42" s="3271"/>
      <c r="R42" s="3271"/>
      <c r="S42" s="3272"/>
      <c r="T42" s="3270"/>
      <c r="U42" s="3271"/>
      <c r="V42" s="3271"/>
      <c r="W42" s="3271"/>
      <c r="X42" s="3271"/>
      <c r="Y42" s="3273"/>
    </row>
    <row r="43" spans="1:26" s="3274" customFormat="1" ht="15" customHeight="1">
      <c r="A43" s="3275">
        <v>26</v>
      </c>
      <c r="B43" s="5467" t="s">
        <v>732</v>
      </c>
      <c r="C43" s="5468"/>
      <c r="D43" s="5468"/>
      <c r="E43" s="5468"/>
      <c r="F43" s="5468"/>
      <c r="G43" s="5468"/>
      <c r="H43" s="5468"/>
      <c r="I43" s="5468"/>
      <c r="J43" s="5468"/>
      <c r="K43" s="5468"/>
      <c r="L43" s="5469"/>
      <c r="M43" s="3270"/>
      <c r="N43" s="3271"/>
      <c r="O43" s="3271"/>
      <c r="P43" s="3271"/>
      <c r="Q43" s="3271"/>
      <c r="R43" s="3271"/>
      <c r="S43" s="3272"/>
      <c r="T43" s="3270"/>
      <c r="U43" s="3271"/>
      <c r="V43" s="3271"/>
      <c r="W43" s="3271"/>
      <c r="X43" s="3271"/>
      <c r="Y43" s="3273"/>
    </row>
    <row r="44" spans="1:26" s="3274" customFormat="1" ht="14.25" customHeight="1">
      <c r="A44" s="3269">
        <v>27</v>
      </c>
      <c r="B44" s="5467" t="s">
        <v>732</v>
      </c>
      <c r="C44" s="5468"/>
      <c r="D44" s="5468"/>
      <c r="E44" s="5468"/>
      <c r="F44" s="5468"/>
      <c r="G44" s="5468"/>
      <c r="H44" s="5468"/>
      <c r="I44" s="5468"/>
      <c r="J44" s="5468"/>
      <c r="K44" s="5468"/>
      <c r="L44" s="5469"/>
      <c r="M44" s="3270"/>
      <c r="N44" s="3271"/>
      <c r="O44" s="3271"/>
      <c r="P44" s="3271"/>
      <c r="Q44" s="3271"/>
      <c r="R44" s="3271"/>
      <c r="S44" s="3272"/>
      <c r="T44" s="3270"/>
      <c r="U44" s="3271"/>
      <c r="V44" s="3271"/>
      <c r="W44" s="3271"/>
      <c r="X44" s="3271"/>
      <c r="Y44" s="3273"/>
      <c r="Z44" s="3288"/>
    </row>
    <row r="45" spans="1:26" s="3292" customFormat="1" ht="17.25" customHeight="1" thickBot="1">
      <c r="A45" s="3275">
        <v>28</v>
      </c>
      <c r="B45" s="5498" t="s">
        <v>31</v>
      </c>
      <c r="C45" s="5499"/>
      <c r="D45" s="5499"/>
      <c r="E45" s="5499"/>
      <c r="F45" s="5499"/>
      <c r="G45" s="5499"/>
      <c r="H45" s="5499"/>
      <c r="I45" s="5499"/>
      <c r="J45" s="5499"/>
      <c r="K45" s="3623"/>
      <c r="L45" s="3624"/>
      <c r="M45" s="3625"/>
      <c r="N45" s="3626"/>
      <c r="O45" s="3626"/>
      <c r="P45" s="3626"/>
      <c r="Q45" s="3626"/>
      <c r="R45" s="3626"/>
      <c r="S45" s="3627"/>
      <c r="T45" s="3289"/>
      <c r="U45" s="3290"/>
      <c r="V45" s="3290"/>
      <c r="W45" s="3290"/>
      <c r="X45" s="3290"/>
      <c r="Y45" s="3291"/>
    </row>
  </sheetData>
  <customSheetViews>
    <customSheetView guid="{BDF1A126-BD1D-4A5E-80B8-98941684E462}" scale="90" showPageBreaks="1" showGridLines="0" printArea="1" topLeftCell="A19">
      <selection activeCell="B39" sqref="B39:I39"/>
      <pageMargins left="0.86" right="0.2" top="0.2" bottom="0.2" header="0" footer="0"/>
      <pageSetup paperSize="9" orientation="portrait" r:id="rId1"/>
      <headerFooter alignWithMargins="0"/>
    </customSheetView>
    <customSheetView guid="{04F0793E-5444-463D-A1D5-E52E08A4C249}" scale="90" showPageBreaks="1" showGridLines="0" printArea="1" topLeftCell="A34">
      <selection activeCell="B46" sqref="B46:I46"/>
      <pageMargins left="0.2" right="0.2" top="0.2" bottom="0.2" header="0" footer="0"/>
      <pageSetup scale="80" orientation="portrait" r:id="rId2"/>
      <headerFooter alignWithMargins="0"/>
    </customSheetView>
    <customSheetView guid="{925F74B5-C2F5-4E55-AFE4-045C56169B44}" scale="90" showPageBreaks="1" showGridLines="0" printArea="1" topLeftCell="A34">
      <selection activeCell="B46" sqref="B46:I46"/>
      <pageMargins left="0.2" right="0.2" top="0.2" bottom="0.2" header="0" footer="0"/>
      <pageSetup scale="80" orientation="portrait" r:id="rId3"/>
      <headerFooter alignWithMargins="0"/>
    </customSheetView>
    <customSheetView guid="{1FF58891-F32F-4F97-9812-E2D02F4497AA}" scale="90" showGridLines="0" topLeftCell="A31">
      <selection activeCell="B5" sqref="B5:L23"/>
      <pageMargins left="0.86" right="0.2" top="0.2" bottom="0.2" header="0" footer="0"/>
      <pageSetup paperSize="9" orientation="portrait" r:id="rId4"/>
      <headerFooter alignWithMargins="0"/>
    </customSheetView>
    <customSheetView guid="{2A6091F0-BAF4-46A2-BC20-0DE610E67601}" scale="90" showPageBreaks="1" showGridLines="0" printArea="1" topLeftCell="A19">
      <selection activeCell="B39" sqref="B39:I39"/>
      <pageMargins left="0.86" right="0.2" top="0.2" bottom="0.2" header="0" footer="0"/>
      <pageSetup paperSize="9" orientation="portrait" r:id="rId5"/>
      <headerFooter alignWithMargins="0"/>
    </customSheetView>
    <customSheetView guid="{5111FDC7-EEAC-46C3-8033-47A3563F0C00}" scale="90" showPageBreaks="1" showGridLines="0" printArea="1">
      <selection activeCell="B6" sqref="B6"/>
      <pageMargins left="0.86" right="0.2" top="0.2" bottom="0.2" header="0" footer="0"/>
      <pageSetup paperSize="9" orientation="portrait" r:id="rId6"/>
      <headerFooter alignWithMargins="0"/>
    </customSheetView>
    <customSheetView guid="{2A5E79E4-584C-4F65-A220-87928CEA02AF}" scale="90" showPageBreaks="1" showGridLines="0" printArea="1">
      <selection activeCell="L7" sqref="L7"/>
      <pageMargins left="0.86" right="0.2" top="0.2" bottom="0.2" header="0" footer="0"/>
      <pageSetup paperSize="9" orientation="portrait" r:id="rId7"/>
      <headerFooter alignWithMargins="0"/>
    </customSheetView>
    <customSheetView guid="{66872EF1-41BD-4D4B-B603-B8B0D03DAD22}" scale="90" showPageBreaks="1" showGridLines="0" printArea="1">
      <selection activeCell="L7" sqref="L7"/>
      <pageMargins left="0.86" right="0.2" top="0.2" bottom="0.2" header="0" footer="0"/>
      <pageSetup paperSize="9" orientation="portrait" r:id="rId8"/>
      <headerFooter alignWithMargins="0"/>
    </customSheetView>
    <customSheetView guid="{ACE56013-11B3-4BF4-BD0B-BF59142DAC13}" scale="90" showPageBreaks="1" showGridLines="0" printArea="1" topLeftCell="A21">
      <selection activeCell="B40" sqref="B40:L40"/>
      <pageMargins left="0.86" right="0.2" top="0.2" bottom="0.2" header="0" footer="0"/>
      <pageSetup paperSize="9" orientation="portrait" r:id="rId9"/>
      <headerFooter alignWithMargins="0"/>
    </customSheetView>
  </customSheetViews>
  <mergeCells count="44">
    <mergeCell ref="A5:A11"/>
    <mergeCell ref="M4:S4"/>
    <mergeCell ref="T4:Y4"/>
    <mergeCell ref="B45:J45"/>
    <mergeCell ref="B38:I38"/>
    <mergeCell ref="B39:L39"/>
    <mergeCell ref="B40:L40"/>
    <mergeCell ref="B26:L26"/>
    <mergeCell ref="B36:L36"/>
    <mergeCell ref="T5:Y10"/>
    <mergeCell ref="B11:J11"/>
    <mergeCell ref="T11:Y11"/>
    <mergeCell ref="B12:L12"/>
    <mergeCell ref="B37:I37"/>
    <mergeCell ref="B22:L22"/>
    <mergeCell ref="B19:K19"/>
    <mergeCell ref="M28:S28"/>
    <mergeCell ref="B27:H27"/>
    <mergeCell ref="B35:L35"/>
    <mergeCell ref="B28:L28"/>
    <mergeCell ref="M5:S8"/>
    <mergeCell ref="B25:L25"/>
    <mergeCell ref="B17:L17"/>
    <mergeCell ref="B18:L18"/>
    <mergeCell ref="B16:L16"/>
    <mergeCell ref="B14:L14"/>
    <mergeCell ref="B13:L13"/>
    <mergeCell ref="B15:L15"/>
    <mergeCell ref="B21:L21"/>
    <mergeCell ref="M9:N9"/>
    <mergeCell ref="M10:N10"/>
    <mergeCell ref="B20:L20"/>
    <mergeCell ref="B23:L23"/>
    <mergeCell ref="B41:L41"/>
    <mergeCell ref="B42:L42"/>
    <mergeCell ref="B43:L43"/>
    <mergeCell ref="B44:L44"/>
    <mergeCell ref="B24:L24"/>
    <mergeCell ref="C29:L29"/>
    <mergeCell ref="C30:L30"/>
    <mergeCell ref="C31:L31"/>
    <mergeCell ref="C32:L32"/>
    <mergeCell ref="C33:L33"/>
    <mergeCell ref="C34:L34"/>
  </mergeCells>
  <pageMargins left="0.86" right="0.2" top="0.2" bottom="0.2" header="0" footer="0"/>
  <pageSetup paperSize="9" orientation="portrait" r:id="rId10"/>
  <headerFooter alignWithMargins="0"/>
  <drawing r:id="rId11"/>
  <legacyDrawing r:id="rId1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59"/>
  <sheetViews>
    <sheetView showGridLines="0" topLeftCell="A7" zoomScaleNormal="100" zoomScaleSheetLayoutView="100" workbookViewId="0">
      <selection activeCell="H30" sqref="H30"/>
    </sheetView>
  </sheetViews>
  <sheetFormatPr defaultColWidth="14.28515625" defaultRowHeight="12.75"/>
  <cols>
    <col min="1" max="1" width="6.140625" style="90" customWidth="1"/>
    <col min="2" max="2" width="35.85546875" style="107" customWidth="1"/>
    <col min="3" max="4" width="7.28515625" style="107" customWidth="1"/>
    <col min="5" max="5" width="17.140625" style="90" customWidth="1"/>
    <col min="6" max="6" width="15.28515625" style="90" customWidth="1"/>
    <col min="7" max="16384" width="14.28515625" style="90"/>
  </cols>
  <sheetData>
    <row r="1" spans="1:6" ht="12" customHeight="1">
      <c r="A1" s="5514" t="s">
        <v>1347</v>
      </c>
      <c r="B1" s="5514"/>
      <c r="C1" s="5514"/>
      <c r="D1" s="5514"/>
      <c r="E1" s="5514"/>
      <c r="F1" s="2547"/>
    </row>
    <row r="2" spans="1:6" ht="5.25" customHeight="1" thickBot="1">
      <c r="A2" s="5514"/>
      <c r="B2" s="5514"/>
      <c r="C2" s="5514"/>
      <c r="D2" s="5514"/>
      <c r="E2" s="5514"/>
      <c r="F2" s="2547"/>
    </row>
    <row r="3" spans="1:6" s="94" customFormat="1" ht="16.5" customHeight="1">
      <c r="A3" s="2543">
        <v>12.01</v>
      </c>
      <c r="B3" s="792">
        <v>12.02</v>
      </c>
      <c r="C3" s="5525">
        <v>12.03</v>
      </c>
      <c r="D3" s="5526"/>
      <c r="E3" s="793">
        <v>12.04</v>
      </c>
      <c r="F3" s="793">
        <v>12.05</v>
      </c>
    </row>
    <row r="4" spans="1:6" s="96" customFormat="1" ht="51">
      <c r="A4" s="5519" t="s">
        <v>92</v>
      </c>
      <c r="B4" s="95" t="s">
        <v>1289</v>
      </c>
      <c r="C4" s="5515" t="s">
        <v>645</v>
      </c>
      <c r="D4" s="5516"/>
      <c r="E4" s="5517" t="s">
        <v>1889</v>
      </c>
      <c r="F4" s="5522" t="s">
        <v>1890</v>
      </c>
    </row>
    <row r="5" spans="1:6" s="96" customFormat="1" ht="12.95" customHeight="1">
      <c r="A5" s="5520"/>
      <c r="B5" s="97"/>
      <c r="C5" s="2548" t="s">
        <v>862</v>
      </c>
      <c r="D5" s="2549">
        <v>1</v>
      </c>
      <c r="E5" s="5518"/>
      <c r="F5" s="5523"/>
    </row>
    <row r="6" spans="1:6" s="96" customFormat="1" ht="12.95" customHeight="1">
      <c r="A6" s="5520"/>
      <c r="B6" s="97"/>
      <c r="C6" s="2550" t="s">
        <v>863</v>
      </c>
      <c r="D6" s="170">
        <v>2</v>
      </c>
      <c r="E6" s="5527" t="s">
        <v>770</v>
      </c>
      <c r="F6" s="5523"/>
    </row>
    <row r="7" spans="1:6" s="96" customFormat="1" ht="9.75" customHeight="1">
      <c r="A7" s="5520"/>
      <c r="B7" s="97"/>
      <c r="C7" s="5529" t="s">
        <v>72</v>
      </c>
      <c r="D7" s="5530"/>
      <c r="E7" s="5528"/>
      <c r="F7" s="5524"/>
    </row>
    <row r="8" spans="1:6" s="96" customFormat="1" ht="12.95" customHeight="1" thickBot="1">
      <c r="A8" s="5521"/>
      <c r="B8" s="98" t="s">
        <v>73</v>
      </c>
      <c r="C8" s="2551"/>
      <c r="D8" s="171"/>
      <c r="E8" s="99" t="s">
        <v>219</v>
      </c>
      <c r="F8" s="99" t="s">
        <v>219</v>
      </c>
    </row>
    <row r="9" spans="1:6" ht="11.25" customHeight="1">
      <c r="A9" s="2544" t="s">
        <v>1785</v>
      </c>
      <c r="B9" s="5531" t="s">
        <v>527</v>
      </c>
      <c r="C9" s="5532"/>
      <c r="D9" s="5532"/>
      <c r="E9" s="5532"/>
      <c r="F9" s="5533"/>
    </row>
    <row r="10" spans="1:6" ht="12.95" customHeight="1">
      <c r="A10" s="2545" t="s">
        <v>94</v>
      </c>
      <c r="B10" s="1445" t="s">
        <v>113</v>
      </c>
      <c r="C10" s="101"/>
      <c r="D10" s="102"/>
      <c r="E10" s="100"/>
      <c r="F10" s="100"/>
    </row>
    <row r="11" spans="1:6" ht="12.95" customHeight="1">
      <c r="A11" s="2545" t="s">
        <v>95</v>
      </c>
      <c r="B11" s="1446" t="s">
        <v>1709</v>
      </c>
      <c r="C11" s="103"/>
      <c r="D11" s="104"/>
      <c r="E11" s="100"/>
      <c r="F11" s="100"/>
    </row>
    <row r="12" spans="1:6" ht="12.95" customHeight="1">
      <c r="A12" s="2545" t="s">
        <v>96</v>
      </c>
      <c r="B12" s="1445" t="s">
        <v>75</v>
      </c>
      <c r="C12" s="101"/>
      <c r="D12" s="102"/>
      <c r="E12" s="100"/>
      <c r="F12" s="100"/>
    </row>
    <row r="13" spans="1:6" ht="12.95" customHeight="1">
      <c r="A13" s="2545" t="s">
        <v>97</v>
      </c>
      <c r="B13" s="1445" t="s">
        <v>76</v>
      </c>
      <c r="C13" s="101"/>
      <c r="D13" s="102"/>
      <c r="E13" s="100"/>
      <c r="F13" s="100"/>
    </row>
    <row r="14" spans="1:6" ht="12.95" customHeight="1">
      <c r="A14" s="2545" t="s">
        <v>98</v>
      </c>
      <c r="B14" s="1445" t="s">
        <v>1432</v>
      </c>
      <c r="C14" s="101"/>
      <c r="D14" s="102"/>
      <c r="E14" s="100"/>
      <c r="F14" s="100"/>
    </row>
    <row r="15" spans="1:6" ht="12.95" customHeight="1">
      <c r="A15" s="2545" t="s">
        <v>99</v>
      </c>
      <c r="B15" s="1445" t="s">
        <v>77</v>
      </c>
      <c r="C15" s="101"/>
      <c r="D15" s="102"/>
      <c r="E15" s="100"/>
      <c r="F15" s="100"/>
    </row>
    <row r="16" spans="1:6" ht="12.95" customHeight="1">
      <c r="A16" s="2545" t="s">
        <v>100</v>
      </c>
      <c r="B16" s="1446" t="s">
        <v>624</v>
      </c>
      <c r="C16" s="5534"/>
      <c r="D16" s="5535"/>
      <c r="E16" s="100"/>
      <c r="F16" s="100"/>
    </row>
    <row r="17" spans="1:6" ht="12.95" customHeight="1">
      <c r="A17" s="2545" t="s">
        <v>101</v>
      </c>
      <c r="B17" s="1445" t="s">
        <v>754</v>
      </c>
      <c r="C17" s="103"/>
      <c r="D17" s="104"/>
      <c r="E17" s="100"/>
      <c r="F17" s="100"/>
    </row>
    <row r="18" spans="1:6" ht="12.95" customHeight="1">
      <c r="A18" s="2545" t="s">
        <v>102</v>
      </c>
      <c r="B18" s="1445" t="s">
        <v>78</v>
      </c>
      <c r="C18" s="101"/>
      <c r="D18" s="102"/>
      <c r="E18" s="100"/>
      <c r="F18" s="100"/>
    </row>
    <row r="19" spans="1:6" ht="12.95" customHeight="1">
      <c r="A19" s="2545" t="s">
        <v>103</v>
      </c>
      <c r="B19" s="1445" t="s">
        <v>79</v>
      </c>
      <c r="C19" s="101"/>
      <c r="D19" s="102"/>
      <c r="E19" s="100"/>
      <c r="F19" s="100"/>
    </row>
    <row r="20" spans="1:6" ht="12.95" customHeight="1">
      <c r="A20" s="2545" t="s">
        <v>104</v>
      </c>
      <c r="B20" s="1445" t="s">
        <v>80</v>
      </c>
      <c r="C20" s="101"/>
      <c r="D20" s="102"/>
      <c r="E20" s="100"/>
      <c r="F20" s="100"/>
    </row>
    <row r="21" spans="1:6" ht="12.95" customHeight="1">
      <c r="A21" s="2545" t="s">
        <v>105</v>
      </c>
      <c r="B21" s="1445" t="s">
        <v>93</v>
      </c>
      <c r="C21" s="101"/>
      <c r="D21" s="102"/>
      <c r="E21" s="100"/>
      <c r="F21" s="100"/>
    </row>
    <row r="22" spans="1:6" ht="12.95" customHeight="1">
      <c r="A22" s="2545" t="s">
        <v>106</v>
      </c>
      <c r="B22" s="1445" t="s">
        <v>1433</v>
      </c>
      <c r="C22" s="101"/>
      <c r="D22" s="102"/>
      <c r="E22" s="100"/>
      <c r="F22" s="100"/>
    </row>
    <row r="23" spans="1:6" ht="12.95" customHeight="1">
      <c r="A23" s="2545" t="s">
        <v>107</v>
      </c>
      <c r="B23" s="1446" t="s">
        <v>81</v>
      </c>
      <c r="C23" s="103"/>
      <c r="D23" s="104"/>
      <c r="E23" s="100"/>
      <c r="F23" s="100"/>
    </row>
    <row r="24" spans="1:6" ht="12.95" customHeight="1">
      <c r="A24" s="2545" t="s">
        <v>108</v>
      </c>
      <c r="B24" s="1445" t="s">
        <v>1919</v>
      </c>
      <c r="C24" s="101"/>
      <c r="D24" s="102"/>
      <c r="E24" s="100"/>
      <c r="F24" s="100"/>
    </row>
    <row r="25" spans="1:6" ht="12.95" customHeight="1" thickBot="1">
      <c r="A25" s="2908" t="s">
        <v>1622</v>
      </c>
      <c r="B25" s="2909" t="s">
        <v>1623</v>
      </c>
      <c r="C25" s="103"/>
      <c r="D25" s="104"/>
      <c r="E25" s="100"/>
      <c r="F25" s="100"/>
    </row>
    <row r="26" spans="1:6" ht="12.95" customHeight="1" thickBot="1">
      <c r="A26" s="157">
        <v>139</v>
      </c>
      <c r="B26" s="2910" t="s">
        <v>31</v>
      </c>
      <c r="C26" s="2911"/>
      <c r="D26" s="2911"/>
      <c r="E26" s="1157"/>
      <c r="F26" s="2552"/>
    </row>
    <row r="27" spans="1:6" ht="11.25" customHeight="1">
      <c r="A27" s="2546" t="s">
        <v>1786</v>
      </c>
      <c r="B27" s="5531" t="s">
        <v>792</v>
      </c>
      <c r="C27" s="5532"/>
      <c r="D27" s="5532"/>
      <c r="E27" s="5532"/>
      <c r="F27" s="5533"/>
    </row>
    <row r="28" spans="1:6" ht="12.95" customHeight="1">
      <c r="A28" s="2545" t="s">
        <v>109</v>
      </c>
      <c r="B28" s="1445" t="s">
        <v>82</v>
      </c>
      <c r="C28" s="101"/>
      <c r="D28" s="102"/>
      <c r="E28" s="105"/>
      <c r="F28" s="105"/>
    </row>
    <row r="29" spans="1:6" ht="12.95" customHeight="1">
      <c r="A29" s="2545" t="s">
        <v>110</v>
      </c>
      <c r="B29" s="1445" t="s">
        <v>83</v>
      </c>
      <c r="C29" s="101"/>
      <c r="D29" s="102"/>
      <c r="E29" s="105"/>
      <c r="F29" s="105"/>
    </row>
    <row r="30" spans="1:6" ht="12.95" customHeight="1" thickBot="1">
      <c r="A30" s="2545" t="s">
        <v>746</v>
      </c>
      <c r="B30" s="1445" t="s">
        <v>112</v>
      </c>
      <c r="C30" s="101"/>
      <c r="D30" s="102"/>
      <c r="E30" s="105"/>
      <c r="F30" s="105"/>
    </row>
    <row r="31" spans="1:6" ht="12.95" customHeight="1" thickBot="1">
      <c r="A31" s="157">
        <v>149</v>
      </c>
      <c r="B31" s="2912" t="s">
        <v>31</v>
      </c>
      <c r="C31" s="2911"/>
      <c r="D31" s="2911"/>
      <c r="E31" s="1157"/>
      <c r="F31" s="2552"/>
    </row>
    <row r="32" spans="1:6" ht="11.25" customHeight="1">
      <c r="A32" s="2546" t="s">
        <v>1787</v>
      </c>
      <c r="B32" s="5531" t="s">
        <v>798</v>
      </c>
      <c r="C32" s="5532"/>
      <c r="D32" s="5532"/>
      <c r="E32" s="5532"/>
      <c r="F32" s="5533"/>
    </row>
    <row r="33" spans="1:6" ht="12.95" customHeight="1">
      <c r="A33" s="2545" t="s">
        <v>747</v>
      </c>
      <c r="B33" s="156" t="s">
        <v>571</v>
      </c>
      <c r="C33" s="1122"/>
      <c r="D33" s="1123"/>
      <c r="E33" s="2553"/>
      <c r="F33" s="2553"/>
    </row>
    <row r="34" spans="1:6" ht="12.95" customHeight="1">
      <c r="A34" s="2545" t="s">
        <v>748</v>
      </c>
      <c r="B34" s="156" t="s">
        <v>572</v>
      </c>
      <c r="C34" s="1122"/>
      <c r="D34" s="1123"/>
      <c r="E34" s="2553"/>
      <c r="F34" s="2553"/>
    </row>
    <row r="35" spans="1:6" ht="12.95" customHeight="1">
      <c r="A35" s="2545" t="s">
        <v>749</v>
      </c>
      <c r="B35" s="156" t="s">
        <v>573</v>
      </c>
      <c r="C35" s="1122"/>
      <c r="D35" s="1123"/>
      <c r="E35" s="2553"/>
      <c r="F35" s="2553"/>
    </row>
    <row r="36" spans="1:6" ht="12.95" customHeight="1">
      <c r="A36" s="2545" t="s">
        <v>750</v>
      </c>
      <c r="B36" s="156" t="s">
        <v>574</v>
      </c>
      <c r="C36" s="1122"/>
      <c r="D36" s="1123"/>
      <c r="E36" s="2553"/>
      <c r="F36" s="2553"/>
    </row>
    <row r="37" spans="1:6" ht="12.95" customHeight="1">
      <c r="A37" s="2545" t="s">
        <v>751</v>
      </c>
      <c r="B37" s="156" t="s">
        <v>575</v>
      </c>
      <c r="C37" s="1122"/>
      <c r="D37" s="1123"/>
      <c r="E37" s="2553"/>
      <c r="F37" s="2553"/>
    </row>
    <row r="38" spans="1:6" ht="12.95" customHeight="1">
      <c r="A38" s="2545" t="s">
        <v>793</v>
      </c>
      <c r="B38" s="156" t="s">
        <v>576</v>
      </c>
      <c r="C38" s="1122"/>
      <c r="D38" s="1123"/>
      <c r="E38" s="2553"/>
      <c r="F38" s="2553"/>
    </row>
    <row r="39" spans="1:6" ht="12.95" customHeight="1">
      <c r="A39" s="2545" t="s">
        <v>794</v>
      </c>
      <c r="B39" s="156" t="s">
        <v>573</v>
      </c>
      <c r="C39" s="1122"/>
      <c r="D39" s="1123"/>
      <c r="E39" s="2553"/>
      <c r="F39" s="2553"/>
    </row>
    <row r="40" spans="1:6" ht="12.95" customHeight="1">
      <c r="A40" s="2545" t="s">
        <v>795</v>
      </c>
      <c r="B40" s="156" t="s">
        <v>577</v>
      </c>
      <c r="C40" s="1122"/>
      <c r="D40" s="1123"/>
      <c r="E40" s="2553"/>
      <c r="F40" s="2553"/>
    </row>
    <row r="41" spans="1:6" ht="12.95" customHeight="1">
      <c r="A41" s="2545" t="s">
        <v>796</v>
      </c>
      <c r="B41" s="156" t="s">
        <v>578</v>
      </c>
      <c r="C41" s="1122"/>
      <c r="D41" s="1123"/>
      <c r="E41" s="2553"/>
      <c r="F41" s="2553"/>
    </row>
    <row r="42" spans="1:6" ht="12.95" customHeight="1">
      <c r="A42" s="2545" t="s">
        <v>797</v>
      </c>
      <c r="B42" s="106" t="s">
        <v>528</v>
      </c>
      <c r="C42" s="1122"/>
      <c r="D42" s="2554"/>
      <c r="E42" s="1155"/>
      <c r="F42" s="1155"/>
    </row>
    <row r="43" spans="1:6" ht="12.95" customHeight="1">
      <c r="A43" s="2545" t="s">
        <v>752</v>
      </c>
      <c r="B43" s="156" t="s">
        <v>579</v>
      </c>
      <c r="C43" s="2554"/>
      <c r="D43" s="2554"/>
      <c r="E43" s="1155"/>
      <c r="F43" s="1155"/>
    </row>
    <row r="44" spans="1:6" ht="25.5" customHeight="1" thickBot="1">
      <c r="A44" s="2545" t="s">
        <v>753</v>
      </c>
      <c r="B44" s="556" t="s">
        <v>591</v>
      </c>
      <c r="C44" s="2554"/>
      <c r="D44" s="2554"/>
      <c r="E44" s="1180"/>
      <c r="F44" s="1180"/>
    </row>
    <row r="45" spans="1:6" ht="12.95" customHeight="1" thickBot="1">
      <c r="A45" s="157">
        <v>169</v>
      </c>
      <c r="B45" s="2912" t="s">
        <v>31</v>
      </c>
      <c r="C45" s="2911"/>
      <c r="D45" s="2911"/>
      <c r="E45" s="1157"/>
      <c r="F45" s="2552"/>
    </row>
    <row r="46" spans="1:6" ht="11.25" customHeight="1">
      <c r="A46" s="2546" t="s">
        <v>1788</v>
      </c>
      <c r="B46" s="5531" t="s">
        <v>811</v>
      </c>
      <c r="C46" s="5532"/>
      <c r="D46" s="5532"/>
      <c r="E46" s="5532"/>
      <c r="F46" s="5533"/>
    </row>
    <row r="47" spans="1:6" ht="12.95" customHeight="1">
      <c r="A47" s="2545" t="s">
        <v>799</v>
      </c>
      <c r="B47" s="106" t="s">
        <v>602</v>
      </c>
      <c r="C47" s="1122"/>
      <c r="D47" s="1123"/>
      <c r="E47" s="1156"/>
      <c r="F47" s="1156"/>
    </row>
    <row r="48" spans="1:6" ht="12.95" customHeight="1">
      <c r="A48" s="2545" t="s">
        <v>800</v>
      </c>
      <c r="B48" s="106" t="s">
        <v>1423</v>
      </c>
      <c r="C48" s="1122"/>
      <c r="D48" s="1123"/>
      <c r="E48" s="2553"/>
      <c r="F48" s="2553"/>
    </row>
    <row r="49" spans="1:6" ht="12.95" customHeight="1">
      <c r="A49" s="2545" t="s">
        <v>801</v>
      </c>
      <c r="B49" s="106" t="s">
        <v>603</v>
      </c>
      <c r="C49" s="1122"/>
      <c r="D49" s="1123"/>
      <c r="E49" s="2553"/>
      <c r="F49" s="2553"/>
    </row>
    <row r="50" spans="1:6" ht="12.95" customHeight="1">
      <c r="A50" s="2545" t="s">
        <v>802</v>
      </c>
      <c r="B50" s="106" t="s">
        <v>604</v>
      </c>
      <c r="C50" s="1122"/>
      <c r="D50" s="1123"/>
      <c r="E50" s="2553"/>
      <c r="F50" s="2553"/>
    </row>
    <row r="51" spans="1:6" ht="12.95" customHeight="1" thickBot="1">
      <c r="A51" s="2545" t="s">
        <v>803</v>
      </c>
      <c r="B51" s="106" t="s">
        <v>646</v>
      </c>
      <c r="C51" s="1122"/>
      <c r="D51" s="1123"/>
      <c r="E51" s="2553"/>
      <c r="F51" s="2553"/>
    </row>
    <row r="52" spans="1:6" ht="12.95" customHeight="1" thickBot="1">
      <c r="A52" s="157" t="s">
        <v>804</v>
      </c>
      <c r="B52" s="2912" t="s">
        <v>31</v>
      </c>
      <c r="C52" s="2911"/>
      <c r="D52" s="2911"/>
      <c r="E52" s="1157"/>
      <c r="F52" s="2552"/>
    </row>
    <row r="53" spans="1:6" ht="9" customHeight="1">
      <c r="A53" s="2546" t="s">
        <v>1789</v>
      </c>
      <c r="B53" s="5531" t="s">
        <v>1791</v>
      </c>
      <c r="C53" s="5532"/>
      <c r="D53" s="5532"/>
      <c r="E53" s="5532"/>
      <c r="F53" s="5533"/>
    </row>
    <row r="54" spans="1:6" ht="12.95" customHeight="1">
      <c r="A54" s="2545" t="s">
        <v>806</v>
      </c>
      <c r="B54" s="106" t="s">
        <v>1436</v>
      </c>
      <c r="C54" s="1122"/>
      <c r="D54" s="1123"/>
      <c r="E54" s="2553"/>
      <c r="F54" s="2553"/>
    </row>
    <row r="55" spans="1:6" ht="12.95" customHeight="1">
      <c r="A55" s="2545" t="s">
        <v>807</v>
      </c>
      <c r="B55" s="106" t="s">
        <v>1424</v>
      </c>
      <c r="C55" s="1122"/>
      <c r="D55" s="1123"/>
      <c r="E55" s="2553"/>
      <c r="F55" s="2553"/>
    </row>
    <row r="56" spans="1:6" ht="12.95" customHeight="1">
      <c r="A56" s="2545" t="s">
        <v>808</v>
      </c>
      <c r="B56" s="106" t="s">
        <v>1434</v>
      </c>
      <c r="C56" s="1122"/>
      <c r="D56" s="1123"/>
      <c r="E56" s="2553"/>
      <c r="F56" s="2553"/>
    </row>
    <row r="57" spans="1:6" ht="12.95" customHeight="1">
      <c r="A57" s="2545" t="s">
        <v>809</v>
      </c>
      <c r="B57" s="106" t="s">
        <v>1437</v>
      </c>
      <c r="C57" s="1122"/>
      <c r="D57" s="1123"/>
      <c r="E57" s="2553"/>
      <c r="F57" s="2553"/>
    </row>
    <row r="58" spans="1:6" ht="12.95" customHeight="1" thickBot="1">
      <c r="A58" s="2545" t="s">
        <v>810</v>
      </c>
      <c r="B58" s="106" t="s">
        <v>1435</v>
      </c>
      <c r="C58" s="1122"/>
      <c r="D58" s="1123"/>
      <c r="E58" s="2553"/>
      <c r="F58" s="2553"/>
    </row>
    <row r="59" spans="1:6" ht="12.95" customHeight="1" thickBot="1">
      <c r="A59" s="157" t="s">
        <v>805</v>
      </c>
      <c r="B59" s="2912" t="s">
        <v>31</v>
      </c>
      <c r="C59" s="2911"/>
      <c r="D59" s="2911"/>
      <c r="E59" s="1157"/>
      <c r="F59" s="2552"/>
    </row>
  </sheetData>
  <customSheetViews>
    <customSheetView guid="{BDF1A126-BD1D-4A5E-80B8-98941684E462}" showPageBreaks="1" showGridLines="0" printArea="1">
      <selection activeCell="I18" sqref="I18"/>
      <pageMargins left="0.92" right="0.25" top="0.5" bottom="0.5" header="0" footer="0"/>
      <pageSetup paperSize="9" orientation="portrait" r:id="rId1"/>
      <headerFooter alignWithMargins="0"/>
    </customSheetView>
    <customSheetView guid="{04F0793E-5444-463D-A1D5-E52E08A4C249}" showPageBreaks="1" showGridLines="0" printArea="1" topLeftCell="A31">
      <selection activeCell="C7" sqref="C7"/>
      <pageMargins left="0" right="0" top="0" bottom="0" header="0" footer="0"/>
      <printOptions horizontalCentered="1" verticalCentered="1"/>
      <pageSetup paperSize="8" orientation="portrait" horizontalDpi="300" verticalDpi="300" r:id="rId2"/>
      <headerFooter alignWithMargins="0"/>
    </customSheetView>
    <customSheetView guid="{925F74B5-C2F5-4E55-AFE4-045C56169B44}" showPageBreaks="1" showGridLines="0" printArea="1" topLeftCell="A31">
      <selection activeCell="C7" sqref="C7"/>
      <pageMargins left="0" right="0" top="0" bottom="0" header="0" footer="0"/>
      <printOptions horizontalCentered="1" verticalCentered="1"/>
      <pageSetup paperSize="8" orientation="portrait" horizontalDpi="300" verticalDpi="300" r:id="rId3"/>
      <headerFooter alignWithMargins="0"/>
    </customSheetView>
    <customSheetView guid="{1FF58891-F32F-4F97-9812-E2D02F4497AA}" showGridLines="0">
      <selection activeCell="B5" sqref="B4:F23"/>
      <pageMargins left="0.92" right="0.25" top="0.5" bottom="0.5" header="0" footer="0"/>
      <pageSetup paperSize="9" orientation="portrait" r:id="rId4"/>
      <headerFooter alignWithMargins="0"/>
    </customSheetView>
    <customSheetView guid="{2A6091F0-BAF4-46A2-BC20-0DE610E67601}" showPageBreaks="1" showGridLines="0" printArea="1">
      <selection activeCell="I18" sqref="I18"/>
      <pageMargins left="0.92" right="0.25" top="0.5" bottom="0.5" header="0" footer="0"/>
      <pageSetup paperSize="9" orientation="portrait" r:id="rId5"/>
      <headerFooter alignWithMargins="0"/>
    </customSheetView>
    <customSheetView guid="{5111FDC7-EEAC-46C3-8033-47A3563F0C00}" showPageBreaks="1" showGridLines="0" printArea="1">
      <selection activeCell="B59" sqref="B59:D59"/>
      <pageMargins left="0.92" right="0.25" top="0.5" bottom="0.5" header="0" footer="0"/>
      <pageSetup paperSize="9" orientation="portrait" r:id="rId6"/>
      <headerFooter alignWithMargins="0"/>
    </customSheetView>
    <customSheetView guid="{2A5E79E4-584C-4F65-A220-87928CEA02AF}" showPageBreaks="1" showGridLines="0" printArea="1">
      <selection activeCell="B59" sqref="B59:D59"/>
      <pageMargins left="0.92" right="0.25" top="0.5" bottom="0.5" header="0" footer="0"/>
      <pageSetup paperSize="9" orientation="portrait" r:id="rId7"/>
      <headerFooter alignWithMargins="0"/>
    </customSheetView>
    <customSheetView guid="{66872EF1-41BD-4D4B-B603-B8B0D03DAD22}" showPageBreaks="1" showGridLines="0" printArea="1">
      <selection activeCell="B59" sqref="B59:D59"/>
      <pageMargins left="0.92" right="0.25" top="0.5" bottom="0.5" header="0" footer="0"/>
      <pageSetup paperSize="9" orientation="portrait" r:id="rId8"/>
      <headerFooter alignWithMargins="0"/>
    </customSheetView>
    <customSheetView guid="{ACE56013-11B3-4BF4-BD0B-BF59142DAC13}" showPageBreaks="1" showGridLines="0" printArea="1" topLeftCell="A34">
      <selection activeCell="C47" sqref="C47"/>
      <pageMargins left="0.92" right="0.25" top="0.5" bottom="0.5" header="0" footer="0"/>
      <pageSetup paperSize="9" orientation="portrait" r:id="rId9"/>
      <headerFooter alignWithMargins="0"/>
    </customSheetView>
  </customSheetViews>
  <mergeCells count="14">
    <mergeCell ref="B27:F27"/>
    <mergeCell ref="B32:F32"/>
    <mergeCell ref="B46:F46"/>
    <mergeCell ref="B53:F53"/>
    <mergeCell ref="B9:F9"/>
    <mergeCell ref="C16:D16"/>
    <mergeCell ref="A1:E2"/>
    <mergeCell ref="C4:D4"/>
    <mergeCell ref="E4:E5"/>
    <mergeCell ref="A4:A8"/>
    <mergeCell ref="F4:F7"/>
    <mergeCell ref="C3:D3"/>
    <mergeCell ref="E6:E7"/>
    <mergeCell ref="C7:D7"/>
  </mergeCells>
  <pageMargins left="0.92" right="0.25" top="0.5" bottom="0.5" header="0" footer="0"/>
  <pageSetup paperSize="9" orientation="portrait" r:id="rId10"/>
  <headerFooter alignWithMargins="0"/>
  <drawing r:id="rId11"/>
  <legacyDrawing r:id="rId1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1391"/>
  <sheetViews>
    <sheetView showGridLines="0" view="pageBreakPreview" zoomScale="90" zoomScaleNormal="100" zoomScaleSheetLayoutView="90" workbookViewId="0">
      <selection sqref="A1:H1"/>
    </sheetView>
  </sheetViews>
  <sheetFormatPr defaultColWidth="10.140625" defaultRowHeight="12.75"/>
  <cols>
    <col min="1" max="1" width="7" style="138" customWidth="1"/>
    <col min="2" max="2" width="32.140625" style="139" customWidth="1"/>
    <col min="3" max="3" width="9.5703125" style="109" customWidth="1"/>
    <col min="4" max="4" width="2" style="109" bestFit="1" customWidth="1"/>
    <col min="5" max="5" width="12.7109375" style="109" customWidth="1"/>
    <col min="6" max="6" width="11.85546875" style="109" customWidth="1"/>
    <col min="7" max="7" width="13" style="109" customWidth="1"/>
    <col min="8" max="8" width="10.28515625" style="109" customWidth="1"/>
    <col min="9" max="9" width="2.7109375" style="137" customWidth="1"/>
    <col min="10" max="16384" width="10.140625" style="109"/>
  </cols>
  <sheetData>
    <row r="1" spans="1:13" ht="16.5" customHeight="1" thickBot="1">
      <c r="A1" s="5544" t="s">
        <v>1550</v>
      </c>
      <c r="B1" s="5544"/>
      <c r="C1" s="5544"/>
      <c r="D1" s="5544"/>
      <c r="E1" s="5544"/>
      <c r="F1" s="5544"/>
      <c r="G1" s="5544"/>
      <c r="H1" s="5545"/>
      <c r="I1" s="108"/>
      <c r="J1" s="108"/>
      <c r="K1" s="108"/>
      <c r="L1" s="108"/>
      <c r="M1" s="108"/>
    </row>
    <row r="2" spans="1:13" s="93" customFormat="1" ht="4.5" hidden="1" customHeight="1" thickBot="1">
      <c r="A2" s="2319"/>
      <c r="B2" s="2319"/>
      <c r="C2" s="91"/>
      <c r="D2" s="91"/>
      <c r="E2" s="91"/>
      <c r="F2" s="91"/>
      <c r="G2" s="91"/>
      <c r="H2" s="2555"/>
      <c r="I2" s="91"/>
      <c r="J2" s="92"/>
      <c r="K2" s="92"/>
      <c r="L2" s="92"/>
      <c r="M2" s="92"/>
    </row>
    <row r="3" spans="1:13" s="114" customFormat="1" ht="12.75" customHeight="1" thickBot="1">
      <c r="A3" s="160">
        <v>13.01</v>
      </c>
      <c r="B3" s="160">
        <v>13.02</v>
      </c>
      <c r="C3" s="5546">
        <v>13.03</v>
      </c>
      <c r="D3" s="5547"/>
      <c r="E3" s="161">
        <v>13.04</v>
      </c>
      <c r="F3" s="162">
        <v>13.05</v>
      </c>
      <c r="G3" s="163">
        <v>13.06</v>
      </c>
      <c r="H3" s="161">
        <v>13.07</v>
      </c>
      <c r="I3" s="91"/>
      <c r="J3" s="92"/>
      <c r="K3" s="92"/>
      <c r="L3" s="92"/>
      <c r="M3" s="92"/>
    </row>
    <row r="4" spans="1:13" s="115" customFormat="1" ht="14.25">
      <c r="A4" s="2321"/>
      <c r="B4" s="5548" t="s">
        <v>1873</v>
      </c>
      <c r="C4" s="5549" t="s">
        <v>1871</v>
      </c>
      <c r="D4" s="5550"/>
      <c r="E4" s="5553" t="s">
        <v>84</v>
      </c>
      <c r="F4" s="5554"/>
      <c r="G4" s="5555" t="s">
        <v>85</v>
      </c>
      <c r="H4" s="5556"/>
      <c r="I4" s="91"/>
      <c r="J4" s="92"/>
      <c r="K4" s="92"/>
      <c r="L4" s="92"/>
      <c r="M4" s="92"/>
    </row>
    <row r="5" spans="1:13" s="115" customFormat="1" ht="31.5" customHeight="1">
      <c r="A5" s="164"/>
      <c r="B5" s="5548"/>
      <c r="C5" s="5549"/>
      <c r="D5" s="5550"/>
      <c r="E5" s="5557" t="s">
        <v>1710</v>
      </c>
      <c r="F5" s="5559" t="s">
        <v>86</v>
      </c>
      <c r="G5" s="5557" t="s">
        <v>1711</v>
      </c>
      <c r="H5" s="5561" t="s">
        <v>87</v>
      </c>
      <c r="I5" s="91"/>
      <c r="J5" s="92"/>
      <c r="K5" s="92"/>
      <c r="L5" s="92"/>
      <c r="M5" s="92"/>
    </row>
    <row r="6" spans="1:13" s="115" customFormat="1" ht="31.5" customHeight="1">
      <c r="A6" s="164" t="s">
        <v>71</v>
      </c>
      <c r="B6" s="5548"/>
      <c r="C6" s="5551"/>
      <c r="D6" s="5552"/>
      <c r="E6" s="5558"/>
      <c r="F6" s="5560"/>
      <c r="G6" s="5558"/>
      <c r="H6" s="5562"/>
      <c r="I6" s="91"/>
      <c r="J6" s="92"/>
      <c r="K6" s="92"/>
      <c r="L6" s="92"/>
      <c r="M6" s="92"/>
    </row>
    <row r="7" spans="1:13" s="115" customFormat="1" ht="12" customHeight="1">
      <c r="A7" s="164"/>
      <c r="B7" s="5548"/>
      <c r="C7" s="2556" t="s">
        <v>862</v>
      </c>
      <c r="D7" s="2557">
        <v>1</v>
      </c>
      <c r="E7" s="5564" t="s">
        <v>771</v>
      </c>
      <c r="F7" s="5564" t="s">
        <v>772</v>
      </c>
      <c r="G7" s="5564" t="s">
        <v>88</v>
      </c>
      <c r="H7" s="5562"/>
      <c r="I7" s="91"/>
      <c r="J7" s="92"/>
      <c r="K7" s="92"/>
      <c r="L7" s="92"/>
      <c r="M7" s="92"/>
    </row>
    <row r="8" spans="1:13" s="115" customFormat="1" ht="12" customHeight="1">
      <c r="A8" s="164"/>
      <c r="B8" s="5548"/>
      <c r="C8" s="2318" t="s">
        <v>863</v>
      </c>
      <c r="D8" s="1164">
        <v>2</v>
      </c>
      <c r="E8" s="5564"/>
      <c r="F8" s="5564"/>
      <c r="G8" s="5564"/>
      <c r="H8" s="5562"/>
      <c r="I8" s="91"/>
      <c r="J8" s="92"/>
      <c r="K8" s="92"/>
      <c r="L8" s="92"/>
      <c r="M8" s="92"/>
    </row>
    <row r="9" spans="1:13" s="115" customFormat="1" ht="16.5" customHeight="1">
      <c r="A9" s="164"/>
      <c r="B9" s="1165"/>
      <c r="C9" s="5536" t="s">
        <v>72</v>
      </c>
      <c r="D9" s="5537"/>
      <c r="E9" s="5565"/>
      <c r="F9" s="5565"/>
      <c r="G9" s="5565"/>
      <c r="H9" s="5563"/>
      <c r="I9" s="91"/>
      <c r="J9" s="92"/>
      <c r="K9" s="92"/>
      <c r="L9" s="92"/>
      <c r="M9" s="92"/>
    </row>
    <row r="10" spans="1:13" s="120" customFormat="1" ht="14.25" thickBot="1">
      <c r="A10" s="166"/>
      <c r="B10" s="167" t="s">
        <v>73</v>
      </c>
      <c r="C10" s="117"/>
      <c r="D10" s="118"/>
      <c r="E10" s="1166" t="s">
        <v>25</v>
      </c>
      <c r="F10" s="1167" t="s">
        <v>496</v>
      </c>
      <c r="G10" s="1168" t="s">
        <v>25</v>
      </c>
      <c r="H10" s="2558" t="s">
        <v>496</v>
      </c>
      <c r="I10" s="91"/>
      <c r="J10" s="92"/>
      <c r="K10" s="92"/>
      <c r="L10" s="92"/>
      <c r="M10" s="92"/>
    </row>
    <row r="11" spans="1:13" s="123" customFormat="1" ht="10.5" customHeight="1">
      <c r="A11" s="179"/>
      <c r="B11" s="5538" t="s">
        <v>132</v>
      </c>
      <c r="C11" s="5539"/>
      <c r="D11" s="5539"/>
      <c r="E11" s="5539"/>
      <c r="F11" s="5539"/>
      <c r="G11" s="5539"/>
      <c r="H11" s="5540"/>
    </row>
    <row r="12" spans="1:13" s="123" customFormat="1" ht="13.5">
      <c r="A12" s="1154" t="s">
        <v>755</v>
      </c>
      <c r="B12" s="1124" t="s">
        <v>124</v>
      </c>
      <c r="C12" s="126"/>
      <c r="D12" s="152"/>
      <c r="E12" s="127"/>
      <c r="F12" s="128"/>
      <c r="G12" s="129"/>
      <c r="H12" s="133"/>
    </row>
    <row r="13" spans="1:13" s="123" customFormat="1" ht="13.5">
      <c r="A13" s="1154" t="s">
        <v>756</v>
      </c>
      <c r="B13" s="1124" t="s">
        <v>125</v>
      </c>
      <c r="C13" s="126"/>
      <c r="D13" s="152"/>
      <c r="E13" s="127"/>
      <c r="F13" s="128"/>
      <c r="G13" s="129"/>
      <c r="H13" s="133"/>
    </row>
    <row r="14" spans="1:13" s="123" customFormat="1" ht="23.25" customHeight="1">
      <c r="A14" s="1154" t="s">
        <v>757</v>
      </c>
      <c r="B14" s="1124" t="s">
        <v>1543</v>
      </c>
      <c r="C14" s="126"/>
      <c r="D14" s="152"/>
      <c r="E14" s="127"/>
      <c r="F14" s="128"/>
      <c r="G14" s="129"/>
      <c r="H14" s="133"/>
    </row>
    <row r="15" spans="1:13" s="123" customFormat="1" ht="22.5" customHeight="1">
      <c r="A15" s="1154" t="s">
        <v>758</v>
      </c>
      <c r="B15" s="1124" t="s">
        <v>1544</v>
      </c>
      <c r="C15" s="126"/>
      <c r="D15" s="152"/>
      <c r="E15" s="127"/>
      <c r="F15" s="128"/>
      <c r="G15" s="129"/>
      <c r="H15" s="133"/>
    </row>
    <row r="16" spans="1:13" s="123" customFormat="1" ht="14.25" thickBot="1">
      <c r="A16" s="1154" t="s">
        <v>759</v>
      </c>
      <c r="B16" s="1124" t="s">
        <v>1539</v>
      </c>
      <c r="C16" s="126"/>
      <c r="D16" s="152"/>
      <c r="E16" s="127"/>
      <c r="F16" s="128"/>
      <c r="G16" s="129"/>
      <c r="H16" s="133"/>
    </row>
    <row r="17" spans="1:8" s="123" customFormat="1" ht="16.5" customHeight="1" thickBot="1">
      <c r="A17" s="157" t="s">
        <v>760</v>
      </c>
      <c r="B17" s="2913" t="s">
        <v>31</v>
      </c>
      <c r="C17" s="3632"/>
      <c r="D17" s="3633"/>
      <c r="E17" s="3629"/>
      <c r="F17" s="3634"/>
      <c r="G17" s="3631"/>
      <c r="H17" s="2559"/>
    </row>
    <row r="18" spans="1:8" s="123" customFormat="1" ht="11.25" customHeight="1">
      <c r="A18" s="179"/>
      <c r="B18" s="5538" t="s">
        <v>133</v>
      </c>
      <c r="C18" s="5539"/>
      <c r="D18" s="5539"/>
      <c r="E18" s="5539"/>
      <c r="F18" s="5539"/>
      <c r="G18" s="5539"/>
      <c r="H18" s="5540"/>
    </row>
    <row r="19" spans="1:8" s="123" customFormat="1" ht="13.5">
      <c r="A19" s="124">
        <v>211</v>
      </c>
      <c r="B19" s="1125" t="s">
        <v>126</v>
      </c>
      <c r="C19" s="126"/>
      <c r="D19" s="152"/>
      <c r="E19" s="131"/>
      <c r="F19" s="128"/>
      <c r="G19" s="132"/>
      <c r="H19" s="133"/>
    </row>
    <row r="20" spans="1:8" s="123" customFormat="1" ht="13.5">
      <c r="A20" s="124">
        <v>212</v>
      </c>
      <c r="B20" s="1125" t="s">
        <v>127</v>
      </c>
      <c r="C20" s="126"/>
      <c r="D20" s="152"/>
      <c r="E20" s="131"/>
      <c r="F20" s="128"/>
      <c r="G20" s="132"/>
      <c r="H20" s="133"/>
    </row>
    <row r="21" spans="1:8" s="123" customFormat="1" ht="23.25" customHeight="1">
      <c r="A21" s="124">
        <v>213</v>
      </c>
      <c r="B21" s="1125" t="s">
        <v>1541</v>
      </c>
      <c r="C21" s="126"/>
      <c r="D21" s="152"/>
      <c r="E21" s="131"/>
      <c r="F21" s="128"/>
      <c r="G21" s="132"/>
      <c r="H21" s="133"/>
    </row>
    <row r="22" spans="1:8" s="123" customFormat="1" ht="23.25" customHeight="1">
      <c r="A22" s="124">
        <v>214</v>
      </c>
      <c r="B22" s="1125" t="s">
        <v>1542</v>
      </c>
      <c r="C22" s="126"/>
      <c r="D22" s="152"/>
      <c r="E22" s="131"/>
      <c r="F22" s="128"/>
      <c r="G22" s="132"/>
      <c r="H22" s="133"/>
    </row>
    <row r="23" spans="1:8" s="123" customFormat="1" ht="14.25" thickBot="1">
      <c r="A23" s="124">
        <v>215</v>
      </c>
      <c r="B23" s="1125" t="s">
        <v>1540</v>
      </c>
      <c r="C23" s="126"/>
      <c r="D23" s="152"/>
      <c r="E23" s="131"/>
      <c r="F23" s="128"/>
      <c r="G23" s="132"/>
      <c r="H23" s="133"/>
    </row>
    <row r="24" spans="1:8" s="123" customFormat="1" ht="16.5" customHeight="1" thickBot="1">
      <c r="A24" s="157" t="s">
        <v>761</v>
      </c>
      <c r="B24" s="2913" t="s">
        <v>31</v>
      </c>
      <c r="C24" s="3632"/>
      <c r="D24" s="3633"/>
      <c r="E24" s="3629"/>
      <c r="F24" s="3634"/>
      <c r="G24" s="3631"/>
      <c r="H24" s="2559"/>
    </row>
    <row r="25" spans="1:8" s="123" customFormat="1" ht="10.5" customHeight="1">
      <c r="A25" s="179"/>
      <c r="B25" s="5538" t="s">
        <v>615</v>
      </c>
      <c r="C25" s="5539"/>
      <c r="D25" s="5539"/>
      <c r="E25" s="5539"/>
      <c r="F25" s="5539"/>
      <c r="G25" s="5539"/>
      <c r="H25" s="5540"/>
    </row>
    <row r="26" spans="1:8" s="123" customFormat="1" ht="13.5">
      <c r="A26" s="1154" t="s">
        <v>762</v>
      </c>
      <c r="B26" s="1126" t="s">
        <v>1438</v>
      </c>
      <c r="C26" s="126"/>
      <c r="D26" s="152"/>
      <c r="E26" s="3628"/>
      <c r="F26" s="128"/>
      <c r="G26" s="129"/>
      <c r="H26" s="133"/>
    </row>
    <row r="27" spans="1:8" s="123" customFormat="1" ht="13.5">
      <c r="A27" s="1154" t="s">
        <v>763</v>
      </c>
      <c r="B27" s="1126" t="s">
        <v>128</v>
      </c>
      <c r="C27" s="126"/>
      <c r="D27" s="152"/>
      <c r="E27" s="3628"/>
      <c r="F27" s="128"/>
      <c r="G27" s="3628"/>
      <c r="H27" s="133"/>
    </row>
    <row r="28" spans="1:8" s="123" customFormat="1" ht="13.5">
      <c r="A28" s="1154" t="s">
        <v>764</v>
      </c>
      <c r="B28" s="1126" t="s">
        <v>129</v>
      </c>
      <c r="C28" s="126"/>
      <c r="D28" s="152"/>
      <c r="E28" s="3628"/>
      <c r="F28" s="128"/>
      <c r="G28" s="3630"/>
      <c r="H28" s="133"/>
    </row>
    <row r="29" spans="1:8" s="123" customFormat="1" ht="13.5">
      <c r="A29" s="1154" t="s">
        <v>765</v>
      </c>
      <c r="B29" s="1126" t="s">
        <v>1439</v>
      </c>
      <c r="C29" s="126"/>
      <c r="D29" s="152"/>
      <c r="E29" s="3628"/>
      <c r="F29" s="128"/>
      <c r="G29" s="3630"/>
      <c r="H29" s="133"/>
    </row>
    <row r="30" spans="1:8" s="123" customFormat="1" ht="13.5">
      <c r="A30" s="1154" t="s">
        <v>766</v>
      </c>
      <c r="B30" s="1126" t="s">
        <v>130</v>
      </c>
      <c r="C30" s="126"/>
      <c r="D30" s="152"/>
      <c r="E30" s="3628"/>
      <c r="F30" s="128"/>
      <c r="G30" s="3630"/>
      <c r="H30" s="133"/>
    </row>
    <row r="31" spans="1:8" s="123" customFormat="1" ht="14.25" thickBot="1">
      <c r="A31" s="1154" t="s">
        <v>767</v>
      </c>
      <c r="B31" s="1126" t="s">
        <v>131</v>
      </c>
      <c r="C31" s="126"/>
      <c r="D31" s="152"/>
      <c r="E31" s="3628"/>
      <c r="F31" s="128"/>
      <c r="G31" s="3630"/>
      <c r="H31" s="133"/>
    </row>
    <row r="32" spans="1:8" s="123" customFormat="1" ht="15" customHeight="1" thickBot="1">
      <c r="A32" s="157" t="s">
        <v>111</v>
      </c>
      <c r="B32" s="2913" t="s">
        <v>31</v>
      </c>
      <c r="C32" s="3632"/>
      <c r="D32" s="3633"/>
      <c r="E32" s="3629"/>
      <c r="F32" s="159"/>
      <c r="G32" s="3631"/>
      <c r="H32" s="2559"/>
    </row>
    <row r="33" spans="1:8" s="123" customFormat="1" ht="10.5" customHeight="1">
      <c r="A33" s="179"/>
      <c r="B33" s="5541" t="s">
        <v>1546</v>
      </c>
      <c r="C33" s="5542"/>
      <c r="D33" s="5542"/>
      <c r="E33" s="5542"/>
      <c r="F33" s="5542"/>
      <c r="G33" s="5542"/>
      <c r="H33" s="5543"/>
    </row>
    <row r="34" spans="1:8" s="123" customFormat="1" ht="13.5">
      <c r="A34" s="124">
        <v>231</v>
      </c>
      <c r="B34" s="1127" t="s">
        <v>134</v>
      </c>
      <c r="C34" s="154"/>
      <c r="D34" s="155"/>
      <c r="E34" s="133"/>
      <c r="F34" s="133"/>
      <c r="G34" s="133"/>
      <c r="H34" s="1158"/>
    </row>
    <row r="35" spans="1:8" s="123" customFormat="1" ht="13.5">
      <c r="A35" s="124">
        <v>232</v>
      </c>
      <c r="B35" s="1127" t="s">
        <v>1440</v>
      </c>
      <c r="C35" s="154"/>
      <c r="D35" s="155"/>
      <c r="E35" s="133"/>
      <c r="F35" s="133"/>
      <c r="G35" s="133"/>
      <c r="H35" s="1158"/>
    </row>
    <row r="36" spans="1:8" s="123" customFormat="1" ht="13.5">
      <c r="A36" s="124">
        <v>233</v>
      </c>
      <c r="B36" s="1127" t="s">
        <v>136</v>
      </c>
      <c r="C36" s="154"/>
      <c r="D36" s="155"/>
      <c r="E36" s="133"/>
      <c r="F36" s="133"/>
      <c r="G36" s="133"/>
      <c r="H36" s="1158"/>
    </row>
    <row r="37" spans="1:8" s="123" customFormat="1" ht="13.5">
      <c r="A37" s="124">
        <v>234</v>
      </c>
      <c r="B37" s="1126" t="s">
        <v>135</v>
      </c>
      <c r="C37" s="154"/>
      <c r="D37" s="155"/>
      <c r="E37" s="133"/>
      <c r="F37" s="133"/>
      <c r="G37" s="133"/>
      <c r="H37" s="1158"/>
    </row>
    <row r="38" spans="1:8" s="123" customFormat="1" ht="26.25" customHeight="1">
      <c r="A38" s="124">
        <v>235</v>
      </c>
      <c r="B38" s="1159" t="s">
        <v>137</v>
      </c>
      <c r="C38" s="154"/>
      <c r="D38" s="155"/>
      <c r="E38" s="133"/>
      <c r="F38" s="133"/>
      <c r="G38" s="133"/>
      <c r="H38" s="1158"/>
    </row>
    <row r="39" spans="1:8" s="123" customFormat="1" ht="13.5">
      <c r="A39" s="124">
        <v>236</v>
      </c>
      <c r="B39" s="1128" t="s">
        <v>138</v>
      </c>
      <c r="C39" s="154"/>
      <c r="D39" s="155"/>
      <c r="E39" s="133"/>
      <c r="F39" s="133"/>
      <c r="G39" s="133"/>
      <c r="H39" s="1158"/>
    </row>
    <row r="40" spans="1:8" s="123" customFormat="1" ht="13.5">
      <c r="A40" s="124">
        <v>237</v>
      </c>
      <c r="B40" s="1128" t="s">
        <v>139</v>
      </c>
      <c r="C40" s="154"/>
      <c r="D40" s="155"/>
      <c r="E40" s="133"/>
      <c r="F40" s="133"/>
      <c r="G40" s="133"/>
      <c r="H40" s="1158"/>
    </row>
    <row r="41" spans="1:8" s="123" customFormat="1" ht="13.5">
      <c r="A41" s="124">
        <v>238</v>
      </c>
      <c r="B41" s="1128" t="s">
        <v>140</v>
      </c>
      <c r="C41" s="154"/>
      <c r="D41" s="155"/>
      <c r="E41" s="133"/>
      <c r="F41" s="133"/>
      <c r="G41" s="133"/>
      <c r="H41" s="1158"/>
    </row>
    <row r="42" spans="1:8" s="123" customFormat="1" ht="13.5">
      <c r="A42" s="124">
        <v>239</v>
      </c>
      <c r="B42" s="1128" t="s">
        <v>1441</v>
      </c>
      <c r="C42" s="154"/>
      <c r="D42" s="155"/>
      <c r="E42" s="133"/>
      <c r="F42" s="133"/>
      <c r="G42" s="133"/>
      <c r="H42" s="1158"/>
    </row>
    <row r="43" spans="1:8" s="123" customFormat="1" ht="26.25" thickBot="1">
      <c r="A43" s="124">
        <v>240</v>
      </c>
      <c r="B43" s="1128" t="s">
        <v>1547</v>
      </c>
      <c r="C43" s="154"/>
      <c r="D43" s="155"/>
      <c r="E43" s="133"/>
      <c r="F43" s="133"/>
      <c r="G43" s="133"/>
      <c r="H43" s="2560"/>
    </row>
    <row r="44" spans="1:8" s="123" customFormat="1" ht="14.25" customHeight="1" thickBot="1">
      <c r="A44" s="157">
        <v>249</v>
      </c>
      <c r="B44" s="2913" t="s">
        <v>31</v>
      </c>
      <c r="C44" s="3632"/>
      <c r="D44" s="3633"/>
      <c r="E44" s="3629"/>
      <c r="F44" s="3634"/>
      <c r="G44" s="3631"/>
      <c r="H44" s="2559"/>
    </row>
    <row r="45" spans="1:8" s="123" customFormat="1" ht="11.25" customHeight="1">
      <c r="A45" s="179"/>
      <c r="B45" s="5541" t="s">
        <v>141</v>
      </c>
      <c r="C45" s="5542"/>
      <c r="D45" s="5542"/>
      <c r="E45" s="5542"/>
      <c r="F45" s="5542"/>
      <c r="G45" s="5542"/>
      <c r="H45" s="5543"/>
    </row>
    <row r="46" spans="1:8" s="123" customFormat="1" ht="13.5">
      <c r="A46" s="124">
        <v>251</v>
      </c>
      <c r="B46" s="1129" t="s">
        <v>142</v>
      </c>
      <c r="C46" s="154"/>
      <c r="D46" s="155"/>
      <c r="E46" s="133"/>
      <c r="F46" s="133"/>
      <c r="G46" s="133"/>
      <c r="H46" s="1158"/>
    </row>
    <row r="47" spans="1:8" s="123" customFormat="1" ht="13.5">
      <c r="A47" s="124">
        <v>252</v>
      </c>
      <c r="B47" s="1129" t="s">
        <v>143</v>
      </c>
      <c r="C47" s="154"/>
      <c r="D47" s="155"/>
      <c r="E47" s="133"/>
      <c r="F47" s="133"/>
      <c r="G47" s="133"/>
      <c r="H47" s="1158"/>
    </row>
    <row r="48" spans="1:8" s="123" customFormat="1" ht="13.5">
      <c r="A48" s="124">
        <v>253</v>
      </c>
      <c r="B48" s="1129" t="s">
        <v>144</v>
      </c>
      <c r="C48" s="154"/>
      <c r="D48" s="155"/>
      <c r="E48" s="133"/>
      <c r="F48" s="133"/>
      <c r="G48" s="133"/>
      <c r="H48" s="1158"/>
    </row>
    <row r="49" spans="1:13" s="123" customFormat="1" ht="13.5">
      <c r="A49" s="124">
        <v>254</v>
      </c>
      <c r="B49" s="1129" t="s">
        <v>145</v>
      </c>
      <c r="C49" s="154"/>
      <c r="D49" s="155"/>
      <c r="E49" s="133"/>
      <c r="F49" s="133"/>
      <c r="G49" s="133"/>
      <c r="H49" s="1158"/>
    </row>
    <row r="50" spans="1:13" s="123" customFormat="1" ht="26.25" customHeight="1">
      <c r="A50" s="124">
        <v>255</v>
      </c>
      <c r="B50" s="1128" t="s">
        <v>1545</v>
      </c>
      <c r="C50" s="154"/>
      <c r="D50" s="155"/>
      <c r="E50" s="133"/>
      <c r="F50" s="133"/>
      <c r="G50" s="133"/>
      <c r="H50" s="1158"/>
    </row>
    <row r="51" spans="1:13" s="123" customFormat="1" ht="13.5">
      <c r="A51" s="124">
        <v>256</v>
      </c>
      <c r="B51" s="1129" t="s">
        <v>146</v>
      </c>
      <c r="C51" s="154"/>
      <c r="D51" s="155"/>
      <c r="E51" s="133"/>
      <c r="F51" s="133"/>
      <c r="G51" s="133"/>
      <c r="H51" s="1158"/>
    </row>
    <row r="52" spans="1:13" s="123" customFormat="1" ht="13.5">
      <c r="A52" s="124">
        <v>257</v>
      </c>
      <c r="B52" s="1129" t="s">
        <v>147</v>
      </c>
      <c r="C52" s="154"/>
      <c r="D52" s="155"/>
      <c r="E52" s="133"/>
      <c r="F52" s="133"/>
      <c r="G52" s="133"/>
      <c r="H52" s="1158"/>
    </row>
    <row r="53" spans="1:13" s="123" customFormat="1" ht="13.5">
      <c r="A53" s="124">
        <v>258</v>
      </c>
      <c r="B53" s="1129" t="s">
        <v>148</v>
      </c>
      <c r="C53" s="154"/>
      <c r="D53" s="155"/>
      <c r="E53" s="133"/>
      <c r="F53" s="133"/>
      <c r="G53" s="133"/>
      <c r="H53" s="1158"/>
    </row>
    <row r="54" spans="1:13" s="123" customFormat="1" ht="12.75" customHeight="1" thickBot="1">
      <c r="A54" s="124">
        <v>259</v>
      </c>
      <c r="B54" s="1129" t="s">
        <v>1548</v>
      </c>
      <c r="C54" s="154"/>
      <c r="D54" s="155"/>
      <c r="E54" s="1161"/>
      <c r="F54" s="133"/>
      <c r="G54" s="133"/>
      <c r="H54" s="1160"/>
    </row>
    <row r="55" spans="1:13" s="123" customFormat="1" ht="15" customHeight="1" thickBot="1">
      <c r="A55" s="157">
        <v>269</v>
      </c>
      <c r="B55" s="2914" t="s">
        <v>31</v>
      </c>
      <c r="C55" s="3632"/>
      <c r="D55" s="3633"/>
      <c r="E55" s="3629"/>
      <c r="F55" s="3634"/>
      <c r="G55" s="3631"/>
      <c r="H55" s="2559"/>
    </row>
    <row r="56" spans="1:13" s="123" customFormat="1" ht="15" customHeight="1">
      <c r="A56" s="3344"/>
      <c r="B56" s="3345" t="s">
        <v>1792</v>
      </c>
      <c r="C56" s="3346"/>
      <c r="D56" s="3346"/>
      <c r="E56" s="3347"/>
      <c r="F56" s="3348"/>
      <c r="G56" s="3349"/>
      <c r="H56" s="3350"/>
    </row>
    <row r="57" spans="1:13">
      <c r="A57" s="134"/>
      <c r="B57" s="135"/>
      <c r="C57" s="92"/>
      <c r="D57" s="92"/>
      <c r="E57" s="92"/>
      <c r="F57" s="92"/>
      <c r="G57" s="92"/>
      <c r="H57" s="92"/>
      <c r="I57" s="91"/>
      <c r="J57" s="92"/>
      <c r="K57" s="92"/>
      <c r="L57" s="92"/>
      <c r="M57" s="92"/>
    </row>
    <row r="58" spans="1:13">
      <c r="A58" s="134"/>
      <c r="B58" s="135"/>
      <c r="C58" s="92"/>
      <c r="D58" s="92"/>
      <c r="E58" s="92"/>
      <c r="F58" s="92"/>
      <c r="G58" s="92"/>
      <c r="H58" s="92"/>
      <c r="I58" s="91"/>
      <c r="J58" s="92"/>
      <c r="K58" s="92"/>
      <c r="L58" s="92"/>
      <c r="M58" s="92"/>
    </row>
    <row r="59" spans="1:13">
      <c r="A59" s="134"/>
      <c r="B59" s="135"/>
      <c r="C59" s="92"/>
      <c r="D59" s="92"/>
      <c r="E59" s="92"/>
      <c r="F59" s="92"/>
      <c r="G59" s="92"/>
      <c r="H59" s="92"/>
      <c r="I59" s="91"/>
      <c r="J59" s="92"/>
      <c r="K59" s="92"/>
      <c r="L59" s="92"/>
      <c r="M59" s="92"/>
    </row>
    <row r="60" spans="1:13">
      <c r="A60" s="134"/>
      <c r="B60" s="135"/>
      <c r="C60" s="92"/>
      <c r="D60" s="92"/>
      <c r="E60" s="92"/>
      <c r="F60" s="92"/>
      <c r="G60" s="92"/>
      <c r="H60" s="92"/>
      <c r="I60" s="91"/>
      <c r="J60" s="92"/>
      <c r="K60" s="92"/>
      <c r="L60" s="92"/>
      <c r="M60" s="92"/>
    </row>
    <row r="61" spans="1:13">
      <c r="A61" s="134"/>
      <c r="B61" s="135"/>
      <c r="C61" s="92"/>
      <c r="D61" s="92"/>
      <c r="E61" s="92"/>
      <c r="F61" s="92"/>
      <c r="G61" s="92"/>
      <c r="H61" s="92"/>
      <c r="I61" s="91"/>
      <c r="J61" s="92"/>
      <c r="K61" s="92"/>
      <c r="L61" s="92"/>
      <c r="M61" s="92"/>
    </row>
    <row r="62" spans="1:13">
      <c r="A62" s="134"/>
      <c r="B62" s="135"/>
      <c r="C62" s="92"/>
      <c r="D62" s="92"/>
      <c r="E62" s="92"/>
      <c r="F62" s="92"/>
      <c r="G62" s="92"/>
      <c r="H62" s="92"/>
      <c r="I62" s="91"/>
      <c r="J62" s="92"/>
      <c r="K62" s="92"/>
      <c r="L62" s="92"/>
      <c r="M62" s="92"/>
    </row>
    <row r="63" spans="1:13">
      <c r="A63" s="134"/>
      <c r="B63" s="135"/>
      <c r="C63" s="92"/>
      <c r="D63" s="92"/>
      <c r="E63" s="92"/>
      <c r="F63" s="92"/>
      <c r="G63" s="92"/>
      <c r="H63" s="92"/>
      <c r="I63" s="91"/>
      <c r="J63" s="92"/>
      <c r="K63" s="92"/>
      <c r="L63" s="92"/>
      <c r="M63" s="92"/>
    </row>
    <row r="64" spans="1:13">
      <c r="A64" s="134"/>
      <c r="B64" s="135"/>
      <c r="C64" s="92"/>
      <c r="D64" s="92"/>
      <c r="E64" s="92"/>
      <c r="F64" s="92"/>
      <c r="G64" s="92"/>
      <c r="H64" s="92"/>
      <c r="I64" s="91"/>
      <c r="J64" s="92"/>
      <c r="K64" s="92"/>
      <c r="L64" s="92"/>
      <c r="M64" s="92"/>
    </row>
    <row r="65" spans="1:13">
      <c r="A65" s="134"/>
      <c r="B65" s="135"/>
      <c r="C65" s="92"/>
      <c r="D65" s="92"/>
      <c r="E65" s="92"/>
      <c r="F65" s="92"/>
      <c r="G65" s="92"/>
      <c r="H65" s="92"/>
      <c r="I65" s="91"/>
      <c r="J65" s="92"/>
      <c r="K65" s="92"/>
      <c r="L65" s="92"/>
      <c r="M65" s="92"/>
    </row>
    <row r="66" spans="1:13">
      <c r="A66" s="134"/>
      <c r="B66" s="135"/>
      <c r="C66" s="92"/>
      <c r="D66" s="92"/>
      <c r="E66" s="92"/>
      <c r="F66" s="92"/>
      <c r="G66" s="92"/>
      <c r="H66" s="92"/>
      <c r="I66" s="91"/>
      <c r="J66" s="92"/>
      <c r="K66" s="92"/>
      <c r="L66" s="92"/>
      <c r="M66" s="92"/>
    </row>
    <row r="67" spans="1:13">
      <c r="A67" s="134"/>
      <c r="B67" s="135"/>
      <c r="C67" s="92"/>
      <c r="D67" s="92"/>
      <c r="E67" s="92"/>
      <c r="F67" s="92"/>
      <c r="G67" s="92"/>
      <c r="H67" s="92"/>
      <c r="I67" s="91"/>
      <c r="J67" s="92"/>
      <c r="K67" s="92"/>
      <c r="L67" s="92"/>
      <c r="M67" s="92"/>
    </row>
    <row r="68" spans="1:13">
      <c r="A68" s="134"/>
      <c r="B68" s="135"/>
      <c r="C68" s="92"/>
      <c r="D68" s="92"/>
      <c r="E68" s="92"/>
      <c r="F68" s="92"/>
      <c r="G68" s="92"/>
      <c r="H68" s="92"/>
      <c r="I68" s="91"/>
      <c r="J68" s="92"/>
      <c r="K68" s="92"/>
      <c r="L68" s="92"/>
      <c r="M68" s="92"/>
    </row>
    <row r="69" spans="1:13">
      <c r="A69" s="134"/>
      <c r="B69" s="135"/>
      <c r="C69" s="92"/>
      <c r="D69" s="92"/>
      <c r="E69" s="92"/>
      <c r="F69" s="92"/>
      <c r="G69" s="92"/>
      <c r="H69" s="92"/>
      <c r="I69" s="91"/>
      <c r="J69" s="92"/>
      <c r="K69" s="92"/>
      <c r="L69" s="92"/>
      <c r="M69" s="92"/>
    </row>
    <row r="70" spans="1:13">
      <c r="A70" s="134"/>
      <c r="B70" s="135"/>
      <c r="C70" s="92"/>
      <c r="D70" s="92"/>
      <c r="E70" s="92"/>
      <c r="F70" s="92"/>
      <c r="G70" s="92"/>
      <c r="H70" s="92"/>
      <c r="I70" s="91"/>
      <c r="J70" s="92"/>
      <c r="K70" s="92"/>
      <c r="L70" s="92"/>
      <c r="M70" s="92"/>
    </row>
    <row r="71" spans="1:13">
      <c r="A71" s="134"/>
      <c r="B71" s="135"/>
      <c r="C71" s="92"/>
      <c r="D71" s="92"/>
      <c r="E71" s="92"/>
      <c r="F71" s="92"/>
      <c r="G71" s="92"/>
      <c r="H71" s="92"/>
      <c r="I71" s="91"/>
      <c r="J71" s="92"/>
      <c r="K71" s="92"/>
      <c r="L71" s="92"/>
      <c r="M71" s="92"/>
    </row>
    <row r="72" spans="1:13">
      <c r="A72" s="134"/>
      <c r="B72" s="135"/>
      <c r="C72" s="92"/>
      <c r="D72" s="92"/>
      <c r="E72" s="92"/>
      <c r="F72" s="92"/>
      <c r="G72" s="92"/>
      <c r="H72" s="92"/>
      <c r="I72" s="91"/>
      <c r="J72" s="92"/>
      <c r="K72" s="92"/>
      <c r="L72" s="92"/>
      <c r="M72" s="92"/>
    </row>
    <row r="73" spans="1:13">
      <c r="A73" s="134"/>
      <c r="B73" s="135"/>
      <c r="C73" s="92"/>
      <c r="D73" s="92"/>
      <c r="E73" s="92"/>
      <c r="F73" s="92"/>
      <c r="G73" s="92"/>
      <c r="H73" s="92"/>
      <c r="I73" s="91"/>
      <c r="J73" s="92"/>
      <c r="K73" s="92"/>
      <c r="L73" s="92"/>
      <c r="M73" s="92"/>
    </row>
    <row r="74" spans="1:13">
      <c r="A74" s="134"/>
      <c r="B74" s="135"/>
      <c r="C74" s="92"/>
      <c r="D74" s="92"/>
      <c r="E74" s="92"/>
      <c r="F74" s="92"/>
      <c r="G74" s="92"/>
      <c r="H74" s="92"/>
      <c r="I74" s="91"/>
      <c r="J74" s="92"/>
      <c r="K74" s="92"/>
      <c r="L74" s="92"/>
      <c r="M74" s="92"/>
    </row>
    <row r="75" spans="1:13">
      <c r="A75" s="134"/>
      <c r="B75" s="135"/>
      <c r="C75" s="92"/>
      <c r="D75" s="92"/>
      <c r="E75" s="92"/>
      <c r="F75" s="92"/>
      <c r="G75" s="92"/>
      <c r="H75" s="92"/>
      <c r="I75" s="91"/>
      <c r="J75" s="92"/>
      <c r="K75" s="92"/>
      <c r="L75" s="92"/>
      <c r="M75" s="92"/>
    </row>
    <row r="76" spans="1:13">
      <c r="A76" s="134"/>
      <c r="B76" s="135"/>
      <c r="C76" s="92"/>
      <c r="D76" s="92"/>
      <c r="E76" s="92"/>
      <c r="F76" s="92"/>
      <c r="G76" s="92"/>
      <c r="H76" s="92"/>
      <c r="I76" s="91"/>
      <c r="J76" s="92"/>
      <c r="K76" s="92"/>
      <c r="L76" s="92"/>
      <c r="M76" s="92"/>
    </row>
    <row r="77" spans="1:13">
      <c r="A77" s="134"/>
      <c r="B77" s="135"/>
      <c r="C77" s="92"/>
      <c r="D77" s="92"/>
      <c r="E77" s="92"/>
      <c r="F77" s="92"/>
      <c r="G77" s="92"/>
      <c r="H77" s="92"/>
      <c r="I77" s="91"/>
      <c r="J77" s="92"/>
      <c r="K77" s="92"/>
      <c r="L77" s="92"/>
      <c r="M77" s="92"/>
    </row>
    <row r="78" spans="1:13">
      <c r="A78" s="134"/>
      <c r="B78" s="135"/>
      <c r="C78" s="92"/>
      <c r="D78" s="92"/>
      <c r="E78" s="92"/>
      <c r="F78" s="92"/>
      <c r="G78" s="92"/>
      <c r="H78" s="92"/>
      <c r="I78" s="91"/>
      <c r="J78" s="92"/>
      <c r="K78" s="92"/>
      <c r="L78" s="92"/>
      <c r="M78" s="92"/>
    </row>
    <row r="79" spans="1:13">
      <c r="A79" s="134"/>
      <c r="B79" s="135"/>
      <c r="C79" s="92"/>
      <c r="D79" s="92"/>
      <c r="E79" s="92"/>
      <c r="F79" s="92"/>
      <c r="G79" s="92"/>
      <c r="H79" s="92"/>
      <c r="I79" s="91"/>
      <c r="J79" s="92"/>
      <c r="K79" s="92"/>
      <c r="L79" s="92"/>
      <c r="M79" s="92"/>
    </row>
    <row r="80" spans="1:13">
      <c r="A80" s="134"/>
      <c r="B80" s="135"/>
      <c r="C80" s="92"/>
      <c r="D80" s="92"/>
      <c r="E80" s="92"/>
      <c r="F80" s="92"/>
      <c r="G80" s="92"/>
      <c r="H80" s="92"/>
      <c r="I80" s="91"/>
      <c r="J80" s="92"/>
      <c r="K80" s="92"/>
      <c r="L80" s="92"/>
      <c r="M80" s="92"/>
    </row>
    <row r="81" spans="1:13">
      <c r="A81" s="134"/>
      <c r="B81" s="135"/>
      <c r="C81" s="92"/>
      <c r="D81" s="92"/>
      <c r="E81" s="92"/>
      <c r="F81" s="92"/>
      <c r="G81" s="92"/>
      <c r="H81" s="92"/>
      <c r="I81" s="91"/>
      <c r="J81" s="92"/>
      <c r="K81" s="92"/>
      <c r="L81" s="92"/>
      <c r="M81" s="92"/>
    </row>
    <row r="82" spans="1:13">
      <c r="A82" s="134"/>
      <c r="B82" s="135"/>
      <c r="C82" s="92"/>
      <c r="D82" s="92"/>
      <c r="E82" s="92"/>
      <c r="F82" s="92"/>
      <c r="G82" s="92"/>
      <c r="H82" s="92"/>
      <c r="I82" s="91"/>
      <c r="J82" s="92"/>
      <c r="K82" s="92"/>
      <c r="L82" s="92"/>
      <c r="M82" s="92"/>
    </row>
    <row r="83" spans="1:13">
      <c r="A83" s="134"/>
      <c r="B83" s="135"/>
      <c r="C83" s="92"/>
      <c r="D83" s="92"/>
      <c r="E83" s="92"/>
      <c r="F83" s="92"/>
      <c r="G83" s="92"/>
      <c r="H83" s="92"/>
      <c r="I83" s="91"/>
      <c r="J83" s="92"/>
      <c r="K83" s="92"/>
      <c r="L83" s="92"/>
      <c r="M83" s="92"/>
    </row>
    <row r="84" spans="1:13">
      <c r="A84" s="134"/>
      <c r="B84" s="135"/>
      <c r="C84" s="92"/>
      <c r="D84" s="92"/>
      <c r="E84" s="92"/>
      <c r="F84" s="92"/>
      <c r="G84" s="92"/>
      <c r="H84" s="92"/>
      <c r="I84" s="91"/>
      <c r="J84" s="92"/>
      <c r="K84" s="92"/>
      <c r="L84" s="92"/>
      <c r="M84" s="92"/>
    </row>
    <row r="85" spans="1:13">
      <c r="A85" s="134"/>
      <c r="B85" s="135"/>
      <c r="C85" s="92"/>
      <c r="D85" s="92"/>
      <c r="E85" s="92"/>
      <c r="F85" s="92"/>
      <c r="G85" s="92"/>
      <c r="H85" s="92"/>
      <c r="I85" s="91"/>
      <c r="J85" s="92"/>
      <c r="K85" s="92"/>
      <c r="L85" s="92"/>
      <c r="M85" s="92"/>
    </row>
    <row r="86" spans="1:13">
      <c r="A86" s="134"/>
      <c r="B86" s="135"/>
      <c r="C86" s="92"/>
      <c r="D86" s="92"/>
      <c r="E86" s="92"/>
      <c r="F86" s="92"/>
      <c r="G86" s="92"/>
      <c r="H86" s="92"/>
      <c r="I86" s="91"/>
      <c r="J86" s="92"/>
      <c r="K86" s="92"/>
      <c r="L86" s="92"/>
      <c r="M86" s="92"/>
    </row>
    <row r="87" spans="1:13">
      <c r="A87" s="134"/>
      <c r="B87" s="135"/>
      <c r="C87" s="92"/>
      <c r="D87" s="92"/>
      <c r="E87" s="92"/>
      <c r="F87" s="92"/>
      <c r="G87" s="92"/>
      <c r="H87" s="92"/>
      <c r="I87" s="91"/>
      <c r="J87" s="92"/>
      <c r="K87" s="92"/>
      <c r="L87" s="92"/>
      <c r="M87" s="92"/>
    </row>
    <row r="88" spans="1:13">
      <c r="A88" s="134"/>
      <c r="B88" s="135"/>
      <c r="C88" s="92"/>
      <c r="D88" s="92"/>
      <c r="E88" s="92"/>
      <c r="F88" s="92"/>
      <c r="G88" s="92"/>
      <c r="H88" s="92"/>
      <c r="I88" s="91"/>
      <c r="J88" s="92"/>
      <c r="K88" s="92"/>
      <c r="L88" s="92"/>
      <c r="M88" s="92"/>
    </row>
    <row r="89" spans="1:13">
      <c r="A89" s="134"/>
      <c r="B89" s="135"/>
      <c r="C89" s="92"/>
      <c r="D89" s="92"/>
      <c r="E89" s="92"/>
      <c r="F89" s="92"/>
      <c r="G89" s="92"/>
      <c r="H89" s="92"/>
      <c r="I89" s="91"/>
      <c r="J89" s="92"/>
      <c r="K89" s="92"/>
      <c r="L89" s="92"/>
      <c r="M89" s="92"/>
    </row>
    <row r="90" spans="1:13">
      <c r="A90" s="134"/>
      <c r="B90" s="135"/>
      <c r="C90" s="92"/>
      <c r="D90" s="92"/>
      <c r="E90" s="92"/>
      <c r="F90" s="92"/>
      <c r="G90" s="92"/>
      <c r="H90" s="92"/>
      <c r="I90" s="91"/>
      <c r="J90" s="92"/>
      <c r="K90" s="92"/>
      <c r="L90" s="92"/>
      <c r="M90" s="92"/>
    </row>
    <row r="91" spans="1:13">
      <c r="A91" s="134"/>
      <c r="B91" s="135"/>
      <c r="C91" s="92"/>
      <c r="D91" s="92"/>
      <c r="E91" s="92"/>
      <c r="F91" s="92"/>
      <c r="G91" s="92"/>
      <c r="H91" s="92"/>
      <c r="I91" s="91"/>
      <c r="J91" s="92"/>
      <c r="K91" s="92"/>
      <c r="L91" s="92"/>
      <c r="M91" s="92"/>
    </row>
    <row r="92" spans="1:13">
      <c r="A92" s="134"/>
      <c r="B92" s="135"/>
      <c r="C92" s="92"/>
      <c r="D92" s="92"/>
      <c r="E92" s="92"/>
      <c r="F92" s="92"/>
      <c r="G92" s="92"/>
      <c r="H92" s="92"/>
      <c r="I92" s="91"/>
      <c r="J92" s="92"/>
      <c r="K92" s="92"/>
      <c r="L92" s="92"/>
      <c r="M92" s="92"/>
    </row>
    <row r="93" spans="1:13">
      <c r="A93" s="134"/>
      <c r="B93" s="135"/>
      <c r="C93" s="92"/>
      <c r="D93" s="92"/>
      <c r="E93" s="92"/>
      <c r="F93" s="92"/>
      <c r="G93" s="92"/>
      <c r="H93" s="92"/>
      <c r="I93" s="91"/>
      <c r="J93" s="92"/>
      <c r="K93" s="92"/>
      <c r="L93" s="92"/>
      <c r="M93" s="92"/>
    </row>
    <row r="94" spans="1:13">
      <c r="A94" s="134"/>
      <c r="B94" s="135"/>
      <c r="C94" s="92"/>
      <c r="D94" s="92"/>
      <c r="E94" s="92"/>
      <c r="F94" s="92"/>
      <c r="G94" s="92"/>
      <c r="H94" s="92"/>
      <c r="I94" s="91"/>
      <c r="J94" s="92"/>
      <c r="K94" s="92"/>
      <c r="L94" s="92"/>
      <c r="M94" s="92"/>
    </row>
    <row r="95" spans="1:13">
      <c r="A95" s="134"/>
      <c r="B95" s="135"/>
      <c r="C95" s="92"/>
      <c r="D95" s="92"/>
      <c r="E95" s="92"/>
      <c r="F95" s="92"/>
      <c r="G95" s="92"/>
      <c r="H95" s="92"/>
      <c r="I95" s="91"/>
      <c r="J95" s="92"/>
      <c r="K95" s="92"/>
      <c r="L95" s="92"/>
      <c r="M95" s="92"/>
    </row>
    <row r="96" spans="1:13">
      <c r="A96" s="134"/>
      <c r="B96" s="135"/>
      <c r="C96" s="92"/>
      <c r="D96" s="92"/>
      <c r="E96" s="92"/>
      <c r="F96" s="92"/>
      <c r="G96" s="92"/>
      <c r="H96" s="92"/>
      <c r="I96" s="91"/>
      <c r="J96" s="92"/>
      <c r="K96" s="92"/>
      <c r="L96" s="92"/>
      <c r="M96" s="92"/>
    </row>
    <row r="97" spans="1:13">
      <c r="A97" s="134"/>
      <c r="B97" s="135"/>
      <c r="C97" s="92"/>
      <c r="D97" s="92"/>
      <c r="E97" s="92"/>
      <c r="F97" s="92"/>
      <c r="G97" s="92"/>
      <c r="H97" s="92"/>
      <c r="I97" s="91"/>
      <c r="J97" s="92"/>
      <c r="K97" s="92"/>
      <c r="L97" s="92"/>
      <c r="M97" s="92"/>
    </row>
    <row r="98" spans="1:13">
      <c r="A98" s="134"/>
      <c r="B98" s="135"/>
      <c r="C98" s="92"/>
      <c r="D98" s="92"/>
      <c r="E98" s="92"/>
      <c r="F98" s="92"/>
      <c r="G98" s="92"/>
      <c r="H98" s="92"/>
      <c r="I98" s="91"/>
      <c r="J98" s="92"/>
      <c r="K98" s="92"/>
      <c r="L98" s="92"/>
      <c r="M98" s="92"/>
    </row>
    <row r="99" spans="1:13">
      <c r="A99" s="134"/>
      <c r="B99" s="135"/>
      <c r="C99" s="92"/>
      <c r="D99" s="92"/>
      <c r="E99" s="92"/>
      <c r="F99" s="92"/>
      <c r="G99" s="92"/>
      <c r="H99" s="92"/>
      <c r="I99" s="91"/>
      <c r="J99" s="92"/>
      <c r="K99" s="92"/>
      <c r="L99" s="92"/>
      <c r="M99" s="92"/>
    </row>
    <row r="100" spans="1:13">
      <c r="A100" s="134"/>
      <c r="B100" s="135"/>
      <c r="C100" s="92"/>
      <c r="D100" s="92"/>
      <c r="E100" s="92"/>
      <c r="F100" s="92"/>
      <c r="G100" s="92"/>
      <c r="H100" s="92"/>
      <c r="I100" s="91"/>
      <c r="J100" s="92"/>
      <c r="K100" s="92"/>
      <c r="L100" s="92"/>
      <c r="M100" s="92"/>
    </row>
    <row r="101" spans="1:13">
      <c r="A101" s="134"/>
      <c r="B101" s="135"/>
      <c r="C101" s="92"/>
      <c r="D101" s="92"/>
      <c r="E101" s="92"/>
      <c r="F101" s="92"/>
      <c r="G101" s="92"/>
      <c r="H101" s="92"/>
      <c r="I101" s="91"/>
      <c r="J101" s="92"/>
      <c r="K101" s="92"/>
      <c r="L101" s="92"/>
      <c r="M101" s="92"/>
    </row>
    <row r="102" spans="1:13">
      <c r="A102" s="134"/>
      <c r="B102" s="135"/>
      <c r="C102" s="92"/>
      <c r="D102" s="92"/>
      <c r="E102" s="92"/>
      <c r="F102" s="92"/>
      <c r="G102" s="92"/>
      <c r="H102" s="92"/>
      <c r="I102" s="91"/>
      <c r="J102" s="92"/>
      <c r="K102" s="92"/>
      <c r="L102" s="92"/>
      <c r="M102" s="92"/>
    </row>
    <row r="103" spans="1:13">
      <c r="A103" s="134"/>
      <c r="B103" s="135"/>
      <c r="C103" s="92"/>
      <c r="D103" s="92"/>
      <c r="E103" s="92"/>
      <c r="F103" s="92"/>
      <c r="G103" s="92"/>
      <c r="H103" s="92"/>
      <c r="I103" s="91"/>
      <c r="J103" s="92"/>
      <c r="K103" s="92"/>
      <c r="L103" s="92"/>
      <c r="M103" s="92"/>
    </row>
    <row r="104" spans="1:13">
      <c r="A104" s="134"/>
      <c r="B104" s="135"/>
      <c r="C104" s="92"/>
      <c r="D104" s="92"/>
      <c r="E104" s="92"/>
      <c r="F104" s="92"/>
      <c r="G104" s="92"/>
      <c r="H104" s="92"/>
      <c r="I104" s="91"/>
      <c r="J104" s="92"/>
      <c r="K104" s="92"/>
      <c r="L104" s="92"/>
      <c r="M104" s="92"/>
    </row>
    <row r="105" spans="1:13">
      <c r="A105" s="134"/>
      <c r="B105" s="135"/>
      <c r="C105" s="92"/>
      <c r="D105" s="92"/>
      <c r="E105" s="92"/>
      <c r="F105" s="92"/>
      <c r="G105" s="92"/>
      <c r="H105" s="92"/>
      <c r="I105" s="91"/>
      <c r="J105" s="92"/>
      <c r="K105" s="92"/>
      <c r="L105" s="92"/>
      <c r="M105" s="92"/>
    </row>
    <row r="106" spans="1:13">
      <c r="A106" s="134"/>
      <c r="B106" s="135"/>
      <c r="C106" s="92"/>
      <c r="D106" s="92"/>
      <c r="E106" s="92"/>
      <c r="F106" s="92"/>
      <c r="G106" s="92"/>
      <c r="H106" s="92"/>
      <c r="I106" s="91"/>
      <c r="J106" s="92"/>
      <c r="K106" s="92"/>
      <c r="L106" s="92"/>
      <c r="M106" s="92"/>
    </row>
    <row r="107" spans="1:13">
      <c r="A107" s="134"/>
      <c r="B107" s="135"/>
      <c r="C107" s="92"/>
      <c r="D107" s="92"/>
      <c r="E107" s="92"/>
      <c r="F107" s="92"/>
      <c r="G107" s="92"/>
      <c r="H107" s="92"/>
      <c r="I107" s="91"/>
      <c r="J107" s="92"/>
      <c r="K107" s="92"/>
      <c r="L107" s="92"/>
      <c r="M107" s="92"/>
    </row>
    <row r="108" spans="1:13">
      <c r="A108" s="134"/>
      <c r="B108" s="135"/>
      <c r="C108" s="92"/>
      <c r="D108" s="92"/>
      <c r="E108" s="92"/>
      <c r="F108" s="92"/>
      <c r="G108" s="92"/>
      <c r="H108" s="92"/>
      <c r="I108" s="91"/>
      <c r="J108" s="92"/>
      <c r="K108" s="92"/>
      <c r="L108" s="92"/>
      <c r="M108" s="92"/>
    </row>
    <row r="109" spans="1:13">
      <c r="A109" s="134"/>
      <c r="B109" s="135"/>
      <c r="C109" s="92"/>
      <c r="D109" s="92"/>
      <c r="E109" s="92"/>
      <c r="F109" s="92"/>
      <c r="G109" s="92"/>
      <c r="H109" s="92"/>
      <c r="I109" s="91"/>
      <c r="J109" s="92"/>
      <c r="K109" s="92"/>
      <c r="L109" s="92"/>
      <c r="M109" s="92"/>
    </row>
    <row r="110" spans="1:13">
      <c r="A110" s="134"/>
      <c r="B110" s="135"/>
      <c r="C110" s="92"/>
      <c r="D110" s="92"/>
      <c r="E110" s="92"/>
      <c r="F110" s="92"/>
      <c r="G110" s="92"/>
      <c r="H110" s="92"/>
      <c r="I110" s="91"/>
      <c r="J110" s="92"/>
      <c r="K110" s="92"/>
      <c r="L110" s="92"/>
      <c r="M110" s="92"/>
    </row>
    <row r="111" spans="1:13">
      <c r="A111" s="134"/>
      <c r="B111" s="135"/>
      <c r="C111" s="92"/>
      <c r="D111" s="92"/>
      <c r="E111" s="92"/>
      <c r="F111" s="92"/>
      <c r="G111" s="92"/>
      <c r="H111" s="92"/>
      <c r="I111" s="91"/>
      <c r="J111" s="92"/>
      <c r="K111" s="92"/>
      <c r="L111" s="92"/>
      <c r="M111" s="92"/>
    </row>
    <row r="112" spans="1:13">
      <c r="A112" s="134"/>
      <c r="B112" s="135"/>
      <c r="C112" s="92"/>
      <c r="D112" s="92"/>
      <c r="E112" s="92"/>
      <c r="F112" s="92"/>
      <c r="G112" s="92"/>
      <c r="H112" s="92"/>
      <c r="I112" s="91"/>
      <c r="J112" s="92"/>
      <c r="K112" s="92"/>
      <c r="L112" s="92"/>
      <c r="M112" s="92"/>
    </row>
    <row r="113" spans="1:13">
      <c r="A113" s="134"/>
      <c r="B113" s="135"/>
      <c r="C113" s="92"/>
      <c r="D113" s="92"/>
      <c r="E113" s="92"/>
      <c r="F113" s="92"/>
      <c r="G113" s="92"/>
      <c r="H113" s="92"/>
      <c r="I113" s="91"/>
      <c r="J113" s="92"/>
      <c r="K113" s="92"/>
      <c r="L113" s="92"/>
      <c r="M113" s="92"/>
    </row>
    <row r="114" spans="1:13">
      <c r="A114" s="134"/>
      <c r="B114" s="135"/>
      <c r="C114" s="92"/>
      <c r="D114" s="92"/>
      <c r="E114" s="92"/>
      <c r="F114" s="92"/>
      <c r="G114" s="92"/>
      <c r="H114" s="92"/>
      <c r="I114" s="91"/>
      <c r="J114" s="92"/>
      <c r="K114" s="92"/>
      <c r="L114" s="92"/>
      <c r="M114" s="92"/>
    </row>
    <row r="115" spans="1:13">
      <c r="A115" s="134"/>
      <c r="B115" s="135"/>
      <c r="C115" s="92"/>
      <c r="D115" s="92"/>
      <c r="E115" s="92"/>
      <c r="F115" s="92"/>
      <c r="G115" s="92"/>
      <c r="H115" s="92"/>
      <c r="I115" s="91"/>
      <c r="J115" s="92"/>
      <c r="K115" s="92"/>
      <c r="L115" s="92"/>
      <c r="M115" s="92"/>
    </row>
    <row r="116" spans="1:13">
      <c r="A116" s="134"/>
      <c r="B116" s="135"/>
      <c r="C116" s="92"/>
      <c r="D116" s="92"/>
      <c r="E116" s="92"/>
      <c r="F116" s="92"/>
      <c r="G116" s="92"/>
      <c r="H116" s="92"/>
      <c r="I116" s="91"/>
      <c r="J116" s="92"/>
      <c r="K116" s="92"/>
      <c r="L116" s="92"/>
      <c r="M116" s="92"/>
    </row>
    <row r="117" spans="1:13">
      <c r="A117" s="134"/>
      <c r="B117" s="135"/>
      <c r="C117" s="92"/>
      <c r="D117" s="92"/>
      <c r="E117" s="92"/>
      <c r="F117" s="92"/>
      <c r="G117" s="92"/>
      <c r="H117" s="92"/>
      <c r="I117" s="91"/>
      <c r="J117" s="92"/>
      <c r="K117" s="92"/>
      <c r="L117" s="92"/>
      <c r="M117" s="92"/>
    </row>
    <row r="118" spans="1:13">
      <c r="A118" s="134"/>
      <c r="B118" s="135"/>
      <c r="C118" s="92"/>
      <c r="D118" s="92"/>
      <c r="E118" s="92"/>
      <c r="F118" s="92"/>
      <c r="G118" s="92"/>
      <c r="H118" s="92"/>
      <c r="I118" s="91"/>
      <c r="J118" s="92"/>
      <c r="K118" s="92"/>
      <c r="L118" s="92"/>
      <c r="M118" s="92"/>
    </row>
    <row r="119" spans="1:13">
      <c r="A119" s="134"/>
      <c r="B119" s="135"/>
      <c r="C119" s="92"/>
      <c r="D119" s="92"/>
      <c r="E119" s="92"/>
      <c r="F119" s="92"/>
      <c r="G119" s="92"/>
      <c r="H119" s="92"/>
      <c r="I119" s="91"/>
      <c r="J119" s="92"/>
      <c r="K119" s="92"/>
      <c r="L119" s="92"/>
      <c r="M119" s="92"/>
    </row>
    <row r="120" spans="1:13">
      <c r="A120" s="134"/>
      <c r="B120" s="135"/>
      <c r="C120" s="92"/>
      <c r="D120" s="92"/>
      <c r="E120" s="92"/>
      <c r="F120" s="92"/>
      <c r="G120" s="92"/>
      <c r="H120" s="92"/>
      <c r="I120" s="91"/>
      <c r="J120" s="92"/>
      <c r="K120" s="92"/>
      <c r="L120" s="92"/>
      <c r="M120" s="92"/>
    </row>
    <row r="121" spans="1:13">
      <c r="A121" s="134"/>
      <c r="B121" s="135"/>
      <c r="C121" s="92"/>
      <c r="D121" s="92"/>
      <c r="E121" s="92"/>
      <c r="F121" s="92"/>
      <c r="G121" s="92"/>
      <c r="H121" s="92"/>
      <c r="I121" s="91"/>
      <c r="J121" s="92"/>
      <c r="K121" s="92"/>
      <c r="L121" s="92"/>
      <c r="M121" s="92"/>
    </row>
    <row r="122" spans="1:13">
      <c r="A122" s="134"/>
      <c r="B122" s="135"/>
      <c r="C122" s="92"/>
      <c r="D122" s="92"/>
      <c r="E122" s="92"/>
      <c r="F122" s="92"/>
      <c r="G122" s="92"/>
      <c r="H122" s="92"/>
      <c r="I122" s="91"/>
      <c r="J122" s="92"/>
      <c r="K122" s="92"/>
      <c r="L122" s="92"/>
      <c r="M122" s="92"/>
    </row>
    <row r="123" spans="1:13">
      <c r="A123" s="134"/>
      <c r="B123" s="135"/>
      <c r="C123" s="92"/>
      <c r="D123" s="92"/>
      <c r="E123" s="92"/>
      <c r="F123" s="92"/>
      <c r="G123" s="92"/>
      <c r="H123" s="92"/>
      <c r="I123" s="91"/>
      <c r="J123" s="92"/>
      <c r="K123" s="92"/>
      <c r="L123" s="92"/>
      <c r="M123" s="92"/>
    </row>
    <row r="124" spans="1:13">
      <c r="A124" s="134"/>
      <c r="B124" s="135"/>
      <c r="C124" s="92"/>
      <c r="D124" s="92"/>
      <c r="E124" s="92"/>
      <c r="F124" s="92"/>
      <c r="G124" s="92"/>
      <c r="H124" s="92"/>
      <c r="I124" s="91"/>
      <c r="J124" s="92"/>
      <c r="K124" s="92"/>
      <c r="L124" s="92"/>
      <c r="M124" s="92"/>
    </row>
    <row r="125" spans="1:13">
      <c r="A125" s="134"/>
      <c r="B125" s="135"/>
      <c r="C125" s="92"/>
      <c r="D125" s="92"/>
      <c r="E125" s="92"/>
      <c r="F125" s="92"/>
      <c r="G125" s="92"/>
      <c r="H125" s="92"/>
      <c r="I125" s="91"/>
      <c r="J125" s="92"/>
      <c r="K125" s="92"/>
      <c r="L125" s="92"/>
      <c r="M125" s="92"/>
    </row>
    <row r="126" spans="1:13">
      <c r="A126" s="134"/>
      <c r="B126" s="135"/>
      <c r="C126" s="92"/>
      <c r="D126" s="92"/>
      <c r="E126" s="92"/>
      <c r="F126" s="92"/>
      <c r="G126" s="92"/>
      <c r="H126" s="92"/>
      <c r="I126" s="91"/>
      <c r="J126" s="92"/>
      <c r="K126" s="92"/>
      <c r="L126" s="92"/>
      <c r="M126" s="92"/>
    </row>
    <row r="127" spans="1:13">
      <c r="A127" s="134"/>
      <c r="B127" s="135"/>
      <c r="C127" s="92"/>
      <c r="D127" s="92"/>
      <c r="E127" s="92"/>
      <c r="F127" s="92"/>
      <c r="G127" s="92"/>
      <c r="H127" s="92"/>
      <c r="I127" s="91"/>
      <c r="J127" s="92"/>
      <c r="K127" s="92"/>
      <c r="L127" s="92"/>
      <c r="M127" s="92"/>
    </row>
    <row r="128" spans="1:13">
      <c r="A128" s="134"/>
      <c r="B128" s="135"/>
      <c r="C128" s="92"/>
      <c r="D128" s="92"/>
      <c r="E128" s="92"/>
      <c r="F128" s="92"/>
      <c r="G128" s="92"/>
      <c r="H128" s="92"/>
      <c r="I128" s="91"/>
      <c r="J128" s="92"/>
      <c r="K128" s="92"/>
      <c r="L128" s="92"/>
      <c r="M128" s="92"/>
    </row>
    <row r="129" spans="1:13">
      <c r="A129" s="134"/>
      <c r="B129" s="135"/>
      <c r="C129" s="92"/>
      <c r="D129" s="92"/>
      <c r="E129" s="92"/>
      <c r="F129" s="92"/>
      <c r="G129" s="92"/>
      <c r="H129" s="92"/>
      <c r="I129" s="91"/>
      <c r="J129" s="92"/>
      <c r="K129" s="92"/>
      <c r="L129" s="92"/>
      <c r="M129" s="92"/>
    </row>
    <row r="130" spans="1:13">
      <c r="A130" s="134"/>
      <c r="B130" s="135"/>
      <c r="C130" s="92"/>
      <c r="D130" s="92"/>
      <c r="E130" s="92"/>
      <c r="F130" s="92"/>
      <c r="G130" s="92"/>
      <c r="H130" s="92"/>
      <c r="I130" s="91"/>
      <c r="J130" s="92"/>
      <c r="K130" s="92"/>
      <c r="L130" s="92"/>
      <c r="M130" s="92"/>
    </row>
    <row r="131" spans="1:13">
      <c r="A131" s="134"/>
      <c r="B131" s="135"/>
      <c r="C131" s="92"/>
      <c r="D131" s="92"/>
      <c r="E131" s="92"/>
      <c r="F131" s="92"/>
      <c r="G131" s="92"/>
      <c r="H131" s="92"/>
      <c r="I131" s="91"/>
      <c r="J131" s="92"/>
      <c r="K131" s="92"/>
      <c r="L131" s="92"/>
      <c r="M131" s="92"/>
    </row>
    <row r="132" spans="1:13">
      <c r="A132" s="134"/>
      <c r="B132" s="135"/>
      <c r="C132" s="92"/>
      <c r="D132" s="92"/>
      <c r="E132" s="92"/>
      <c r="F132" s="92"/>
      <c r="G132" s="92"/>
      <c r="H132" s="92"/>
      <c r="I132" s="91"/>
      <c r="J132" s="92"/>
      <c r="K132" s="92"/>
      <c r="L132" s="92"/>
      <c r="M132" s="92"/>
    </row>
    <row r="133" spans="1:13">
      <c r="A133" s="134"/>
      <c r="B133" s="135"/>
      <c r="C133" s="92"/>
      <c r="D133" s="92"/>
      <c r="E133" s="92"/>
      <c r="F133" s="92"/>
      <c r="G133" s="92"/>
      <c r="H133" s="92"/>
      <c r="I133" s="91"/>
      <c r="J133" s="92"/>
      <c r="K133" s="92"/>
      <c r="L133" s="92"/>
      <c r="M133" s="92"/>
    </row>
    <row r="134" spans="1:13">
      <c r="A134" s="134"/>
      <c r="B134" s="135"/>
      <c r="C134" s="92"/>
      <c r="D134" s="92"/>
      <c r="E134" s="92"/>
      <c r="F134" s="92"/>
      <c r="G134" s="92"/>
      <c r="H134" s="92"/>
      <c r="I134" s="91"/>
      <c r="J134" s="92"/>
      <c r="K134" s="92"/>
      <c r="L134" s="92"/>
      <c r="M134" s="92"/>
    </row>
    <row r="135" spans="1:13">
      <c r="A135" s="134"/>
      <c r="B135" s="135"/>
      <c r="C135" s="92"/>
      <c r="D135" s="92"/>
      <c r="E135" s="92"/>
      <c r="F135" s="92"/>
      <c r="G135" s="92"/>
      <c r="H135" s="92"/>
      <c r="I135" s="91"/>
      <c r="J135" s="92"/>
      <c r="K135" s="92"/>
      <c r="L135" s="92"/>
      <c r="M135" s="92"/>
    </row>
    <row r="136" spans="1:13">
      <c r="A136" s="134"/>
      <c r="B136" s="135"/>
      <c r="C136" s="92"/>
      <c r="D136" s="92"/>
      <c r="E136" s="92"/>
      <c r="F136" s="92"/>
      <c r="G136" s="92"/>
      <c r="H136" s="92"/>
      <c r="I136" s="91"/>
      <c r="J136" s="92"/>
      <c r="K136" s="92"/>
      <c r="L136" s="92"/>
      <c r="M136" s="92"/>
    </row>
    <row r="137" spans="1:13">
      <c r="A137" s="134"/>
      <c r="B137" s="135"/>
      <c r="C137" s="92"/>
      <c r="D137" s="92"/>
      <c r="E137" s="92"/>
      <c r="F137" s="92"/>
      <c r="G137" s="92"/>
      <c r="H137" s="92"/>
      <c r="I137" s="91"/>
      <c r="J137" s="92"/>
      <c r="K137" s="92"/>
      <c r="L137" s="92"/>
      <c r="M137" s="92"/>
    </row>
    <row r="138" spans="1:13">
      <c r="A138" s="134"/>
      <c r="B138" s="135"/>
      <c r="C138" s="92"/>
      <c r="D138" s="92"/>
      <c r="E138" s="92"/>
      <c r="F138" s="92"/>
      <c r="G138" s="92"/>
      <c r="H138" s="92"/>
      <c r="I138" s="91"/>
      <c r="J138" s="92"/>
      <c r="K138" s="92"/>
      <c r="L138" s="92"/>
      <c r="M138" s="92"/>
    </row>
    <row r="139" spans="1:13">
      <c r="A139" s="134"/>
      <c r="B139" s="135"/>
      <c r="C139" s="92"/>
      <c r="D139" s="92"/>
      <c r="E139" s="92"/>
      <c r="F139" s="92"/>
      <c r="G139" s="92"/>
      <c r="H139" s="92"/>
      <c r="I139" s="91"/>
      <c r="J139" s="92"/>
      <c r="K139" s="92"/>
      <c r="L139" s="92"/>
      <c r="M139" s="92"/>
    </row>
    <row r="140" spans="1:13">
      <c r="A140" s="134"/>
      <c r="B140" s="135"/>
      <c r="C140" s="92"/>
      <c r="D140" s="92"/>
      <c r="E140" s="92"/>
      <c r="F140" s="92"/>
      <c r="G140" s="92"/>
      <c r="H140" s="92"/>
      <c r="I140" s="91"/>
      <c r="J140" s="92"/>
      <c r="K140" s="92"/>
      <c r="L140" s="92"/>
      <c r="M140" s="92"/>
    </row>
    <row r="141" spans="1:13">
      <c r="A141" s="134"/>
      <c r="B141" s="135"/>
      <c r="C141" s="92"/>
      <c r="D141" s="92"/>
      <c r="E141" s="92"/>
      <c r="F141" s="92"/>
      <c r="G141" s="92"/>
      <c r="H141" s="92"/>
      <c r="I141" s="91"/>
      <c r="J141" s="92"/>
      <c r="K141" s="92"/>
      <c r="L141" s="92"/>
      <c r="M141" s="92"/>
    </row>
    <row r="142" spans="1:13">
      <c r="A142" s="134"/>
      <c r="B142" s="135"/>
      <c r="C142" s="92"/>
      <c r="D142" s="92"/>
      <c r="E142" s="92"/>
      <c r="F142" s="92"/>
      <c r="G142" s="92"/>
      <c r="H142" s="92"/>
      <c r="I142" s="91"/>
      <c r="J142" s="92"/>
      <c r="K142" s="92"/>
      <c r="L142" s="92"/>
      <c r="M142" s="92"/>
    </row>
    <row r="143" spans="1:13">
      <c r="A143" s="134"/>
      <c r="B143" s="135"/>
      <c r="C143" s="92"/>
      <c r="D143" s="92"/>
      <c r="E143" s="92"/>
      <c r="F143" s="92"/>
      <c r="G143" s="92"/>
      <c r="H143" s="92"/>
      <c r="I143" s="91"/>
      <c r="J143" s="92"/>
      <c r="K143" s="92"/>
      <c r="L143" s="92"/>
      <c r="M143" s="92"/>
    </row>
    <row r="144" spans="1:13">
      <c r="A144" s="134"/>
      <c r="B144" s="135"/>
      <c r="C144" s="92"/>
      <c r="D144" s="92"/>
      <c r="E144" s="92"/>
      <c r="F144" s="92"/>
      <c r="G144" s="92"/>
      <c r="H144" s="92"/>
      <c r="I144" s="91"/>
      <c r="J144" s="92"/>
      <c r="K144" s="92"/>
      <c r="L144" s="92"/>
      <c r="M144" s="92"/>
    </row>
    <row r="145" spans="1:13">
      <c r="A145" s="134"/>
      <c r="B145" s="135"/>
      <c r="C145" s="92"/>
      <c r="D145" s="92"/>
      <c r="E145" s="92"/>
      <c r="F145" s="92"/>
      <c r="G145" s="92"/>
      <c r="H145" s="92"/>
      <c r="I145" s="91"/>
      <c r="J145" s="92"/>
      <c r="K145" s="92"/>
      <c r="L145" s="92"/>
      <c r="M145" s="92"/>
    </row>
    <row r="146" spans="1:13">
      <c r="A146" s="134"/>
      <c r="B146" s="135"/>
      <c r="C146" s="92"/>
      <c r="D146" s="92"/>
      <c r="E146" s="92"/>
      <c r="F146" s="92"/>
      <c r="G146" s="92"/>
      <c r="H146" s="92"/>
      <c r="I146" s="91"/>
      <c r="J146" s="92"/>
      <c r="K146" s="92"/>
      <c r="L146" s="92"/>
      <c r="M146" s="92"/>
    </row>
    <row r="147" spans="1:13">
      <c r="A147" s="134"/>
      <c r="B147" s="135"/>
      <c r="C147" s="92"/>
      <c r="D147" s="92"/>
      <c r="E147" s="92"/>
      <c r="F147" s="92"/>
      <c r="G147" s="92"/>
      <c r="H147" s="92"/>
      <c r="I147" s="91"/>
      <c r="J147" s="92"/>
      <c r="K147" s="92"/>
      <c r="L147" s="92"/>
      <c r="M147" s="92"/>
    </row>
    <row r="148" spans="1:13">
      <c r="A148" s="134"/>
      <c r="B148" s="135"/>
      <c r="C148" s="92"/>
      <c r="D148" s="92"/>
      <c r="E148" s="92"/>
      <c r="F148" s="92"/>
      <c r="G148" s="92"/>
      <c r="H148" s="92"/>
      <c r="I148" s="91"/>
      <c r="J148" s="92"/>
      <c r="K148" s="92"/>
      <c r="L148" s="92"/>
      <c r="M148" s="92"/>
    </row>
    <row r="149" spans="1:13">
      <c r="A149" s="134"/>
      <c r="B149" s="135"/>
      <c r="C149" s="92"/>
      <c r="D149" s="92"/>
      <c r="E149" s="92"/>
      <c r="F149" s="92"/>
      <c r="G149" s="92"/>
      <c r="H149" s="92"/>
      <c r="I149" s="91"/>
      <c r="J149" s="92"/>
      <c r="K149" s="92"/>
      <c r="L149" s="92"/>
      <c r="M149" s="92"/>
    </row>
    <row r="150" spans="1:13">
      <c r="A150" s="134"/>
      <c r="B150" s="135"/>
      <c r="C150" s="92"/>
      <c r="D150" s="92"/>
      <c r="E150" s="92"/>
      <c r="F150" s="92"/>
      <c r="G150" s="92"/>
      <c r="H150" s="92"/>
      <c r="I150" s="91"/>
      <c r="J150" s="92"/>
      <c r="K150" s="92"/>
      <c r="L150" s="92"/>
      <c r="M150" s="92"/>
    </row>
    <row r="151" spans="1:13">
      <c r="A151" s="134"/>
      <c r="B151" s="135"/>
      <c r="C151" s="92"/>
      <c r="D151" s="92"/>
      <c r="E151" s="92"/>
      <c r="F151" s="92"/>
      <c r="G151" s="92"/>
      <c r="H151" s="92"/>
      <c r="I151" s="91"/>
      <c r="J151" s="92"/>
      <c r="K151" s="92"/>
      <c r="L151" s="92"/>
      <c r="M151" s="92"/>
    </row>
    <row r="152" spans="1:13">
      <c r="A152" s="134"/>
      <c r="B152" s="135"/>
      <c r="C152" s="92"/>
      <c r="D152" s="92"/>
      <c r="E152" s="92"/>
      <c r="F152" s="92"/>
      <c r="G152" s="92"/>
      <c r="H152" s="92"/>
      <c r="I152" s="91"/>
      <c r="J152" s="92"/>
      <c r="K152" s="92"/>
      <c r="L152" s="92"/>
      <c r="M152" s="92"/>
    </row>
    <row r="153" spans="1:13">
      <c r="A153" s="134"/>
      <c r="B153" s="135"/>
      <c r="C153" s="92"/>
      <c r="D153" s="92"/>
      <c r="E153" s="92"/>
      <c r="F153" s="92"/>
      <c r="G153" s="92"/>
      <c r="H153" s="92"/>
      <c r="I153" s="91"/>
      <c r="J153" s="92"/>
      <c r="K153" s="92"/>
      <c r="L153" s="92"/>
      <c r="M153" s="92"/>
    </row>
    <row r="154" spans="1:13">
      <c r="A154" s="134"/>
      <c r="B154" s="135"/>
      <c r="C154" s="92"/>
      <c r="D154" s="92"/>
      <c r="E154" s="92"/>
      <c r="F154" s="92"/>
      <c r="G154" s="92"/>
      <c r="H154" s="92"/>
      <c r="I154" s="91"/>
      <c r="J154" s="92"/>
      <c r="K154" s="92"/>
      <c r="L154" s="92"/>
      <c r="M154" s="92"/>
    </row>
    <row r="155" spans="1:13">
      <c r="A155" s="134"/>
      <c r="B155" s="135"/>
      <c r="C155" s="92"/>
      <c r="D155" s="92"/>
      <c r="E155" s="92"/>
      <c r="F155" s="92"/>
      <c r="G155" s="92"/>
      <c r="H155" s="92"/>
      <c r="I155" s="91"/>
      <c r="J155" s="92"/>
      <c r="K155" s="92"/>
      <c r="L155" s="92"/>
      <c r="M155" s="92"/>
    </row>
    <row r="156" spans="1:13">
      <c r="A156" s="134"/>
      <c r="B156" s="135"/>
      <c r="C156" s="92"/>
      <c r="D156" s="92"/>
      <c r="E156" s="92"/>
      <c r="F156" s="92"/>
      <c r="G156" s="92"/>
      <c r="H156" s="92"/>
      <c r="I156" s="91"/>
      <c r="J156" s="92"/>
      <c r="K156" s="92"/>
      <c r="L156" s="92"/>
      <c r="M156" s="92"/>
    </row>
    <row r="157" spans="1:13">
      <c r="A157" s="134"/>
      <c r="B157" s="135"/>
      <c r="C157" s="92"/>
      <c r="D157" s="92"/>
      <c r="E157" s="92"/>
      <c r="F157" s="92"/>
      <c r="G157" s="92"/>
      <c r="H157" s="92"/>
      <c r="I157" s="91"/>
      <c r="J157" s="92"/>
      <c r="K157" s="92"/>
      <c r="L157" s="92"/>
      <c r="M157" s="92"/>
    </row>
    <row r="158" spans="1:13">
      <c r="A158" s="134"/>
      <c r="B158" s="135"/>
      <c r="C158" s="92"/>
      <c r="D158" s="92"/>
      <c r="E158" s="92"/>
      <c r="F158" s="92"/>
      <c r="G158" s="92"/>
      <c r="H158" s="92"/>
      <c r="I158" s="91"/>
      <c r="J158" s="92"/>
      <c r="K158" s="92"/>
      <c r="L158" s="92"/>
      <c r="M158" s="92"/>
    </row>
    <row r="159" spans="1:13">
      <c r="A159" s="134"/>
      <c r="B159" s="135"/>
      <c r="C159" s="92"/>
      <c r="D159" s="92"/>
      <c r="E159" s="92"/>
      <c r="F159" s="92"/>
      <c r="G159" s="92"/>
      <c r="H159" s="92"/>
      <c r="I159" s="91"/>
      <c r="J159" s="92"/>
      <c r="K159" s="92"/>
      <c r="L159" s="92"/>
      <c r="M159" s="92"/>
    </row>
    <row r="160" spans="1:13">
      <c r="A160" s="134"/>
      <c r="B160" s="135"/>
      <c r="C160" s="92"/>
      <c r="D160" s="92"/>
      <c r="E160" s="92"/>
      <c r="F160" s="92"/>
      <c r="G160" s="92"/>
      <c r="H160" s="92"/>
      <c r="I160" s="91"/>
      <c r="J160" s="92"/>
      <c r="K160" s="92"/>
      <c r="L160" s="92"/>
      <c r="M160" s="92"/>
    </row>
    <row r="161" spans="1:13">
      <c r="A161" s="134"/>
      <c r="B161" s="135"/>
      <c r="C161" s="92"/>
      <c r="D161" s="92"/>
      <c r="E161" s="92"/>
      <c r="F161" s="92"/>
      <c r="G161" s="92"/>
      <c r="H161" s="92"/>
      <c r="I161" s="91"/>
      <c r="J161" s="92"/>
      <c r="K161" s="92"/>
      <c r="L161" s="92"/>
      <c r="M161" s="92"/>
    </row>
    <row r="162" spans="1:13">
      <c r="A162" s="134"/>
      <c r="B162" s="135"/>
      <c r="C162" s="92"/>
      <c r="D162" s="92"/>
      <c r="E162" s="92"/>
      <c r="F162" s="92"/>
      <c r="G162" s="92"/>
      <c r="H162" s="92"/>
      <c r="I162" s="91"/>
      <c r="J162" s="92"/>
      <c r="K162" s="92"/>
      <c r="L162" s="92"/>
      <c r="M162" s="92"/>
    </row>
    <row r="163" spans="1:13">
      <c r="A163" s="134"/>
      <c r="B163" s="135"/>
      <c r="C163" s="92"/>
      <c r="D163" s="92"/>
      <c r="E163" s="92"/>
      <c r="F163" s="92"/>
      <c r="G163" s="92"/>
      <c r="H163" s="92"/>
      <c r="I163" s="91"/>
      <c r="J163" s="92"/>
      <c r="K163" s="92"/>
      <c r="L163" s="92"/>
      <c r="M163" s="92"/>
    </row>
    <row r="164" spans="1:13">
      <c r="A164" s="134"/>
      <c r="B164" s="135"/>
      <c r="C164" s="92"/>
      <c r="D164" s="92"/>
      <c r="E164" s="92"/>
      <c r="F164" s="92"/>
      <c r="G164" s="92"/>
      <c r="H164" s="92"/>
      <c r="I164" s="91"/>
      <c r="J164" s="92"/>
      <c r="K164" s="92"/>
      <c r="L164" s="92"/>
      <c r="M164" s="92"/>
    </row>
    <row r="165" spans="1:13">
      <c r="A165" s="134"/>
      <c r="B165" s="135"/>
      <c r="C165" s="92"/>
      <c r="D165" s="92"/>
      <c r="E165" s="92"/>
      <c r="F165" s="92"/>
      <c r="G165" s="92"/>
      <c r="H165" s="92"/>
      <c r="I165" s="91"/>
      <c r="J165" s="92"/>
      <c r="K165" s="92"/>
      <c r="L165" s="92"/>
      <c r="M165" s="92"/>
    </row>
    <row r="166" spans="1:13">
      <c r="A166" s="134"/>
      <c r="B166" s="135"/>
      <c r="C166" s="92"/>
      <c r="D166" s="92"/>
      <c r="E166" s="92"/>
      <c r="F166" s="92"/>
      <c r="G166" s="92"/>
      <c r="H166" s="92"/>
      <c r="I166" s="91"/>
      <c r="J166" s="92"/>
      <c r="K166" s="92"/>
      <c r="L166" s="92"/>
      <c r="M166" s="92"/>
    </row>
    <row r="167" spans="1:13">
      <c r="A167" s="134"/>
      <c r="B167" s="135"/>
      <c r="C167" s="92"/>
      <c r="D167" s="92"/>
      <c r="E167" s="92"/>
      <c r="F167" s="92"/>
      <c r="G167" s="92"/>
      <c r="H167" s="92"/>
      <c r="I167" s="91"/>
      <c r="J167" s="92"/>
      <c r="K167" s="92"/>
      <c r="L167" s="92"/>
      <c r="M167" s="92"/>
    </row>
    <row r="168" spans="1:13">
      <c r="A168" s="134"/>
      <c r="B168" s="135"/>
      <c r="C168" s="92"/>
      <c r="D168" s="92"/>
      <c r="E168" s="92"/>
      <c r="F168" s="92"/>
      <c r="G168" s="92"/>
      <c r="H168" s="92"/>
      <c r="I168" s="91"/>
      <c r="J168" s="92"/>
      <c r="K168" s="92"/>
      <c r="L168" s="92"/>
      <c r="M168" s="92"/>
    </row>
    <row r="169" spans="1:13">
      <c r="A169" s="134"/>
      <c r="B169" s="135"/>
      <c r="C169" s="92"/>
      <c r="D169" s="92"/>
      <c r="E169" s="92"/>
      <c r="F169" s="92"/>
      <c r="G169" s="92"/>
      <c r="H169" s="92"/>
      <c r="I169" s="91"/>
      <c r="J169" s="92"/>
      <c r="K169" s="92"/>
      <c r="L169" s="92"/>
      <c r="M169" s="92"/>
    </row>
    <row r="170" spans="1:13">
      <c r="A170" s="134"/>
      <c r="B170" s="135"/>
      <c r="C170" s="92"/>
      <c r="D170" s="92"/>
      <c r="E170" s="92"/>
      <c r="F170" s="92"/>
      <c r="G170" s="92"/>
      <c r="H170" s="92"/>
      <c r="I170" s="91"/>
      <c r="J170" s="92"/>
      <c r="K170" s="92"/>
      <c r="L170" s="92"/>
      <c r="M170" s="92"/>
    </row>
    <row r="171" spans="1:13">
      <c r="A171" s="134"/>
      <c r="B171" s="135"/>
      <c r="C171" s="92"/>
      <c r="D171" s="92"/>
      <c r="E171" s="92"/>
      <c r="F171" s="92"/>
      <c r="G171" s="92"/>
      <c r="H171" s="92"/>
      <c r="I171" s="91"/>
      <c r="J171" s="92"/>
      <c r="K171" s="92"/>
      <c r="L171" s="92"/>
      <c r="M171" s="92"/>
    </row>
    <row r="172" spans="1:13">
      <c r="A172" s="134"/>
      <c r="B172" s="135"/>
      <c r="C172" s="92"/>
      <c r="D172" s="92"/>
      <c r="E172" s="92"/>
      <c r="F172" s="92"/>
      <c r="G172" s="92"/>
      <c r="H172" s="92"/>
      <c r="I172" s="91"/>
      <c r="J172" s="92"/>
      <c r="K172" s="92"/>
      <c r="L172" s="92"/>
      <c r="M172" s="92"/>
    </row>
    <row r="173" spans="1:13">
      <c r="A173" s="134"/>
      <c r="B173" s="135"/>
      <c r="C173" s="92"/>
      <c r="D173" s="92"/>
      <c r="E173" s="92"/>
      <c r="F173" s="92"/>
      <c r="G173" s="92"/>
      <c r="H173" s="92"/>
      <c r="I173" s="91"/>
      <c r="J173" s="92"/>
      <c r="K173" s="92"/>
      <c r="L173" s="92"/>
      <c r="M173" s="92"/>
    </row>
    <row r="174" spans="1:13">
      <c r="A174" s="134"/>
      <c r="B174" s="135"/>
      <c r="C174" s="92"/>
      <c r="D174" s="92"/>
      <c r="E174" s="92"/>
      <c r="F174" s="92"/>
      <c r="G174" s="92"/>
      <c r="H174" s="92"/>
      <c r="I174" s="91"/>
      <c r="J174" s="92"/>
      <c r="K174" s="92"/>
      <c r="L174" s="92"/>
      <c r="M174" s="92"/>
    </row>
    <row r="175" spans="1:13">
      <c r="A175" s="134"/>
      <c r="B175" s="135"/>
      <c r="C175" s="92"/>
      <c r="D175" s="92"/>
      <c r="E175" s="92"/>
      <c r="F175" s="92"/>
      <c r="G175" s="92"/>
      <c r="H175" s="92"/>
      <c r="I175" s="91"/>
      <c r="J175" s="92"/>
      <c r="K175" s="92"/>
      <c r="L175" s="92"/>
      <c r="M175" s="92"/>
    </row>
    <row r="176" spans="1:13">
      <c r="A176" s="134"/>
      <c r="B176" s="135"/>
      <c r="C176" s="92"/>
      <c r="D176" s="92"/>
      <c r="E176" s="92"/>
      <c r="F176" s="92"/>
      <c r="G176" s="92"/>
      <c r="H176" s="92"/>
      <c r="I176" s="91"/>
      <c r="J176" s="92"/>
      <c r="K176" s="92"/>
      <c r="L176" s="92"/>
      <c r="M176" s="92"/>
    </row>
    <row r="177" spans="1:13">
      <c r="A177" s="134"/>
      <c r="B177" s="135"/>
      <c r="C177" s="92"/>
      <c r="D177" s="92"/>
      <c r="E177" s="92"/>
      <c r="F177" s="92"/>
      <c r="G177" s="92"/>
      <c r="H177" s="92"/>
      <c r="I177" s="91"/>
      <c r="J177" s="92"/>
      <c r="K177" s="92"/>
      <c r="L177" s="92"/>
      <c r="M177" s="92"/>
    </row>
    <row r="178" spans="1:13">
      <c r="A178" s="134"/>
      <c r="B178" s="135"/>
      <c r="C178" s="92"/>
      <c r="D178" s="92"/>
      <c r="E178" s="92"/>
      <c r="F178" s="92"/>
      <c r="G178" s="92"/>
      <c r="H178" s="92"/>
      <c r="I178" s="91"/>
      <c r="J178" s="92"/>
      <c r="K178" s="92"/>
      <c r="L178" s="92"/>
      <c r="M178" s="92"/>
    </row>
    <row r="179" spans="1:13">
      <c r="A179" s="134"/>
      <c r="B179" s="135"/>
      <c r="C179" s="92"/>
      <c r="D179" s="92"/>
      <c r="E179" s="92"/>
      <c r="F179" s="92"/>
      <c r="G179" s="92"/>
      <c r="H179" s="92"/>
      <c r="I179" s="91"/>
      <c r="J179" s="92"/>
      <c r="K179" s="92"/>
      <c r="L179" s="92"/>
      <c r="M179" s="92"/>
    </row>
    <row r="180" spans="1:13">
      <c r="A180" s="134"/>
      <c r="B180" s="135"/>
      <c r="C180" s="92"/>
      <c r="D180" s="92"/>
      <c r="E180" s="92"/>
      <c r="F180" s="92"/>
      <c r="G180" s="92"/>
      <c r="H180" s="92"/>
      <c r="I180" s="91"/>
      <c r="J180" s="92"/>
      <c r="K180" s="92"/>
      <c r="L180" s="92"/>
      <c r="M180" s="92"/>
    </row>
    <row r="181" spans="1:13">
      <c r="A181" s="134"/>
      <c r="B181" s="135"/>
      <c r="C181" s="92"/>
      <c r="D181" s="92"/>
      <c r="E181" s="92"/>
      <c r="F181" s="92"/>
      <c r="G181" s="92"/>
      <c r="H181" s="92"/>
      <c r="I181" s="91"/>
      <c r="J181" s="92"/>
      <c r="K181" s="92"/>
      <c r="L181" s="92"/>
      <c r="M181" s="92"/>
    </row>
    <row r="182" spans="1:13">
      <c r="A182" s="134"/>
      <c r="B182" s="135"/>
      <c r="C182" s="92"/>
      <c r="D182" s="92"/>
      <c r="E182" s="92"/>
      <c r="F182" s="92"/>
      <c r="G182" s="92"/>
      <c r="H182" s="92"/>
      <c r="I182" s="91"/>
      <c r="J182" s="92"/>
      <c r="K182" s="92"/>
      <c r="L182" s="92"/>
      <c r="M182" s="92"/>
    </row>
    <row r="183" spans="1:13">
      <c r="A183" s="134"/>
      <c r="B183" s="135"/>
      <c r="C183" s="92"/>
      <c r="D183" s="92"/>
      <c r="E183" s="92"/>
      <c r="F183" s="92"/>
      <c r="G183" s="92"/>
      <c r="H183" s="92"/>
      <c r="I183" s="91"/>
      <c r="J183" s="92"/>
      <c r="K183" s="92"/>
      <c r="L183" s="92"/>
      <c r="M183" s="92"/>
    </row>
    <row r="184" spans="1:13">
      <c r="A184" s="134"/>
      <c r="B184" s="135"/>
      <c r="C184" s="92"/>
      <c r="D184" s="92"/>
      <c r="E184" s="92"/>
      <c r="F184" s="92"/>
      <c r="G184" s="92"/>
      <c r="H184" s="92"/>
      <c r="I184" s="91"/>
      <c r="J184" s="92"/>
      <c r="K184" s="92"/>
      <c r="L184" s="92"/>
      <c r="M184" s="92"/>
    </row>
    <row r="185" spans="1:13">
      <c r="A185" s="134"/>
      <c r="B185" s="135"/>
      <c r="C185" s="92"/>
      <c r="D185" s="92"/>
      <c r="E185" s="92"/>
      <c r="F185" s="92"/>
      <c r="G185" s="92"/>
      <c r="H185" s="92"/>
      <c r="I185" s="91"/>
      <c r="J185" s="92"/>
      <c r="K185" s="92"/>
      <c r="L185" s="92"/>
      <c r="M185" s="92"/>
    </row>
    <row r="186" spans="1:13">
      <c r="A186" s="134"/>
      <c r="B186" s="135"/>
      <c r="C186" s="92"/>
      <c r="D186" s="92"/>
      <c r="E186" s="92"/>
      <c r="F186" s="92"/>
      <c r="G186" s="92"/>
      <c r="H186" s="92"/>
      <c r="I186" s="91"/>
      <c r="J186" s="92"/>
      <c r="K186" s="92"/>
      <c r="L186" s="92"/>
      <c r="M186" s="92"/>
    </row>
    <row r="187" spans="1:13">
      <c r="A187" s="134"/>
      <c r="B187" s="135"/>
      <c r="C187" s="92"/>
      <c r="D187" s="92"/>
      <c r="E187" s="92"/>
      <c r="F187" s="92"/>
      <c r="G187" s="92"/>
      <c r="H187" s="92"/>
      <c r="I187" s="91"/>
      <c r="J187" s="92"/>
      <c r="K187" s="92"/>
      <c r="L187" s="92"/>
      <c r="M187" s="92"/>
    </row>
    <row r="188" spans="1:13">
      <c r="A188" s="134"/>
      <c r="B188" s="135"/>
      <c r="C188" s="92"/>
      <c r="D188" s="92"/>
      <c r="E188" s="92"/>
      <c r="F188" s="92"/>
      <c r="G188" s="92"/>
      <c r="H188" s="92"/>
      <c r="I188" s="91"/>
      <c r="J188" s="92"/>
      <c r="K188" s="92"/>
      <c r="L188" s="92"/>
      <c r="M188" s="92"/>
    </row>
    <row r="189" spans="1:13">
      <c r="A189" s="134"/>
      <c r="B189" s="135"/>
      <c r="C189" s="92"/>
      <c r="D189" s="92"/>
      <c r="E189" s="92"/>
      <c r="F189" s="92"/>
      <c r="G189" s="92"/>
      <c r="H189" s="92"/>
      <c r="I189" s="91"/>
      <c r="J189" s="92"/>
      <c r="K189" s="92"/>
      <c r="L189" s="92"/>
      <c r="M189" s="92"/>
    </row>
    <row r="190" spans="1:13">
      <c r="A190" s="134"/>
      <c r="B190" s="135"/>
      <c r="C190" s="92"/>
      <c r="D190" s="92"/>
      <c r="E190" s="92"/>
      <c r="F190" s="92"/>
      <c r="G190" s="92"/>
      <c r="H190" s="92"/>
      <c r="I190" s="91"/>
      <c r="J190" s="92"/>
      <c r="K190" s="92"/>
      <c r="L190" s="92"/>
      <c r="M190" s="92"/>
    </row>
    <row r="191" spans="1:13">
      <c r="A191" s="134"/>
      <c r="B191" s="135"/>
      <c r="C191" s="92"/>
      <c r="D191" s="92"/>
      <c r="E191" s="92"/>
      <c r="F191" s="92"/>
      <c r="G191" s="92"/>
      <c r="H191" s="92"/>
      <c r="I191" s="91"/>
      <c r="J191" s="92"/>
      <c r="K191" s="92"/>
      <c r="L191" s="92"/>
      <c r="M191" s="92"/>
    </row>
    <row r="192" spans="1:13">
      <c r="A192" s="134"/>
      <c r="B192" s="135"/>
      <c r="C192" s="92"/>
      <c r="D192" s="92"/>
      <c r="E192" s="92"/>
      <c r="F192" s="92"/>
      <c r="G192" s="92"/>
      <c r="H192" s="92"/>
      <c r="I192" s="91"/>
      <c r="J192" s="92"/>
      <c r="K192" s="92"/>
      <c r="L192" s="92"/>
      <c r="M192" s="92"/>
    </row>
    <row r="193" spans="1:13">
      <c r="A193" s="134"/>
      <c r="B193" s="135"/>
      <c r="C193" s="92"/>
      <c r="D193" s="92"/>
      <c r="E193" s="92"/>
      <c r="F193" s="92"/>
      <c r="G193" s="92"/>
      <c r="H193" s="92"/>
      <c r="I193" s="91"/>
      <c r="J193" s="92"/>
      <c r="K193" s="92"/>
      <c r="L193" s="92"/>
      <c r="M193" s="92"/>
    </row>
    <row r="194" spans="1:13">
      <c r="A194" s="134"/>
      <c r="B194" s="135"/>
      <c r="C194" s="92"/>
      <c r="D194" s="92"/>
      <c r="E194" s="92"/>
      <c r="F194" s="92"/>
      <c r="G194" s="92"/>
      <c r="H194" s="92"/>
      <c r="I194" s="91"/>
      <c r="J194" s="92"/>
      <c r="K194" s="92"/>
      <c r="L194" s="92"/>
      <c r="M194" s="92"/>
    </row>
    <row r="195" spans="1:13">
      <c r="A195" s="134"/>
      <c r="B195" s="135"/>
      <c r="C195" s="92"/>
      <c r="D195" s="92"/>
      <c r="E195" s="92"/>
      <c r="F195" s="92"/>
      <c r="G195" s="92"/>
      <c r="H195" s="92"/>
      <c r="I195" s="91"/>
      <c r="J195" s="92"/>
      <c r="K195" s="92"/>
      <c r="L195" s="92"/>
      <c r="M195" s="92"/>
    </row>
    <row r="196" spans="1:13">
      <c r="A196" s="134"/>
      <c r="B196" s="135"/>
      <c r="C196" s="92"/>
      <c r="D196" s="92"/>
      <c r="E196" s="92"/>
      <c r="F196" s="92"/>
      <c r="G196" s="92"/>
      <c r="H196" s="92"/>
      <c r="I196" s="91"/>
      <c r="J196" s="92"/>
      <c r="K196" s="92"/>
      <c r="L196" s="92"/>
      <c r="M196" s="92"/>
    </row>
    <row r="197" spans="1:13">
      <c r="A197" s="134"/>
      <c r="B197" s="135"/>
      <c r="C197" s="92"/>
      <c r="D197" s="92"/>
      <c r="E197" s="92"/>
      <c r="F197" s="92"/>
      <c r="G197" s="92"/>
      <c r="H197" s="92"/>
      <c r="I197" s="91"/>
      <c r="J197" s="92"/>
      <c r="K197" s="92"/>
      <c r="L197" s="92"/>
      <c r="M197" s="92"/>
    </row>
    <row r="198" spans="1:13">
      <c r="A198" s="134"/>
      <c r="B198" s="135"/>
      <c r="C198" s="92"/>
      <c r="D198" s="92"/>
      <c r="E198" s="92"/>
      <c r="F198" s="92"/>
      <c r="G198" s="92"/>
      <c r="H198" s="92"/>
      <c r="I198" s="91"/>
      <c r="J198" s="92"/>
      <c r="K198" s="92"/>
      <c r="L198" s="92"/>
      <c r="M198" s="92"/>
    </row>
    <row r="199" spans="1:13">
      <c r="A199" s="134"/>
      <c r="B199" s="135"/>
      <c r="C199" s="92"/>
      <c r="D199" s="92"/>
      <c r="E199" s="92"/>
      <c r="F199" s="92"/>
      <c r="G199" s="92"/>
      <c r="H199" s="92"/>
      <c r="I199" s="91"/>
      <c r="J199" s="92"/>
      <c r="K199" s="92"/>
      <c r="L199" s="92"/>
      <c r="M199" s="92"/>
    </row>
    <row r="200" spans="1:13">
      <c r="A200" s="134"/>
      <c r="B200" s="135"/>
      <c r="C200" s="92"/>
      <c r="D200" s="92"/>
      <c r="E200" s="92"/>
      <c r="F200" s="92"/>
      <c r="G200" s="92"/>
      <c r="H200" s="92"/>
      <c r="I200" s="91"/>
      <c r="J200" s="92"/>
      <c r="K200" s="92"/>
      <c r="L200" s="92"/>
      <c r="M200" s="92"/>
    </row>
    <row r="201" spans="1:13">
      <c r="A201" s="134"/>
      <c r="B201" s="135"/>
      <c r="C201" s="92"/>
      <c r="D201" s="92"/>
      <c r="E201" s="92"/>
      <c r="F201" s="92"/>
      <c r="G201" s="92"/>
      <c r="H201" s="92"/>
      <c r="I201" s="91"/>
      <c r="J201" s="92"/>
      <c r="K201" s="92"/>
      <c r="L201" s="92"/>
      <c r="M201" s="92"/>
    </row>
    <row r="202" spans="1:13">
      <c r="A202" s="134"/>
      <c r="B202" s="135"/>
      <c r="C202" s="92"/>
      <c r="D202" s="92"/>
      <c r="E202" s="92"/>
      <c r="F202" s="92"/>
      <c r="G202" s="92"/>
      <c r="H202" s="92"/>
      <c r="I202" s="91"/>
      <c r="J202" s="92"/>
      <c r="K202" s="92"/>
      <c r="L202" s="92"/>
      <c r="M202" s="92"/>
    </row>
    <row r="203" spans="1:13">
      <c r="A203" s="134"/>
      <c r="B203" s="135"/>
      <c r="C203" s="92"/>
      <c r="D203" s="92"/>
      <c r="E203" s="92"/>
      <c r="F203" s="92"/>
      <c r="G203" s="92"/>
      <c r="H203" s="92"/>
      <c r="I203" s="91"/>
      <c r="J203" s="92"/>
      <c r="K203" s="92"/>
      <c r="L203" s="92"/>
      <c r="M203" s="92"/>
    </row>
    <row r="204" spans="1:13">
      <c r="A204" s="134"/>
      <c r="B204" s="135"/>
      <c r="C204" s="92"/>
      <c r="D204" s="92"/>
      <c r="E204" s="92"/>
      <c r="F204" s="92"/>
      <c r="G204" s="92"/>
      <c r="H204" s="92"/>
      <c r="I204" s="91"/>
      <c r="J204" s="92"/>
      <c r="K204" s="92"/>
      <c r="L204" s="92"/>
      <c r="M204" s="92"/>
    </row>
    <row r="205" spans="1:13">
      <c r="A205" s="134"/>
      <c r="B205" s="135"/>
      <c r="C205" s="92"/>
      <c r="D205" s="92"/>
      <c r="E205" s="92"/>
      <c r="F205" s="92"/>
      <c r="G205" s="92"/>
      <c r="H205" s="92"/>
      <c r="I205" s="91"/>
      <c r="J205" s="92"/>
      <c r="K205" s="92"/>
      <c r="L205" s="92"/>
      <c r="M205" s="92"/>
    </row>
    <row r="206" spans="1:13">
      <c r="A206" s="134"/>
      <c r="B206" s="135"/>
      <c r="C206" s="92"/>
      <c r="D206" s="92"/>
      <c r="E206" s="92"/>
      <c r="F206" s="92"/>
      <c r="G206" s="92"/>
      <c r="H206" s="92"/>
      <c r="I206" s="91"/>
      <c r="J206" s="92"/>
      <c r="K206" s="92"/>
      <c r="L206" s="92"/>
      <c r="M206" s="92"/>
    </row>
    <row r="207" spans="1:13">
      <c r="A207" s="134"/>
      <c r="B207" s="135"/>
      <c r="C207" s="92"/>
      <c r="D207" s="92"/>
      <c r="E207" s="92"/>
      <c r="F207" s="92"/>
      <c r="G207" s="92"/>
      <c r="H207" s="92"/>
      <c r="I207" s="91"/>
      <c r="J207" s="92"/>
      <c r="K207" s="92"/>
      <c r="L207" s="92"/>
      <c r="M207" s="92"/>
    </row>
    <row r="208" spans="1:13">
      <c r="A208" s="134"/>
      <c r="B208" s="135"/>
      <c r="C208" s="92"/>
      <c r="D208" s="92"/>
      <c r="E208" s="92"/>
      <c r="F208" s="92"/>
      <c r="G208" s="92"/>
      <c r="H208" s="92"/>
      <c r="I208" s="91"/>
      <c r="J208" s="92"/>
      <c r="K208" s="92"/>
      <c r="L208" s="92"/>
      <c r="M208" s="92"/>
    </row>
    <row r="209" spans="1:13">
      <c r="A209" s="134"/>
      <c r="B209" s="135"/>
      <c r="C209" s="92"/>
      <c r="D209" s="92"/>
      <c r="E209" s="92"/>
      <c r="F209" s="92"/>
      <c r="G209" s="92"/>
      <c r="H209" s="92"/>
      <c r="I209" s="91"/>
      <c r="J209" s="92"/>
      <c r="K209" s="92"/>
      <c r="L209" s="92"/>
      <c r="M209" s="92"/>
    </row>
    <row r="210" spans="1:13">
      <c r="A210" s="134"/>
      <c r="B210" s="135"/>
      <c r="C210" s="92"/>
      <c r="D210" s="92"/>
      <c r="E210" s="92"/>
      <c r="F210" s="92"/>
      <c r="G210" s="92"/>
      <c r="H210" s="92"/>
      <c r="I210" s="91"/>
      <c r="J210" s="92"/>
      <c r="K210" s="92"/>
      <c r="L210" s="92"/>
      <c r="M210" s="92"/>
    </row>
    <row r="211" spans="1:13">
      <c r="A211" s="134"/>
      <c r="B211" s="135"/>
      <c r="C211" s="92"/>
      <c r="D211" s="92"/>
      <c r="E211" s="92"/>
      <c r="F211" s="92"/>
      <c r="G211" s="92"/>
      <c r="H211" s="92"/>
      <c r="I211" s="91"/>
      <c r="J211" s="92"/>
      <c r="K211" s="92"/>
      <c r="L211" s="92"/>
      <c r="M211" s="92"/>
    </row>
    <row r="212" spans="1:13">
      <c r="A212" s="134"/>
      <c r="B212" s="135"/>
      <c r="C212" s="92"/>
      <c r="D212" s="92"/>
      <c r="E212" s="92"/>
      <c r="F212" s="92"/>
      <c r="G212" s="92"/>
      <c r="H212" s="92"/>
      <c r="I212" s="91"/>
      <c r="J212" s="92"/>
      <c r="K212" s="92"/>
      <c r="L212" s="92"/>
      <c r="M212" s="92"/>
    </row>
    <row r="213" spans="1:13">
      <c r="A213" s="134"/>
      <c r="B213" s="135"/>
      <c r="C213" s="92"/>
      <c r="D213" s="92"/>
      <c r="E213" s="92"/>
      <c r="F213" s="92"/>
      <c r="G213" s="92"/>
      <c r="H213" s="92"/>
      <c r="I213" s="91"/>
      <c r="J213" s="92"/>
      <c r="K213" s="92"/>
      <c r="L213" s="92"/>
      <c r="M213" s="92"/>
    </row>
    <row r="214" spans="1:13">
      <c r="A214" s="134"/>
      <c r="B214" s="135"/>
      <c r="C214" s="92"/>
      <c r="D214" s="92"/>
      <c r="E214" s="92"/>
      <c r="F214" s="92"/>
      <c r="G214" s="92"/>
      <c r="H214" s="92"/>
      <c r="I214" s="91"/>
      <c r="J214" s="92"/>
      <c r="K214" s="92"/>
      <c r="L214" s="92"/>
      <c r="M214" s="92"/>
    </row>
    <row r="215" spans="1:13">
      <c r="A215" s="134"/>
      <c r="B215" s="135"/>
      <c r="C215" s="92"/>
      <c r="D215" s="92"/>
      <c r="E215" s="92"/>
      <c r="F215" s="92"/>
      <c r="G215" s="92"/>
      <c r="H215" s="92"/>
      <c r="I215" s="91"/>
      <c r="J215" s="92"/>
      <c r="K215" s="92"/>
      <c r="L215" s="92"/>
      <c r="M215" s="92"/>
    </row>
    <row r="216" spans="1:13">
      <c r="A216" s="134"/>
      <c r="B216" s="135"/>
      <c r="C216" s="92"/>
      <c r="D216" s="92"/>
      <c r="E216" s="92"/>
      <c r="F216" s="92"/>
      <c r="G216" s="92"/>
      <c r="H216" s="92"/>
      <c r="I216" s="91"/>
      <c r="J216" s="92"/>
      <c r="K216" s="92"/>
      <c r="L216" s="92"/>
      <c r="M216" s="92"/>
    </row>
    <row r="217" spans="1:13">
      <c r="A217" s="134"/>
      <c r="B217" s="135"/>
      <c r="C217" s="92"/>
      <c r="D217" s="92"/>
      <c r="E217" s="92"/>
      <c r="F217" s="92"/>
      <c r="G217" s="92"/>
      <c r="H217" s="92"/>
      <c r="I217" s="91"/>
      <c r="J217" s="92"/>
      <c r="K217" s="92"/>
      <c r="L217" s="92"/>
      <c r="M217" s="92"/>
    </row>
    <row r="218" spans="1:13">
      <c r="A218" s="134"/>
      <c r="B218" s="135"/>
      <c r="C218" s="92"/>
      <c r="D218" s="92"/>
      <c r="E218" s="92"/>
      <c r="F218" s="92"/>
      <c r="G218" s="92"/>
      <c r="H218" s="92"/>
      <c r="I218" s="91"/>
      <c r="J218" s="92"/>
      <c r="K218" s="92"/>
      <c r="L218" s="92"/>
      <c r="M218" s="92"/>
    </row>
    <row r="219" spans="1:13">
      <c r="A219" s="134"/>
      <c r="B219" s="135"/>
      <c r="C219" s="92"/>
      <c r="D219" s="92"/>
      <c r="E219" s="92"/>
      <c r="F219" s="92"/>
      <c r="G219" s="92"/>
      <c r="H219" s="92"/>
      <c r="I219" s="91"/>
      <c r="J219" s="92"/>
      <c r="K219" s="92"/>
      <c r="L219" s="92"/>
      <c r="M219" s="92"/>
    </row>
    <row r="220" spans="1:13">
      <c r="A220" s="134"/>
      <c r="B220" s="135"/>
      <c r="C220" s="92"/>
      <c r="D220" s="92"/>
      <c r="E220" s="92"/>
      <c r="F220" s="92"/>
      <c r="G220" s="92"/>
      <c r="H220" s="92"/>
      <c r="I220" s="91"/>
      <c r="J220" s="92"/>
      <c r="K220" s="92"/>
      <c r="L220" s="92"/>
      <c r="M220" s="92"/>
    </row>
    <row r="221" spans="1:13">
      <c r="A221" s="134"/>
      <c r="B221" s="135"/>
      <c r="C221" s="92"/>
      <c r="D221" s="92"/>
      <c r="E221" s="92"/>
      <c r="F221" s="92"/>
      <c r="G221" s="92"/>
      <c r="H221" s="92"/>
      <c r="I221" s="91"/>
      <c r="J221" s="92"/>
      <c r="K221" s="92"/>
      <c r="L221" s="92"/>
      <c r="M221" s="92"/>
    </row>
    <row r="222" spans="1:13">
      <c r="A222" s="134"/>
      <c r="B222" s="135"/>
      <c r="C222" s="92"/>
      <c r="D222" s="92"/>
      <c r="E222" s="92"/>
      <c r="F222" s="92"/>
      <c r="G222" s="92"/>
      <c r="H222" s="92"/>
      <c r="I222" s="91"/>
      <c r="J222" s="92"/>
      <c r="K222" s="92"/>
      <c r="L222" s="92"/>
      <c r="M222" s="92"/>
    </row>
    <row r="223" spans="1:13">
      <c r="A223" s="134"/>
      <c r="B223" s="135"/>
      <c r="C223" s="92"/>
      <c r="D223" s="92"/>
      <c r="E223" s="92"/>
      <c r="F223" s="92"/>
      <c r="G223" s="92"/>
      <c r="H223" s="92"/>
      <c r="I223" s="91"/>
      <c r="J223" s="92"/>
      <c r="K223" s="92"/>
      <c r="L223" s="92"/>
      <c r="M223" s="92"/>
    </row>
    <row r="224" spans="1:13">
      <c r="A224" s="134"/>
      <c r="B224" s="135"/>
      <c r="C224" s="92"/>
      <c r="D224" s="92"/>
      <c r="E224" s="92"/>
      <c r="F224" s="92"/>
      <c r="G224" s="92"/>
      <c r="H224" s="92"/>
      <c r="I224" s="91"/>
      <c r="J224" s="92"/>
      <c r="K224" s="92"/>
      <c r="L224" s="92"/>
      <c r="M224" s="92"/>
    </row>
    <row r="225" spans="1:13">
      <c r="A225" s="134"/>
      <c r="B225" s="135"/>
      <c r="C225" s="92"/>
      <c r="D225" s="92"/>
      <c r="E225" s="92"/>
      <c r="F225" s="92"/>
      <c r="G225" s="92"/>
      <c r="H225" s="92"/>
      <c r="I225" s="91"/>
      <c r="J225" s="92"/>
      <c r="K225" s="92"/>
      <c r="L225" s="92"/>
      <c r="M225" s="92"/>
    </row>
    <row r="226" spans="1:13">
      <c r="A226" s="134"/>
      <c r="B226" s="135"/>
      <c r="C226" s="92"/>
      <c r="D226" s="92"/>
      <c r="E226" s="92"/>
      <c r="F226" s="92"/>
      <c r="G226" s="92"/>
      <c r="H226" s="92"/>
      <c r="I226" s="91"/>
      <c r="J226" s="92"/>
      <c r="K226" s="92"/>
      <c r="L226" s="92"/>
      <c r="M226" s="92"/>
    </row>
    <row r="227" spans="1:13">
      <c r="A227" s="134"/>
      <c r="B227" s="135"/>
      <c r="C227" s="92"/>
      <c r="D227" s="92"/>
      <c r="E227" s="92"/>
      <c r="F227" s="92"/>
      <c r="G227" s="92"/>
      <c r="H227" s="92"/>
      <c r="I227" s="91"/>
      <c r="J227" s="92"/>
      <c r="K227" s="92"/>
      <c r="L227" s="92"/>
      <c r="M227" s="92"/>
    </row>
    <row r="228" spans="1:13">
      <c r="A228" s="134"/>
      <c r="B228" s="135"/>
      <c r="C228" s="92"/>
      <c r="D228" s="92"/>
      <c r="E228" s="92"/>
      <c r="F228" s="92"/>
      <c r="G228" s="92"/>
      <c r="H228" s="92"/>
      <c r="I228" s="91"/>
      <c r="J228" s="92"/>
      <c r="K228" s="92"/>
      <c r="L228" s="92"/>
      <c r="M228" s="92"/>
    </row>
    <row r="229" spans="1:13">
      <c r="A229" s="134"/>
      <c r="B229" s="135"/>
      <c r="C229" s="92"/>
      <c r="D229" s="92"/>
      <c r="E229" s="92"/>
      <c r="F229" s="92"/>
      <c r="G229" s="92"/>
      <c r="H229" s="92"/>
      <c r="I229" s="91"/>
      <c r="J229" s="92"/>
      <c r="K229" s="92"/>
      <c r="L229" s="92"/>
      <c r="M229" s="92"/>
    </row>
    <row r="230" spans="1:13">
      <c r="A230" s="134"/>
      <c r="B230" s="135"/>
      <c r="C230" s="92"/>
      <c r="D230" s="92"/>
      <c r="E230" s="92"/>
      <c r="F230" s="92"/>
      <c r="G230" s="92"/>
      <c r="H230" s="92"/>
      <c r="I230" s="91"/>
      <c r="J230" s="92"/>
      <c r="K230" s="92"/>
      <c r="L230" s="92"/>
      <c r="M230" s="92"/>
    </row>
    <row r="231" spans="1:13">
      <c r="A231" s="134"/>
      <c r="B231" s="135"/>
      <c r="C231" s="92"/>
      <c r="D231" s="92"/>
      <c r="E231" s="92"/>
      <c r="F231" s="92"/>
      <c r="G231" s="92"/>
      <c r="H231" s="92"/>
      <c r="I231" s="91"/>
      <c r="J231" s="92"/>
      <c r="K231" s="92"/>
      <c r="L231" s="92"/>
      <c r="M231" s="92"/>
    </row>
    <row r="232" spans="1:13">
      <c r="A232" s="134"/>
      <c r="B232" s="135"/>
      <c r="C232" s="92"/>
      <c r="D232" s="92"/>
      <c r="E232" s="92"/>
      <c r="F232" s="92"/>
      <c r="G232" s="92"/>
      <c r="H232" s="92"/>
      <c r="I232" s="91"/>
      <c r="J232" s="92"/>
      <c r="K232" s="92"/>
      <c r="L232" s="92"/>
      <c r="M232" s="92"/>
    </row>
    <row r="233" spans="1:13">
      <c r="A233" s="134"/>
      <c r="B233" s="135"/>
      <c r="C233" s="92"/>
      <c r="D233" s="92"/>
      <c r="E233" s="92"/>
      <c r="F233" s="92"/>
      <c r="G233" s="92"/>
      <c r="H233" s="92"/>
      <c r="I233" s="91"/>
      <c r="J233" s="92"/>
      <c r="K233" s="92"/>
      <c r="L233" s="92"/>
      <c r="M233" s="92"/>
    </row>
    <row r="234" spans="1:13">
      <c r="A234" s="134"/>
      <c r="B234" s="135"/>
      <c r="C234" s="92"/>
      <c r="D234" s="92"/>
      <c r="E234" s="92"/>
      <c r="F234" s="92"/>
      <c r="G234" s="92"/>
      <c r="H234" s="92"/>
      <c r="I234" s="91"/>
      <c r="J234" s="92"/>
      <c r="K234" s="92"/>
      <c r="L234" s="92"/>
      <c r="M234" s="92"/>
    </row>
    <row r="235" spans="1:13">
      <c r="A235" s="134"/>
      <c r="B235" s="135"/>
      <c r="C235" s="92"/>
      <c r="D235" s="92"/>
      <c r="E235" s="92"/>
      <c r="F235" s="92"/>
      <c r="G235" s="92"/>
      <c r="H235" s="92"/>
      <c r="I235" s="91"/>
      <c r="J235" s="92"/>
      <c r="K235" s="92"/>
      <c r="L235" s="92"/>
      <c r="M235" s="92"/>
    </row>
    <row r="236" spans="1:13">
      <c r="A236" s="134"/>
      <c r="B236" s="135"/>
      <c r="C236" s="92"/>
      <c r="D236" s="92"/>
      <c r="E236" s="92"/>
      <c r="F236" s="92"/>
      <c r="G236" s="92"/>
      <c r="H236" s="92"/>
      <c r="I236" s="91"/>
      <c r="J236" s="92"/>
      <c r="K236" s="92"/>
      <c r="L236" s="92"/>
      <c r="M236" s="92"/>
    </row>
    <row r="237" spans="1:13">
      <c r="A237" s="134"/>
      <c r="B237" s="135"/>
      <c r="C237" s="92"/>
      <c r="D237" s="92"/>
      <c r="E237" s="92"/>
      <c r="F237" s="92"/>
      <c r="G237" s="92"/>
      <c r="H237" s="92"/>
      <c r="I237" s="91"/>
      <c r="J237" s="92"/>
      <c r="K237" s="92"/>
      <c r="L237" s="92"/>
      <c r="M237" s="92"/>
    </row>
    <row r="238" spans="1:13">
      <c r="A238" s="134"/>
      <c r="B238" s="135"/>
      <c r="C238" s="92"/>
      <c r="D238" s="92"/>
      <c r="E238" s="92"/>
      <c r="F238" s="92"/>
      <c r="G238" s="92"/>
      <c r="H238" s="92"/>
      <c r="I238" s="91"/>
      <c r="J238" s="92"/>
      <c r="K238" s="92"/>
      <c r="L238" s="92"/>
      <c r="M238" s="92"/>
    </row>
    <row r="239" spans="1:13">
      <c r="A239" s="134"/>
      <c r="B239" s="135"/>
      <c r="C239" s="92"/>
      <c r="D239" s="92"/>
      <c r="E239" s="92"/>
      <c r="F239" s="92"/>
      <c r="G239" s="92"/>
      <c r="H239" s="92"/>
      <c r="I239" s="91"/>
      <c r="J239" s="92"/>
      <c r="K239" s="92"/>
      <c r="L239" s="92"/>
      <c r="M239" s="92"/>
    </row>
    <row r="240" spans="1:13">
      <c r="A240" s="134"/>
      <c r="B240" s="135"/>
      <c r="C240" s="92"/>
      <c r="D240" s="92"/>
      <c r="E240" s="92"/>
      <c r="F240" s="92"/>
      <c r="G240" s="92"/>
      <c r="H240" s="92"/>
      <c r="I240" s="91"/>
      <c r="J240" s="92"/>
      <c r="K240" s="92"/>
      <c r="L240" s="92"/>
      <c r="M240" s="92"/>
    </row>
    <row r="241" spans="1:13">
      <c r="A241" s="134"/>
      <c r="B241" s="135"/>
      <c r="C241" s="92"/>
      <c r="D241" s="92"/>
      <c r="E241" s="92"/>
      <c r="F241" s="92"/>
      <c r="G241" s="92"/>
      <c r="H241" s="92"/>
      <c r="I241" s="91"/>
      <c r="J241" s="92"/>
      <c r="K241" s="92"/>
      <c r="L241" s="92"/>
      <c r="M241" s="92"/>
    </row>
    <row r="242" spans="1:13">
      <c r="A242" s="134"/>
      <c r="B242" s="135"/>
      <c r="C242" s="92"/>
      <c r="D242" s="92"/>
      <c r="E242" s="92"/>
      <c r="F242" s="92"/>
      <c r="G242" s="92"/>
      <c r="H242" s="92"/>
      <c r="I242" s="91"/>
      <c r="J242" s="92"/>
      <c r="K242" s="92"/>
      <c r="L242" s="92"/>
      <c r="M242" s="92"/>
    </row>
    <row r="243" spans="1:13">
      <c r="A243" s="134"/>
      <c r="B243" s="135"/>
      <c r="C243" s="92"/>
      <c r="D243" s="92"/>
      <c r="E243" s="92"/>
      <c r="F243" s="92"/>
      <c r="G243" s="92"/>
      <c r="H243" s="92"/>
      <c r="I243" s="91"/>
      <c r="J243" s="92"/>
      <c r="K243" s="92"/>
      <c r="L243" s="92"/>
      <c r="M243" s="92"/>
    </row>
    <row r="244" spans="1:13">
      <c r="A244" s="134"/>
      <c r="B244" s="135"/>
      <c r="C244" s="92"/>
      <c r="D244" s="92"/>
      <c r="E244" s="92"/>
      <c r="F244" s="92"/>
      <c r="G244" s="92"/>
      <c r="H244" s="92"/>
      <c r="I244" s="91"/>
      <c r="J244" s="92"/>
      <c r="K244" s="92"/>
      <c r="L244" s="92"/>
      <c r="M244" s="92"/>
    </row>
    <row r="245" spans="1:13">
      <c r="A245" s="134"/>
      <c r="B245" s="135"/>
      <c r="C245" s="92"/>
      <c r="D245" s="92"/>
      <c r="E245" s="92"/>
      <c r="F245" s="92"/>
      <c r="G245" s="92"/>
      <c r="H245" s="92"/>
      <c r="I245" s="91"/>
      <c r="J245" s="92"/>
      <c r="K245" s="92"/>
      <c r="L245" s="92"/>
      <c r="M245" s="92"/>
    </row>
    <row r="246" spans="1:13">
      <c r="A246" s="134"/>
      <c r="B246" s="135"/>
      <c r="C246" s="92"/>
      <c r="D246" s="92"/>
      <c r="E246" s="92"/>
      <c r="F246" s="92"/>
      <c r="G246" s="92"/>
      <c r="H246" s="92"/>
      <c r="I246" s="91"/>
      <c r="J246" s="92"/>
      <c r="K246" s="92"/>
      <c r="L246" s="92"/>
      <c r="M246" s="92"/>
    </row>
    <row r="247" spans="1:13">
      <c r="A247" s="134"/>
      <c r="B247" s="135"/>
      <c r="C247" s="92"/>
      <c r="D247" s="92"/>
      <c r="E247" s="92"/>
      <c r="F247" s="92"/>
      <c r="G247" s="92"/>
      <c r="H247" s="92"/>
      <c r="I247" s="91"/>
      <c r="J247" s="92"/>
      <c r="K247" s="92"/>
      <c r="L247" s="92"/>
      <c r="M247" s="92"/>
    </row>
    <row r="248" spans="1:13">
      <c r="A248" s="134"/>
      <c r="B248" s="135"/>
      <c r="C248" s="92"/>
      <c r="D248" s="92"/>
      <c r="E248" s="92"/>
      <c r="F248" s="92"/>
      <c r="G248" s="92"/>
      <c r="H248" s="92"/>
      <c r="I248" s="91"/>
      <c r="J248" s="92"/>
      <c r="K248" s="92"/>
      <c r="L248" s="92"/>
      <c r="M248" s="92"/>
    </row>
    <row r="249" spans="1:13">
      <c r="A249" s="134"/>
      <c r="B249" s="135"/>
      <c r="C249" s="92"/>
      <c r="D249" s="92"/>
      <c r="E249" s="92"/>
      <c r="F249" s="92"/>
      <c r="G249" s="92"/>
      <c r="H249" s="92"/>
      <c r="I249" s="91"/>
      <c r="J249" s="92"/>
      <c r="K249" s="92"/>
      <c r="L249" s="92"/>
      <c r="M249" s="92"/>
    </row>
    <row r="250" spans="1:13">
      <c r="A250" s="134"/>
      <c r="B250" s="135"/>
      <c r="C250" s="92"/>
      <c r="D250" s="92"/>
      <c r="E250" s="92"/>
      <c r="F250" s="92"/>
      <c r="G250" s="92"/>
      <c r="H250" s="92"/>
      <c r="I250" s="91"/>
      <c r="J250" s="92"/>
      <c r="K250" s="92"/>
      <c r="L250" s="92"/>
      <c r="M250" s="92"/>
    </row>
    <row r="251" spans="1:13">
      <c r="A251" s="134"/>
      <c r="B251" s="135"/>
      <c r="C251" s="92"/>
      <c r="D251" s="92"/>
      <c r="E251" s="92"/>
      <c r="F251" s="92"/>
      <c r="G251" s="92"/>
      <c r="H251" s="92"/>
      <c r="I251" s="91"/>
      <c r="J251" s="92"/>
      <c r="K251" s="92"/>
      <c r="L251" s="92"/>
      <c r="M251" s="92"/>
    </row>
    <row r="252" spans="1:13">
      <c r="A252" s="134"/>
      <c r="B252" s="135"/>
      <c r="C252" s="92"/>
      <c r="D252" s="92"/>
      <c r="E252" s="92"/>
      <c r="F252" s="92"/>
      <c r="G252" s="92"/>
      <c r="H252" s="92"/>
      <c r="I252" s="91"/>
      <c r="J252" s="92"/>
      <c r="K252" s="92"/>
      <c r="L252" s="92"/>
      <c r="M252" s="92"/>
    </row>
    <row r="253" spans="1:13">
      <c r="A253" s="134"/>
      <c r="B253" s="135"/>
      <c r="C253" s="92"/>
      <c r="D253" s="92"/>
      <c r="E253" s="92"/>
      <c r="F253" s="92"/>
      <c r="G253" s="92"/>
      <c r="H253" s="92"/>
      <c r="I253" s="91"/>
      <c r="J253" s="92"/>
      <c r="K253" s="92"/>
      <c r="L253" s="92"/>
      <c r="M253" s="92"/>
    </row>
    <row r="254" spans="1:13">
      <c r="A254" s="134"/>
      <c r="B254" s="135"/>
      <c r="C254" s="92"/>
      <c r="D254" s="92"/>
      <c r="E254" s="92"/>
      <c r="F254" s="92"/>
      <c r="G254" s="92"/>
      <c r="H254" s="92"/>
      <c r="I254" s="91"/>
      <c r="J254" s="92"/>
      <c r="K254" s="92"/>
      <c r="L254" s="92"/>
      <c r="M254" s="92"/>
    </row>
    <row r="255" spans="1:13">
      <c r="A255" s="134"/>
      <c r="B255" s="135"/>
      <c r="C255" s="92"/>
      <c r="D255" s="92"/>
      <c r="E255" s="92"/>
      <c r="F255" s="92"/>
      <c r="G255" s="92"/>
      <c r="H255" s="92"/>
      <c r="I255" s="91"/>
      <c r="J255" s="92"/>
      <c r="K255" s="92"/>
      <c r="L255" s="92"/>
      <c r="M255" s="92"/>
    </row>
    <row r="256" spans="1:13">
      <c r="A256" s="134"/>
      <c r="B256" s="135"/>
      <c r="C256" s="92"/>
      <c r="D256" s="92"/>
      <c r="E256" s="92"/>
      <c r="F256" s="92"/>
      <c r="G256" s="92"/>
      <c r="H256" s="92"/>
      <c r="I256" s="91"/>
      <c r="J256" s="92"/>
      <c r="K256" s="92"/>
      <c r="L256" s="92"/>
      <c r="M256" s="92"/>
    </row>
    <row r="257" spans="1:13">
      <c r="A257" s="134"/>
      <c r="B257" s="135"/>
      <c r="C257" s="92"/>
      <c r="D257" s="92"/>
      <c r="E257" s="92"/>
      <c r="F257" s="92"/>
      <c r="G257" s="92"/>
      <c r="H257" s="92"/>
      <c r="I257" s="91"/>
      <c r="J257" s="92"/>
      <c r="K257" s="92"/>
      <c r="L257" s="92"/>
      <c r="M257" s="92"/>
    </row>
    <row r="258" spans="1:13">
      <c r="A258" s="134"/>
      <c r="B258" s="135"/>
      <c r="C258" s="92"/>
      <c r="D258" s="92"/>
      <c r="E258" s="92"/>
      <c r="F258" s="92"/>
      <c r="G258" s="92"/>
      <c r="H258" s="92"/>
      <c r="I258" s="91"/>
      <c r="J258" s="92"/>
      <c r="K258" s="92"/>
      <c r="L258" s="92"/>
      <c r="M258" s="92"/>
    </row>
    <row r="259" spans="1:13">
      <c r="A259" s="134"/>
      <c r="B259" s="135"/>
      <c r="C259" s="92"/>
      <c r="D259" s="92"/>
      <c r="E259" s="92"/>
      <c r="F259" s="92"/>
      <c r="G259" s="92"/>
      <c r="H259" s="92"/>
      <c r="I259" s="91"/>
      <c r="J259" s="92"/>
      <c r="K259" s="92"/>
      <c r="L259" s="92"/>
      <c r="M259" s="92"/>
    </row>
    <row r="260" spans="1:13">
      <c r="A260" s="134"/>
      <c r="B260" s="135"/>
      <c r="C260" s="92"/>
      <c r="D260" s="92"/>
      <c r="E260" s="92"/>
      <c r="F260" s="92"/>
      <c r="G260" s="92"/>
      <c r="H260" s="92"/>
      <c r="I260" s="91"/>
      <c r="J260" s="92"/>
      <c r="K260" s="92"/>
      <c r="L260" s="92"/>
      <c r="M260" s="92"/>
    </row>
    <row r="261" spans="1:13">
      <c r="A261" s="134"/>
      <c r="B261" s="135"/>
      <c r="C261" s="92"/>
      <c r="D261" s="92"/>
      <c r="E261" s="92"/>
      <c r="F261" s="92"/>
      <c r="G261" s="92"/>
      <c r="H261" s="92"/>
      <c r="I261" s="91"/>
      <c r="J261" s="92"/>
      <c r="K261" s="92"/>
      <c r="L261" s="92"/>
      <c r="M261" s="92"/>
    </row>
    <row r="262" spans="1:13">
      <c r="A262" s="134"/>
      <c r="B262" s="135"/>
      <c r="C262" s="92"/>
      <c r="D262" s="92"/>
      <c r="E262" s="92"/>
      <c r="F262" s="92"/>
      <c r="G262" s="92"/>
      <c r="H262" s="92"/>
      <c r="I262" s="91"/>
      <c r="J262" s="92"/>
      <c r="K262" s="92"/>
      <c r="L262" s="92"/>
      <c r="M262" s="92"/>
    </row>
    <row r="263" spans="1:13">
      <c r="A263" s="134"/>
      <c r="B263" s="135"/>
      <c r="C263" s="92"/>
      <c r="D263" s="92"/>
      <c r="E263" s="92"/>
      <c r="F263" s="92"/>
      <c r="G263" s="92"/>
      <c r="H263" s="92"/>
      <c r="I263" s="91"/>
      <c r="J263" s="92"/>
      <c r="K263" s="92"/>
      <c r="L263" s="92"/>
      <c r="M263" s="92"/>
    </row>
    <row r="264" spans="1:13">
      <c r="A264" s="134"/>
      <c r="B264" s="135"/>
      <c r="C264" s="92"/>
      <c r="D264" s="92"/>
      <c r="E264" s="92"/>
      <c r="F264" s="92"/>
      <c r="G264" s="92"/>
      <c r="H264" s="92"/>
      <c r="I264" s="91"/>
      <c r="J264" s="92"/>
      <c r="K264" s="92"/>
      <c r="L264" s="92"/>
      <c r="M264" s="92"/>
    </row>
    <row r="265" spans="1:13">
      <c r="A265" s="134"/>
      <c r="B265" s="135"/>
      <c r="C265" s="92"/>
      <c r="D265" s="92"/>
      <c r="E265" s="92"/>
      <c r="F265" s="92"/>
      <c r="G265" s="92"/>
      <c r="H265" s="92"/>
      <c r="I265" s="91"/>
      <c r="J265" s="92"/>
      <c r="K265" s="92"/>
      <c r="L265" s="92"/>
      <c r="M265" s="92"/>
    </row>
    <row r="266" spans="1:13">
      <c r="A266" s="134"/>
      <c r="B266" s="135"/>
      <c r="C266" s="92"/>
      <c r="D266" s="92"/>
      <c r="E266" s="92"/>
      <c r="F266" s="92"/>
      <c r="G266" s="92"/>
      <c r="H266" s="92"/>
      <c r="I266" s="91"/>
      <c r="J266" s="92"/>
      <c r="K266" s="92"/>
      <c r="L266" s="92"/>
      <c r="M266" s="92"/>
    </row>
    <row r="267" spans="1:13">
      <c r="A267" s="134"/>
      <c r="B267" s="135"/>
      <c r="C267" s="92"/>
      <c r="D267" s="92"/>
      <c r="E267" s="92"/>
      <c r="F267" s="92"/>
      <c r="G267" s="92"/>
      <c r="H267" s="92"/>
      <c r="I267" s="91"/>
      <c r="J267" s="92"/>
      <c r="K267" s="92"/>
      <c r="L267" s="92"/>
      <c r="M267" s="92"/>
    </row>
    <row r="268" spans="1:13">
      <c r="A268" s="134"/>
      <c r="B268" s="135"/>
      <c r="C268" s="92"/>
      <c r="D268" s="92"/>
      <c r="E268" s="92"/>
      <c r="F268" s="92"/>
      <c r="G268" s="92"/>
      <c r="H268" s="92"/>
      <c r="I268" s="91"/>
      <c r="J268" s="92"/>
      <c r="K268" s="92"/>
      <c r="L268" s="92"/>
      <c r="M268" s="92"/>
    </row>
    <row r="269" spans="1:13">
      <c r="A269" s="134"/>
      <c r="B269" s="135"/>
      <c r="C269" s="92"/>
      <c r="D269" s="92"/>
      <c r="E269" s="92"/>
      <c r="F269" s="92"/>
      <c r="G269" s="92"/>
      <c r="H269" s="92"/>
      <c r="I269" s="91"/>
      <c r="J269" s="92"/>
      <c r="K269" s="92"/>
      <c r="L269" s="92"/>
      <c r="M269" s="92"/>
    </row>
    <row r="270" spans="1:13">
      <c r="A270" s="134"/>
      <c r="B270" s="135"/>
      <c r="C270" s="92"/>
      <c r="D270" s="92"/>
      <c r="E270" s="92"/>
      <c r="F270" s="92"/>
      <c r="G270" s="92"/>
      <c r="H270" s="92"/>
      <c r="I270" s="91"/>
      <c r="J270" s="92"/>
      <c r="K270" s="92"/>
      <c r="L270" s="92"/>
      <c r="M270" s="92"/>
    </row>
    <row r="271" spans="1:13">
      <c r="A271" s="134"/>
      <c r="B271" s="135"/>
      <c r="C271" s="92"/>
      <c r="D271" s="92"/>
      <c r="E271" s="92"/>
      <c r="F271" s="92"/>
      <c r="G271" s="92"/>
      <c r="H271" s="92"/>
      <c r="I271" s="91"/>
      <c r="J271" s="92"/>
      <c r="K271" s="92"/>
      <c r="L271" s="92"/>
      <c r="M271" s="92"/>
    </row>
    <row r="272" spans="1:13">
      <c r="A272" s="134"/>
      <c r="B272" s="135"/>
      <c r="C272" s="92"/>
      <c r="D272" s="92"/>
      <c r="E272" s="92"/>
      <c r="F272" s="92"/>
      <c r="G272" s="92"/>
      <c r="H272" s="92"/>
      <c r="I272" s="91"/>
      <c r="J272" s="92"/>
      <c r="K272" s="92"/>
      <c r="L272" s="92"/>
      <c r="M272" s="92"/>
    </row>
    <row r="273" spans="1:13">
      <c r="A273" s="134"/>
      <c r="B273" s="135"/>
      <c r="C273" s="92"/>
      <c r="D273" s="92"/>
      <c r="E273" s="92"/>
      <c r="F273" s="92"/>
      <c r="G273" s="92"/>
      <c r="H273" s="92"/>
      <c r="I273" s="91"/>
      <c r="J273" s="92"/>
      <c r="K273" s="92"/>
      <c r="L273" s="92"/>
      <c r="M273" s="92"/>
    </row>
    <row r="274" spans="1:13">
      <c r="A274" s="134"/>
      <c r="B274" s="135"/>
      <c r="C274" s="92"/>
      <c r="D274" s="92"/>
      <c r="E274" s="92"/>
      <c r="F274" s="92"/>
      <c r="G274" s="92"/>
      <c r="H274" s="92"/>
      <c r="I274" s="91"/>
      <c r="J274" s="92"/>
      <c r="K274" s="92"/>
      <c r="L274" s="92"/>
      <c r="M274" s="92"/>
    </row>
    <row r="275" spans="1:13">
      <c r="A275" s="134"/>
      <c r="B275" s="135"/>
      <c r="C275" s="92"/>
      <c r="D275" s="92"/>
      <c r="E275" s="92"/>
      <c r="F275" s="92"/>
      <c r="G275" s="92"/>
      <c r="H275" s="92"/>
      <c r="I275" s="91"/>
      <c r="J275" s="92"/>
      <c r="K275" s="92"/>
      <c r="L275" s="92"/>
      <c r="M275" s="92"/>
    </row>
    <row r="276" spans="1:13">
      <c r="A276" s="134"/>
      <c r="B276" s="135"/>
      <c r="C276" s="92"/>
      <c r="D276" s="92"/>
      <c r="E276" s="92"/>
      <c r="F276" s="92"/>
      <c r="G276" s="92"/>
      <c r="H276" s="92"/>
      <c r="I276" s="91"/>
      <c r="J276" s="92"/>
      <c r="K276" s="92"/>
      <c r="L276" s="92"/>
      <c r="M276" s="92"/>
    </row>
    <row r="277" spans="1:13">
      <c r="A277" s="134"/>
      <c r="B277" s="135"/>
      <c r="C277" s="92"/>
      <c r="D277" s="92"/>
      <c r="E277" s="92"/>
      <c r="F277" s="92"/>
      <c r="G277" s="92"/>
      <c r="H277" s="92"/>
      <c r="I277" s="91"/>
      <c r="J277" s="92"/>
      <c r="K277" s="92"/>
      <c r="L277" s="92"/>
      <c r="M277" s="92"/>
    </row>
    <row r="278" spans="1:13">
      <c r="A278" s="134"/>
      <c r="B278" s="135"/>
      <c r="C278" s="92"/>
      <c r="D278" s="92"/>
      <c r="E278" s="92"/>
      <c r="F278" s="92"/>
      <c r="G278" s="92"/>
      <c r="H278" s="92"/>
      <c r="I278" s="91"/>
      <c r="J278" s="92"/>
      <c r="K278" s="92"/>
      <c r="L278" s="92"/>
      <c r="M278" s="92"/>
    </row>
    <row r="279" spans="1:13">
      <c r="A279" s="134"/>
      <c r="B279" s="135"/>
      <c r="C279" s="92"/>
      <c r="D279" s="92"/>
      <c r="E279" s="92"/>
      <c r="F279" s="92"/>
      <c r="G279" s="92"/>
      <c r="H279" s="92"/>
      <c r="I279" s="91"/>
      <c r="J279" s="92"/>
      <c r="K279" s="92"/>
      <c r="L279" s="92"/>
      <c r="M279" s="92"/>
    </row>
    <row r="280" spans="1:13">
      <c r="A280" s="134"/>
      <c r="B280" s="135"/>
      <c r="C280" s="92"/>
      <c r="D280" s="92"/>
      <c r="E280" s="92"/>
      <c r="F280" s="92"/>
      <c r="G280" s="92"/>
      <c r="H280" s="92"/>
      <c r="I280" s="91"/>
      <c r="J280" s="92"/>
      <c r="K280" s="92"/>
      <c r="L280" s="92"/>
      <c r="M280" s="92"/>
    </row>
    <row r="281" spans="1:13">
      <c r="A281" s="134"/>
      <c r="B281" s="135"/>
      <c r="C281" s="92"/>
      <c r="D281" s="92"/>
      <c r="E281" s="92"/>
      <c r="F281" s="92"/>
      <c r="G281" s="92"/>
      <c r="H281" s="92"/>
      <c r="I281" s="91"/>
      <c r="J281" s="92"/>
      <c r="K281" s="92"/>
      <c r="L281" s="92"/>
      <c r="M281" s="92"/>
    </row>
    <row r="282" spans="1:13">
      <c r="A282" s="134"/>
      <c r="B282" s="135"/>
      <c r="C282" s="92"/>
      <c r="D282" s="92"/>
      <c r="E282" s="92"/>
      <c r="F282" s="92"/>
      <c r="G282" s="92"/>
      <c r="H282" s="92"/>
      <c r="I282" s="91"/>
      <c r="J282" s="92"/>
      <c r="K282" s="92"/>
      <c r="L282" s="92"/>
      <c r="M282" s="92"/>
    </row>
    <row r="283" spans="1:13">
      <c r="A283" s="134"/>
      <c r="B283" s="135"/>
      <c r="C283" s="92"/>
      <c r="D283" s="92"/>
      <c r="E283" s="92"/>
      <c r="F283" s="92"/>
      <c r="G283" s="92"/>
      <c r="H283" s="92"/>
      <c r="I283" s="91"/>
      <c r="J283" s="92"/>
      <c r="K283" s="92"/>
      <c r="L283" s="92"/>
      <c r="M283" s="92"/>
    </row>
    <row r="284" spans="1:13">
      <c r="A284" s="134"/>
      <c r="B284" s="135"/>
      <c r="C284" s="92"/>
      <c r="D284" s="92"/>
      <c r="E284" s="92"/>
      <c r="F284" s="92"/>
      <c r="G284" s="92"/>
      <c r="H284" s="92"/>
      <c r="I284" s="91"/>
      <c r="J284" s="92"/>
      <c r="K284" s="92"/>
      <c r="L284" s="92"/>
      <c r="M284" s="92"/>
    </row>
    <row r="285" spans="1:13">
      <c r="A285" s="134"/>
      <c r="B285" s="135"/>
      <c r="C285" s="92"/>
      <c r="D285" s="92"/>
      <c r="E285" s="92"/>
      <c r="F285" s="92"/>
      <c r="G285" s="92"/>
      <c r="H285" s="92"/>
      <c r="I285" s="91"/>
      <c r="J285" s="92"/>
      <c r="K285" s="92"/>
      <c r="L285" s="92"/>
      <c r="M285" s="92"/>
    </row>
    <row r="286" spans="1:13">
      <c r="A286" s="134"/>
      <c r="B286" s="135"/>
      <c r="C286" s="92"/>
      <c r="D286" s="92"/>
      <c r="E286" s="92"/>
      <c r="F286" s="92"/>
      <c r="G286" s="92"/>
      <c r="H286" s="92"/>
      <c r="I286" s="91"/>
      <c r="J286" s="92"/>
      <c r="K286" s="92"/>
      <c r="L286" s="92"/>
      <c r="M286" s="92"/>
    </row>
    <row r="287" spans="1:13">
      <c r="A287" s="134"/>
      <c r="B287" s="135"/>
      <c r="C287" s="92"/>
      <c r="D287" s="92"/>
      <c r="E287" s="92"/>
      <c r="F287" s="92"/>
      <c r="G287" s="92"/>
      <c r="H287" s="92"/>
      <c r="I287" s="91"/>
      <c r="J287" s="92"/>
      <c r="K287" s="92"/>
      <c r="L287" s="92"/>
      <c r="M287" s="92"/>
    </row>
    <row r="288" spans="1:13">
      <c r="A288" s="134"/>
      <c r="B288" s="135"/>
      <c r="C288" s="92"/>
      <c r="D288" s="92"/>
      <c r="E288" s="92"/>
      <c r="F288" s="92"/>
      <c r="G288" s="92"/>
      <c r="H288" s="92"/>
      <c r="I288" s="91"/>
      <c r="J288" s="92"/>
      <c r="K288" s="92"/>
      <c r="L288" s="92"/>
      <c r="M288" s="92"/>
    </row>
    <row r="289" spans="1:13">
      <c r="A289" s="134"/>
      <c r="B289" s="135"/>
      <c r="C289" s="92"/>
      <c r="D289" s="92"/>
      <c r="E289" s="92"/>
      <c r="F289" s="92"/>
      <c r="G289" s="92"/>
      <c r="H289" s="92"/>
      <c r="I289" s="91"/>
      <c r="J289" s="92"/>
      <c r="K289" s="92"/>
      <c r="L289" s="92"/>
      <c r="M289" s="92"/>
    </row>
    <row r="290" spans="1:13">
      <c r="A290" s="134"/>
      <c r="B290" s="135"/>
      <c r="C290" s="92"/>
      <c r="D290" s="92"/>
      <c r="E290" s="92"/>
      <c r="F290" s="92"/>
      <c r="G290" s="92"/>
      <c r="H290" s="92"/>
      <c r="I290" s="91"/>
      <c r="J290" s="92"/>
      <c r="K290" s="92"/>
      <c r="L290" s="92"/>
      <c r="M290" s="92"/>
    </row>
    <row r="291" spans="1:13">
      <c r="A291" s="134"/>
      <c r="B291" s="135"/>
      <c r="C291" s="92"/>
      <c r="D291" s="92"/>
      <c r="E291" s="92"/>
      <c r="F291" s="92"/>
      <c r="G291" s="92"/>
      <c r="H291" s="92"/>
      <c r="I291" s="91"/>
      <c r="J291" s="92"/>
      <c r="K291" s="92"/>
      <c r="L291" s="92"/>
      <c r="M291" s="92"/>
    </row>
    <row r="292" spans="1:13">
      <c r="A292" s="134"/>
      <c r="B292" s="135"/>
      <c r="C292" s="92"/>
      <c r="D292" s="92"/>
      <c r="E292" s="92"/>
      <c r="F292" s="92"/>
      <c r="G292" s="92"/>
      <c r="H292" s="92"/>
      <c r="I292" s="91"/>
      <c r="J292" s="92"/>
      <c r="K292" s="92"/>
      <c r="L292" s="92"/>
      <c r="M292" s="92"/>
    </row>
    <row r="293" spans="1:13">
      <c r="A293" s="134"/>
      <c r="B293" s="135"/>
      <c r="C293" s="92"/>
      <c r="D293" s="92"/>
      <c r="E293" s="92"/>
      <c r="F293" s="92"/>
      <c r="G293" s="92"/>
      <c r="H293" s="92"/>
      <c r="I293" s="91"/>
      <c r="J293" s="92"/>
      <c r="K293" s="92"/>
      <c r="L293" s="92"/>
      <c r="M293" s="92"/>
    </row>
    <row r="294" spans="1:13">
      <c r="A294" s="134"/>
      <c r="B294" s="135"/>
      <c r="C294" s="92"/>
      <c r="D294" s="92"/>
      <c r="E294" s="92"/>
      <c r="F294" s="92"/>
      <c r="G294" s="92"/>
      <c r="H294" s="92"/>
      <c r="I294" s="91"/>
      <c r="J294" s="92"/>
      <c r="K294" s="92"/>
      <c r="L294" s="92"/>
      <c r="M294" s="92"/>
    </row>
    <row r="295" spans="1:13">
      <c r="A295" s="134"/>
      <c r="B295" s="135"/>
      <c r="C295" s="92"/>
      <c r="D295" s="92"/>
      <c r="E295" s="92"/>
      <c r="F295" s="92"/>
      <c r="G295" s="92"/>
      <c r="H295" s="92"/>
      <c r="I295" s="91"/>
      <c r="J295" s="92"/>
      <c r="K295" s="92"/>
      <c r="L295" s="92"/>
      <c r="M295" s="92"/>
    </row>
    <row r="296" spans="1:13">
      <c r="A296" s="134"/>
      <c r="B296" s="135"/>
      <c r="C296" s="92"/>
      <c r="D296" s="92"/>
      <c r="E296" s="92"/>
      <c r="F296" s="92"/>
      <c r="G296" s="92"/>
      <c r="H296" s="92"/>
      <c r="I296" s="91"/>
      <c r="J296" s="92"/>
      <c r="K296" s="92"/>
      <c r="L296" s="92"/>
      <c r="M296" s="92"/>
    </row>
    <row r="297" spans="1:13">
      <c r="A297" s="134"/>
      <c r="B297" s="135"/>
      <c r="C297" s="92"/>
      <c r="D297" s="92"/>
      <c r="E297" s="92"/>
      <c r="F297" s="92"/>
      <c r="G297" s="92"/>
      <c r="H297" s="92"/>
      <c r="I297" s="91"/>
      <c r="J297" s="92"/>
      <c r="K297" s="92"/>
      <c r="L297" s="92"/>
      <c r="M297" s="92"/>
    </row>
    <row r="298" spans="1:13">
      <c r="A298" s="134"/>
      <c r="B298" s="135"/>
      <c r="C298" s="92"/>
      <c r="D298" s="92"/>
      <c r="E298" s="92"/>
      <c r="F298" s="92"/>
      <c r="G298" s="92"/>
      <c r="H298" s="92"/>
      <c r="I298" s="91"/>
      <c r="J298" s="92"/>
      <c r="K298" s="92"/>
      <c r="L298" s="92"/>
      <c r="M298" s="92"/>
    </row>
    <row r="299" spans="1:13">
      <c r="A299" s="134"/>
      <c r="B299" s="135"/>
      <c r="C299" s="92"/>
      <c r="D299" s="92"/>
      <c r="E299" s="92"/>
      <c r="F299" s="92"/>
      <c r="G299" s="92"/>
      <c r="H299" s="92"/>
      <c r="I299" s="91"/>
      <c r="J299" s="92"/>
      <c r="K299" s="92"/>
      <c r="L299" s="92"/>
      <c r="M299" s="92"/>
    </row>
    <row r="300" spans="1:13">
      <c r="A300" s="134"/>
      <c r="B300" s="135"/>
      <c r="C300" s="92"/>
      <c r="D300" s="92"/>
      <c r="E300" s="92"/>
      <c r="F300" s="92"/>
      <c r="G300" s="92"/>
      <c r="H300" s="92"/>
      <c r="I300" s="91"/>
      <c r="J300" s="92"/>
      <c r="K300" s="92"/>
      <c r="L300" s="92"/>
      <c r="M300" s="92"/>
    </row>
    <row r="301" spans="1:13">
      <c r="A301" s="134"/>
      <c r="B301" s="135"/>
      <c r="C301" s="92"/>
      <c r="D301" s="92"/>
      <c r="E301" s="92"/>
      <c r="F301" s="92"/>
      <c r="G301" s="92"/>
      <c r="H301" s="92"/>
      <c r="I301" s="91"/>
      <c r="J301" s="92"/>
      <c r="K301" s="92"/>
      <c r="L301" s="92"/>
      <c r="M301" s="92"/>
    </row>
    <row r="302" spans="1:13">
      <c r="A302" s="134"/>
      <c r="B302" s="135"/>
      <c r="C302" s="92"/>
      <c r="D302" s="92"/>
      <c r="E302" s="92"/>
      <c r="F302" s="92"/>
      <c r="G302" s="92"/>
      <c r="H302" s="92"/>
      <c r="I302" s="91"/>
      <c r="J302" s="92"/>
      <c r="K302" s="92"/>
      <c r="L302" s="92"/>
      <c r="M302" s="92"/>
    </row>
    <row r="303" spans="1:13">
      <c r="A303" s="134"/>
      <c r="B303" s="135"/>
      <c r="C303" s="92"/>
      <c r="D303" s="92"/>
      <c r="E303" s="92"/>
      <c r="F303" s="92"/>
      <c r="G303" s="92"/>
      <c r="H303" s="92"/>
      <c r="I303" s="91"/>
      <c r="J303" s="92"/>
      <c r="K303" s="92"/>
      <c r="L303" s="92"/>
      <c r="M303" s="92"/>
    </row>
    <row r="304" spans="1:13">
      <c r="A304" s="134"/>
      <c r="B304" s="135"/>
      <c r="C304" s="92"/>
      <c r="D304" s="92"/>
      <c r="E304" s="92"/>
      <c r="F304" s="92"/>
      <c r="G304" s="92"/>
      <c r="H304" s="92"/>
      <c r="I304" s="91"/>
      <c r="J304" s="92"/>
      <c r="K304" s="92"/>
      <c r="L304" s="92"/>
      <c r="M304" s="92"/>
    </row>
    <row r="305" spans="1:13">
      <c r="A305" s="134"/>
      <c r="B305" s="135"/>
      <c r="C305" s="92"/>
      <c r="D305" s="92"/>
      <c r="E305" s="92"/>
      <c r="F305" s="92"/>
      <c r="G305" s="92"/>
      <c r="H305" s="92"/>
      <c r="I305" s="91"/>
      <c r="J305" s="92"/>
      <c r="K305" s="92"/>
      <c r="L305" s="92"/>
      <c r="M305" s="92"/>
    </row>
    <row r="306" spans="1:13">
      <c r="A306" s="134"/>
      <c r="B306" s="135"/>
      <c r="C306" s="92"/>
      <c r="D306" s="92"/>
      <c r="E306" s="92"/>
      <c r="F306" s="92"/>
      <c r="G306" s="92"/>
      <c r="H306" s="92"/>
      <c r="I306" s="91"/>
      <c r="J306" s="92"/>
      <c r="K306" s="92"/>
      <c r="L306" s="92"/>
      <c r="M306" s="92"/>
    </row>
    <row r="307" spans="1:13">
      <c r="A307" s="134"/>
      <c r="B307" s="135"/>
      <c r="C307" s="92"/>
      <c r="D307" s="92"/>
      <c r="E307" s="92"/>
      <c r="F307" s="92"/>
      <c r="G307" s="92"/>
      <c r="H307" s="92"/>
      <c r="I307" s="91"/>
      <c r="J307" s="92"/>
      <c r="K307" s="92"/>
      <c r="L307" s="92"/>
      <c r="M307" s="92"/>
    </row>
    <row r="308" spans="1:13">
      <c r="A308" s="134"/>
      <c r="B308" s="135"/>
      <c r="C308" s="92"/>
      <c r="D308" s="92"/>
      <c r="E308" s="92"/>
      <c r="F308" s="92"/>
      <c r="G308" s="92"/>
      <c r="H308" s="92"/>
      <c r="I308" s="91"/>
      <c r="J308" s="92"/>
      <c r="K308" s="92"/>
      <c r="L308" s="92"/>
      <c r="M308" s="92"/>
    </row>
    <row r="309" spans="1:13">
      <c r="A309" s="134"/>
      <c r="B309" s="135"/>
      <c r="C309" s="92"/>
      <c r="D309" s="92"/>
      <c r="E309" s="92"/>
      <c r="F309" s="92"/>
      <c r="G309" s="92"/>
      <c r="H309" s="92"/>
      <c r="I309" s="91"/>
      <c r="J309" s="92"/>
      <c r="K309" s="92"/>
      <c r="L309" s="92"/>
      <c r="M309" s="92"/>
    </row>
    <row r="310" spans="1:13">
      <c r="A310" s="134"/>
      <c r="B310" s="135"/>
      <c r="C310" s="92"/>
      <c r="D310" s="92"/>
      <c r="E310" s="92"/>
      <c r="F310" s="92"/>
      <c r="G310" s="92"/>
      <c r="H310" s="92"/>
      <c r="I310" s="91"/>
      <c r="J310" s="92"/>
      <c r="K310" s="92"/>
      <c r="L310" s="92"/>
      <c r="M310" s="92"/>
    </row>
    <row r="311" spans="1:13">
      <c r="A311" s="134"/>
      <c r="B311" s="135"/>
      <c r="C311" s="92"/>
      <c r="D311" s="92"/>
      <c r="E311" s="92"/>
      <c r="F311" s="92"/>
      <c r="G311" s="92"/>
      <c r="H311" s="92"/>
      <c r="I311" s="91"/>
      <c r="J311" s="92"/>
      <c r="K311" s="92"/>
      <c r="L311" s="92"/>
      <c r="M311" s="92"/>
    </row>
    <row r="312" spans="1:13">
      <c r="A312" s="134"/>
      <c r="B312" s="135"/>
      <c r="C312" s="92"/>
      <c r="D312" s="92"/>
      <c r="E312" s="92"/>
      <c r="F312" s="92"/>
      <c r="G312" s="92"/>
      <c r="H312" s="92"/>
      <c r="I312" s="91"/>
      <c r="J312" s="92"/>
      <c r="K312" s="92"/>
      <c r="L312" s="92"/>
      <c r="M312" s="92"/>
    </row>
    <row r="313" spans="1:13">
      <c r="A313" s="134"/>
      <c r="B313" s="135"/>
      <c r="C313" s="92"/>
      <c r="D313" s="92"/>
      <c r="E313" s="92"/>
      <c r="F313" s="92"/>
      <c r="G313" s="92"/>
      <c r="H313" s="92"/>
      <c r="I313" s="91"/>
      <c r="J313" s="92"/>
      <c r="K313" s="92"/>
      <c r="L313" s="92"/>
      <c r="M313" s="92"/>
    </row>
    <row r="314" spans="1:13">
      <c r="A314" s="134"/>
      <c r="B314" s="135"/>
      <c r="C314" s="92"/>
      <c r="D314" s="92"/>
      <c r="E314" s="92"/>
      <c r="F314" s="92"/>
      <c r="G314" s="92"/>
      <c r="H314" s="92"/>
      <c r="I314" s="91"/>
      <c r="J314" s="92"/>
      <c r="K314" s="92"/>
      <c r="L314" s="92"/>
      <c r="M314" s="92"/>
    </row>
    <row r="315" spans="1:13">
      <c r="A315" s="134"/>
      <c r="B315" s="135"/>
      <c r="C315" s="92"/>
      <c r="D315" s="92"/>
      <c r="E315" s="92"/>
      <c r="F315" s="92"/>
      <c r="G315" s="92"/>
      <c r="H315" s="92"/>
      <c r="I315" s="91"/>
      <c r="J315" s="92"/>
      <c r="K315" s="92"/>
      <c r="L315" s="92"/>
      <c r="M315" s="92"/>
    </row>
    <row r="316" spans="1:13">
      <c r="A316" s="134"/>
      <c r="B316" s="135"/>
      <c r="C316" s="92"/>
      <c r="D316" s="92"/>
      <c r="E316" s="92"/>
      <c r="F316" s="92"/>
      <c r="G316" s="92"/>
      <c r="H316" s="92"/>
      <c r="I316" s="91"/>
      <c r="J316" s="92"/>
      <c r="K316" s="92"/>
      <c r="L316" s="92"/>
      <c r="M316" s="92"/>
    </row>
    <row r="317" spans="1:13">
      <c r="A317" s="134"/>
      <c r="B317" s="135"/>
      <c r="C317" s="92"/>
      <c r="D317" s="92"/>
      <c r="E317" s="92"/>
      <c r="F317" s="92"/>
      <c r="G317" s="92"/>
      <c r="H317" s="92"/>
      <c r="I317" s="91"/>
      <c r="J317" s="92"/>
      <c r="K317" s="92"/>
      <c r="L317" s="92"/>
      <c r="M317" s="92"/>
    </row>
    <row r="318" spans="1:13">
      <c r="A318" s="134"/>
      <c r="B318" s="135"/>
      <c r="C318" s="92"/>
      <c r="D318" s="92"/>
      <c r="E318" s="92"/>
      <c r="F318" s="92"/>
      <c r="G318" s="92"/>
      <c r="H318" s="92"/>
      <c r="I318" s="91"/>
      <c r="J318" s="92"/>
      <c r="K318" s="92"/>
      <c r="L318" s="92"/>
      <c r="M318" s="92"/>
    </row>
    <row r="319" spans="1:13">
      <c r="A319" s="134"/>
      <c r="B319" s="135"/>
      <c r="C319" s="92"/>
      <c r="D319" s="92"/>
      <c r="E319" s="92"/>
      <c r="F319" s="92"/>
      <c r="G319" s="92"/>
      <c r="H319" s="92"/>
      <c r="I319" s="91"/>
      <c r="J319" s="92"/>
      <c r="K319" s="92"/>
      <c r="L319" s="92"/>
      <c r="M319" s="92"/>
    </row>
    <row r="320" spans="1:13">
      <c r="A320" s="134"/>
      <c r="B320" s="135"/>
      <c r="C320" s="92"/>
      <c r="D320" s="92"/>
      <c r="E320" s="92"/>
      <c r="F320" s="92"/>
      <c r="G320" s="92"/>
      <c r="H320" s="92"/>
      <c r="I320" s="91"/>
      <c r="J320" s="92"/>
      <c r="K320" s="92"/>
      <c r="L320" s="92"/>
      <c r="M320" s="92"/>
    </row>
    <row r="321" spans="1:13">
      <c r="A321" s="134"/>
      <c r="B321" s="135"/>
      <c r="C321" s="92"/>
      <c r="D321" s="92"/>
      <c r="E321" s="92"/>
      <c r="F321" s="92"/>
      <c r="G321" s="92"/>
      <c r="H321" s="92"/>
      <c r="I321" s="91"/>
      <c r="J321" s="92"/>
      <c r="K321" s="92"/>
      <c r="L321" s="92"/>
      <c r="M321" s="92"/>
    </row>
    <row r="322" spans="1:13">
      <c r="A322" s="134"/>
      <c r="B322" s="135"/>
      <c r="C322" s="92"/>
      <c r="D322" s="92"/>
      <c r="E322" s="92"/>
      <c r="F322" s="92"/>
      <c r="G322" s="92"/>
      <c r="H322" s="92"/>
      <c r="I322" s="91"/>
      <c r="J322" s="92"/>
      <c r="K322" s="92"/>
      <c r="L322" s="92"/>
      <c r="M322" s="92"/>
    </row>
    <row r="323" spans="1:13">
      <c r="A323" s="134"/>
      <c r="B323" s="135"/>
      <c r="C323" s="92"/>
      <c r="D323" s="92"/>
      <c r="E323" s="92"/>
      <c r="F323" s="92"/>
      <c r="G323" s="92"/>
      <c r="H323" s="92"/>
      <c r="I323" s="91"/>
      <c r="J323" s="92"/>
      <c r="K323" s="92"/>
      <c r="L323" s="92"/>
      <c r="M323" s="92"/>
    </row>
    <row r="324" spans="1:13">
      <c r="A324" s="134"/>
      <c r="B324" s="135"/>
      <c r="C324" s="92"/>
      <c r="D324" s="92"/>
      <c r="E324" s="92"/>
      <c r="F324" s="92"/>
      <c r="G324" s="92"/>
      <c r="H324" s="92"/>
      <c r="I324" s="91"/>
      <c r="J324" s="92"/>
      <c r="K324" s="92"/>
      <c r="L324" s="92"/>
      <c r="M324" s="92"/>
    </row>
    <row r="325" spans="1:13">
      <c r="A325" s="134"/>
      <c r="B325" s="135"/>
      <c r="C325" s="92"/>
      <c r="D325" s="92"/>
      <c r="E325" s="92"/>
      <c r="F325" s="92"/>
      <c r="G325" s="92"/>
      <c r="H325" s="92"/>
      <c r="I325" s="91"/>
      <c r="J325" s="92"/>
      <c r="K325" s="92"/>
      <c r="L325" s="92"/>
      <c r="M325" s="92"/>
    </row>
    <row r="326" spans="1:13">
      <c r="A326" s="134"/>
      <c r="B326" s="135"/>
      <c r="C326" s="92"/>
      <c r="D326" s="92"/>
      <c r="E326" s="92"/>
      <c r="F326" s="92"/>
      <c r="G326" s="92"/>
      <c r="H326" s="92"/>
      <c r="I326" s="91"/>
      <c r="J326" s="92"/>
      <c r="K326" s="92"/>
      <c r="L326" s="92"/>
      <c r="M326" s="92"/>
    </row>
    <row r="327" spans="1:13">
      <c r="A327" s="134"/>
      <c r="B327" s="135"/>
      <c r="C327" s="92"/>
      <c r="D327" s="92"/>
      <c r="E327" s="92"/>
      <c r="F327" s="92"/>
      <c r="G327" s="92"/>
      <c r="H327" s="92"/>
      <c r="I327" s="91"/>
      <c r="J327" s="92"/>
      <c r="K327" s="92"/>
      <c r="L327" s="92"/>
      <c r="M327" s="92"/>
    </row>
    <row r="328" spans="1:13">
      <c r="A328" s="134"/>
      <c r="B328" s="135"/>
      <c r="C328" s="92"/>
      <c r="D328" s="92"/>
      <c r="E328" s="92"/>
      <c r="F328" s="92"/>
      <c r="G328" s="92"/>
      <c r="H328" s="92"/>
      <c r="I328" s="91"/>
      <c r="J328" s="92"/>
      <c r="K328" s="92"/>
      <c r="L328" s="92"/>
      <c r="M328" s="92"/>
    </row>
    <row r="329" spans="1:13">
      <c r="A329" s="134"/>
      <c r="B329" s="135"/>
      <c r="C329" s="92"/>
      <c r="D329" s="92"/>
      <c r="E329" s="92"/>
      <c r="F329" s="92"/>
      <c r="G329" s="92"/>
      <c r="H329" s="92"/>
      <c r="I329" s="91"/>
      <c r="J329" s="92"/>
      <c r="K329" s="92"/>
      <c r="L329" s="92"/>
      <c r="M329" s="92"/>
    </row>
    <row r="330" spans="1:13">
      <c r="A330" s="134"/>
      <c r="B330" s="135"/>
      <c r="C330" s="92"/>
      <c r="D330" s="92"/>
      <c r="E330" s="92"/>
      <c r="F330" s="92"/>
      <c r="G330" s="92"/>
      <c r="H330" s="92"/>
      <c r="I330" s="91"/>
      <c r="J330" s="92"/>
      <c r="K330" s="92"/>
      <c r="L330" s="92"/>
      <c r="M330" s="92"/>
    </row>
    <row r="331" spans="1:13">
      <c r="A331" s="134"/>
      <c r="B331" s="135"/>
      <c r="C331" s="92"/>
      <c r="D331" s="92"/>
      <c r="E331" s="92"/>
      <c r="F331" s="92"/>
      <c r="G331" s="92"/>
      <c r="H331" s="92"/>
      <c r="I331" s="91"/>
      <c r="J331" s="92"/>
      <c r="K331" s="92"/>
      <c r="L331" s="92"/>
      <c r="M331" s="92"/>
    </row>
    <row r="332" spans="1:13">
      <c r="A332" s="134"/>
      <c r="B332" s="135"/>
      <c r="C332" s="92"/>
      <c r="D332" s="92"/>
      <c r="E332" s="92"/>
      <c r="F332" s="92"/>
      <c r="G332" s="92"/>
      <c r="H332" s="92"/>
      <c r="I332" s="91"/>
      <c r="J332" s="92"/>
      <c r="K332" s="92"/>
      <c r="L332" s="92"/>
      <c r="M332" s="92"/>
    </row>
    <row r="333" spans="1:13">
      <c r="A333" s="134"/>
      <c r="B333" s="135"/>
      <c r="C333" s="92"/>
      <c r="D333" s="92"/>
      <c r="E333" s="92"/>
      <c r="F333" s="92"/>
      <c r="G333" s="92"/>
      <c r="H333" s="92"/>
      <c r="I333" s="91"/>
      <c r="J333" s="92"/>
      <c r="K333" s="92"/>
      <c r="L333" s="92"/>
      <c r="M333" s="92"/>
    </row>
    <row r="334" spans="1:13">
      <c r="A334" s="134"/>
      <c r="B334" s="135"/>
      <c r="C334" s="92"/>
      <c r="D334" s="92"/>
      <c r="E334" s="92"/>
      <c r="F334" s="92"/>
      <c r="G334" s="92"/>
      <c r="H334" s="92"/>
      <c r="I334" s="91"/>
      <c r="J334" s="92"/>
      <c r="K334" s="92"/>
      <c r="L334" s="92"/>
      <c r="M334" s="92"/>
    </row>
    <row r="335" spans="1:13">
      <c r="A335" s="134"/>
      <c r="B335" s="135"/>
      <c r="C335" s="92"/>
      <c r="D335" s="92"/>
      <c r="E335" s="92"/>
      <c r="F335" s="92"/>
      <c r="G335" s="92"/>
      <c r="H335" s="92"/>
      <c r="I335" s="91"/>
      <c r="J335" s="92"/>
      <c r="K335" s="92"/>
      <c r="L335" s="92"/>
      <c r="M335" s="92"/>
    </row>
    <row r="336" spans="1:13">
      <c r="A336" s="134"/>
      <c r="B336" s="135"/>
      <c r="C336" s="92"/>
      <c r="D336" s="92"/>
      <c r="E336" s="92"/>
      <c r="F336" s="92"/>
      <c r="G336" s="92"/>
      <c r="H336" s="92"/>
      <c r="I336" s="91"/>
      <c r="J336" s="92"/>
      <c r="K336" s="92"/>
      <c r="L336" s="92"/>
      <c r="M336" s="92"/>
    </row>
    <row r="337" spans="1:13">
      <c r="A337" s="134"/>
      <c r="B337" s="135"/>
      <c r="C337" s="92"/>
      <c r="D337" s="92"/>
      <c r="E337" s="92"/>
      <c r="F337" s="92"/>
      <c r="G337" s="92"/>
      <c r="H337" s="92"/>
      <c r="I337" s="91"/>
      <c r="J337" s="92"/>
      <c r="K337" s="92"/>
      <c r="L337" s="92"/>
      <c r="M337" s="92"/>
    </row>
    <row r="338" spans="1:13">
      <c r="A338" s="134"/>
      <c r="B338" s="135"/>
      <c r="C338" s="92"/>
      <c r="D338" s="92"/>
      <c r="E338" s="92"/>
      <c r="F338" s="92"/>
      <c r="G338" s="92"/>
      <c r="H338" s="92"/>
      <c r="I338" s="91"/>
      <c r="J338" s="92"/>
      <c r="K338" s="92"/>
      <c r="L338" s="92"/>
      <c r="M338" s="92"/>
    </row>
    <row r="339" spans="1:13">
      <c r="A339" s="134"/>
      <c r="B339" s="135"/>
      <c r="C339" s="92"/>
      <c r="D339" s="92"/>
      <c r="E339" s="92"/>
      <c r="F339" s="92"/>
      <c r="G339" s="92"/>
      <c r="H339" s="92"/>
      <c r="I339" s="91"/>
      <c r="J339" s="92"/>
      <c r="K339" s="92"/>
      <c r="L339" s="92"/>
      <c r="M339" s="92"/>
    </row>
    <row r="340" spans="1:13">
      <c r="A340" s="134"/>
      <c r="B340" s="135"/>
      <c r="C340" s="92"/>
      <c r="D340" s="92"/>
      <c r="E340" s="92"/>
      <c r="F340" s="92"/>
      <c r="G340" s="92"/>
      <c r="H340" s="92"/>
      <c r="I340" s="91"/>
      <c r="J340" s="92"/>
      <c r="K340" s="92"/>
      <c r="L340" s="92"/>
      <c r="M340" s="92"/>
    </row>
    <row r="341" spans="1:13">
      <c r="A341" s="134"/>
      <c r="B341" s="135"/>
      <c r="C341" s="92"/>
      <c r="D341" s="92"/>
      <c r="E341" s="92"/>
      <c r="F341" s="92"/>
      <c r="G341" s="92"/>
      <c r="H341" s="92"/>
      <c r="I341" s="91"/>
      <c r="J341" s="92"/>
      <c r="K341" s="92"/>
      <c r="L341" s="92"/>
      <c r="M341" s="92"/>
    </row>
    <row r="342" spans="1:13">
      <c r="A342" s="134"/>
      <c r="B342" s="135"/>
      <c r="C342" s="92"/>
      <c r="D342" s="92"/>
      <c r="E342" s="92"/>
      <c r="F342" s="92"/>
      <c r="G342" s="92"/>
      <c r="H342" s="92"/>
      <c r="I342" s="91"/>
      <c r="J342" s="92"/>
      <c r="K342" s="92"/>
      <c r="L342" s="92"/>
      <c r="M342" s="92"/>
    </row>
    <row r="343" spans="1:13">
      <c r="A343" s="134"/>
      <c r="B343" s="135"/>
      <c r="C343" s="92"/>
      <c r="D343" s="92"/>
      <c r="E343" s="92"/>
      <c r="F343" s="92"/>
      <c r="G343" s="92"/>
      <c r="H343" s="92"/>
      <c r="I343" s="91"/>
      <c r="J343" s="92"/>
      <c r="K343" s="92"/>
      <c r="L343" s="92"/>
      <c r="M343" s="92"/>
    </row>
    <row r="344" spans="1:13">
      <c r="A344" s="134"/>
      <c r="B344" s="135"/>
      <c r="C344" s="92"/>
      <c r="D344" s="92"/>
      <c r="E344" s="92"/>
      <c r="F344" s="92"/>
      <c r="G344" s="92"/>
      <c r="H344" s="92"/>
      <c r="I344" s="91"/>
      <c r="J344" s="92"/>
      <c r="K344" s="92"/>
      <c r="L344" s="92"/>
      <c r="M344" s="92"/>
    </row>
    <row r="345" spans="1:13">
      <c r="A345" s="134"/>
      <c r="B345" s="135"/>
      <c r="C345" s="92"/>
      <c r="D345" s="92"/>
      <c r="E345" s="92"/>
      <c r="F345" s="92"/>
      <c r="G345" s="92"/>
      <c r="H345" s="92"/>
      <c r="I345" s="91"/>
      <c r="J345" s="92"/>
      <c r="K345" s="92"/>
      <c r="L345" s="92"/>
      <c r="M345" s="92"/>
    </row>
    <row r="346" spans="1:13">
      <c r="A346" s="134"/>
      <c r="B346" s="135"/>
      <c r="C346" s="92"/>
      <c r="D346" s="92"/>
      <c r="E346" s="92"/>
      <c r="F346" s="92"/>
      <c r="G346" s="92"/>
      <c r="H346" s="92"/>
      <c r="I346" s="91"/>
      <c r="J346" s="92"/>
      <c r="K346" s="92"/>
      <c r="L346" s="92"/>
      <c r="M346" s="92"/>
    </row>
    <row r="347" spans="1:13">
      <c r="A347" s="134"/>
      <c r="B347" s="135"/>
      <c r="C347" s="92"/>
      <c r="D347" s="92"/>
      <c r="E347" s="92"/>
      <c r="F347" s="92"/>
      <c r="G347" s="92"/>
      <c r="H347" s="92"/>
      <c r="I347" s="91"/>
      <c r="J347" s="92"/>
      <c r="K347" s="92"/>
      <c r="L347" s="92"/>
      <c r="M347" s="92"/>
    </row>
    <row r="348" spans="1:13">
      <c r="A348" s="134"/>
      <c r="B348" s="135"/>
      <c r="C348" s="92"/>
      <c r="D348" s="92"/>
      <c r="E348" s="92"/>
      <c r="F348" s="92"/>
      <c r="G348" s="92"/>
      <c r="H348" s="92"/>
      <c r="I348" s="91"/>
      <c r="J348" s="92"/>
      <c r="K348" s="92"/>
      <c r="L348" s="92"/>
      <c r="M348" s="92"/>
    </row>
    <row r="349" spans="1:13">
      <c r="A349" s="134"/>
      <c r="B349" s="135"/>
      <c r="C349" s="92"/>
      <c r="D349" s="92"/>
      <c r="E349" s="92"/>
      <c r="F349" s="92"/>
      <c r="G349" s="92"/>
      <c r="H349" s="92"/>
      <c r="I349" s="91"/>
      <c r="J349" s="92"/>
      <c r="K349" s="92"/>
      <c r="L349" s="92"/>
      <c r="M349" s="92"/>
    </row>
    <row r="350" spans="1:13">
      <c r="A350" s="134"/>
      <c r="B350" s="135"/>
      <c r="C350" s="92"/>
      <c r="D350" s="92"/>
      <c r="E350" s="92"/>
      <c r="F350" s="92"/>
      <c r="G350" s="92"/>
      <c r="H350" s="92"/>
      <c r="I350" s="91"/>
      <c r="J350" s="92"/>
      <c r="K350" s="92"/>
      <c r="L350" s="92"/>
      <c r="M350" s="92"/>
    </row>
    <row r="351" spans="1:13">
      <c r="A351" s="134"/>
      <c r="B351" s="135"/>
      <c r="C351" s="92"/>
      <c r="D351" s="92"/>
      <c r="E351" s="92"/>
      <c r="F351" s="92"/>
      <c r="G351" s="92"/>
      <c r="H351" s="92"/>
      <c r="I351" s="91"/>
      <c r="J351" s="92"/>
      <c r="K351" s="92"/>
      <c r="L351" s="92"/>
      <c r="M351" s="92"/>
    </row>
    <row r="352" spans="1:13">
      <c r="A352" s="134"/>
      <c r="B352" s="135"/>
      <c r="C352" s="92"/>
      <c r="D352" s="92"/>
      <c r="E352" s="92"/>
      <c r="F352" s="92"/>
      <c r="G352" s="92"/>
      <c r="H352" s="92"/>
      <c r="I352" s="91"/>
      <c r="J352" s="92"/>
      <c r="K352" s="92"/>
      <c r="L352" s="92"/>
      <c r="M352" s="92"/>
    </row>
    <row r="353" spans="1:13">
      <c r="A353" s="134"/>
      <c r="B353" s="135"/>
      <c r="C353" s="92"/>
      <c r="D353" s="92"/>
      <c r="E353" s="92"/>
      <c r="F353" s="92"/>
      <c r="G353" s="92"/>
      <c r="H353" s="92"/>
      <c r="I353" s="91"/>
      <c r="J353" s="92"/>
      <c r="K353" s="92"/>
      <c r="L353" s="92"/>
      <c r="M353" s="92"/>
    </row>
    <row r="354" spans="1:13">
      <c r="A354" s="134"/>
      <c r="B354" s="135"/>
      <c r="C354" s="92"/>
      <c r="D354" s="92"/>
      <c r="E354" s="92"/>
      <c r="F354" s="92"/>
      <c r="G354" s="92"/>
      <c r="H354" s="92"/>
      <c r="I354" s="91"/>
      <c r="J354" s="92"/>
      <c r="K354" s="92"/>
      <c r="L354" s="92"/>
      <c r="M354" s="92"/>
    </row>
    <row r="355" spans="1:13">
      <c r="A355" s="134"/>
      <c r="B355" s="135"/>
      <c r="C355" s="92"/>
      <c r="D355" s="92"/>
      <c r="E355" s="92"/>
      <c r="F355" s="92"/>
      <c r="G355" s="92"/>
      <c r="H355" s="92"/>
      <c r="I355" s="91"/>
      <c r="J355" s="92"/>
      <c r="K355" s="92"/>
      <c r="L355" s="92"/>
      <c r="M355" s="92"/>
    </row>
    <row r="356" spans="1:13">
      <c r="A356" s="134"/>
      <c r="B356" s="135"/>
      <c r="C356" s="92"/>
      <c r="D356" s="92"/>
      <c r="E356" s="92"/>
      <c r="F356" s="92"/>
      <c r="G356" s="92"/>
      <c r="H356" s="92"/>
      <c r="I356" s="91"/>
      <c r="J356" s="92"/>
      <c r="K356" s="92"/>
      <c r="L356" s="92"/>
      <c r="M356" s="92"/>
    </row>
    <row r="357" spans="1:13">
      <c r="A357" s="134"/>
      <c r="B357" s="135"/>
      <c r="C357" s="92"/>
      <c r="D357" s="92"/>
      <c r="E357" s="92"/>
      <c r="F357" s="92"/>
      <c r="G357" s="92"/>
      <c r="H357" s="92"/>
      <c r="I357" s="91"/>
      <c r="J357" s="92"/>
      <c r="K357" s="92"/>
      <c r="L357" s="92"/>
      <c r="M357" s="92"/>
    </row>
    <row r="358" spans="1:13">
      <c r="A358" s="134"/>
      <c r="B358" s="135"/>
      <c r="C358" s="92"/>
      <c r="D358" s="92"/>
      <c r="E358" s="92"/>
      <c r="F358" s="92"/>
      <c r="G358" s="92"/>
      <c r="H358" s="92"/>
      <c r="I358" s="91"/>
      <c r="J358" s="92"/>
      <c r="K358" s="92"/>
      <c r="L358" s="92"/>
      <c r="M358" s="92"/>
    </row>
    <row r="359" spans="1:13">
      <c r="A359" s="134"/>
      <c r="B359" s="135"/>
      <c r="C359" s="92"/>
      <c r="D359" s="92"/>
      <c r="E359" s="92"/>
      <c r="F359" s="92"/>
      <c r="G359" s="92"/>
      <c r="H359" s="92"/>
      <c r="I359" s="91"/>
      <c r="J359" s="92"/>
      <c r="K359" s="92"/>
      <c r="L359" s="92"/>
      <c r="M359" s="92"/>
    </row>
    <row r="360" spans="1:13">
      <c r="A360" s="134"/>
      <c r="B360" s="135"/>
      <c r="C360" s="92"/>
      <c r="D360" s="92"/>
      <c r="E360" s="92"/>
      <c r="F360" s="92"/>
      <c r="G360" s="92"/>
      <c r="H360" s="92"/>
      <c r="I360" s="91"/>
      <c r="J360" s="92"/>
      <c r="K360" s="92"/>
      <c r="L360" s="92"/>
      <c r="M360" s="92"/>
    </row>
    <row r="361" spans="1:13">
      <c r="A361" s="134"/>
      <c r="B361" s="135"/>
      <c r="C361" s="92"/>
      <c r="D361" s="92"/>
      <c r="E361" s="92"/>
      <c r="F361" s="92"/>
      <c r="G361" s="92"/>
      <c r="H361" s="92"/>
      <c r="I361" s="91"/>
      <c r="J361" s="92"/>
      <c r="K361" s="92"/>
      <c r="L361" s="92"/>
      <c r="M361" s="92"/>
    </row>
    <row r="362" spans="1:13">
      <c r="A362" s="134"/>
      <c r="B362" s="135"/>
      <c r="C362" s="92"/>
      <c r="D362" s="92"/>
      <c r="E362" s="92"/>
      <c r="F362" s="92"/>
      <c r="G362" s="92"/>
      <c r="H362" s="92"/>
      <c r="I362" s="91"/>
      <c r="J362" s="92"/>
      <c r="K362" s="92"/>
      <c r="L362" s="92"/>
      <c r="M362" s="92"/>
    </row>
    <row r="363" spans="1:13">
      <c r="A363" s="134"/>
      <c r="B363" s="135"/>
      <c r="C363" s="92"/>
      <c r="D363" s="92"/>
      <c r="E363" s="92"/>
      <c r="F363" s="92"/>
      <c r="G363" s="92"/>
      <c r="H363" s="92"/>
      <c r="I363" s="91"/>
      <c r="J363" s="92"/>
      <c r="K363" s="92"/>
      <c r="L363" s="92"/>
      <c r="M363" s="92"/>
    </row>
    <row r="364" spans="1:13">
      <c r="A364" s="134"/>
      <c r="B364" s="135"/>
      <c r="C364" s="92"/>
      <c r="D364" s="92"/>
      <c r="E364" s="92"/>
      <c r="F364" s="92"/>
      <c r="G364" s="92"/>
      <c r="H364" s="92"/>
      <c r="I364" s="91"/>
      <c r="J364" s="92"/>
      <c r="K364" s="92"/>
      <c r="L364" s="92"/>
      <c r="M364" s="92"/>
    </row>
    <row r="365" spans="1:13">
      <c r="A365" s="134"/>
      <c r="B365" s="135"/>
      <c r="C365" s="92"/>
      <c r="D365" s="92"/>
      <c r="E365" s="92"/>
      <c r="F365" s="92"/>
      <c r="G365" s="92"/>
      <c r="H365" s="92"/>
      <c r="I365" s="91"/>
      <c r="J365" s="92"/>
      <c r="K365" s="92"/>
      <c r="L365" s="92"/>
      <c r="M365" s="92"/>
    </row>
    <row r="366" spans="1:13">
      <c r="A366" s="134"/>
      <c r="B366" s="135"/>
      <c r="C366" s="92"/>
      <c r="D366" s="92"/>
      <c r="E366" s="92"/>
      <c r="F366" s="92"/>
      <c r="G366" s="92"/>
      <c r="H366" s="92"/>
      <c r="I366" s="91"/>
      <c r="J366" s="92"/>
      <c r="K366" s="92"/>
      <c r="L366" s="92"/>
      <c r="M366" s="92"/>
    </row>
    <row r="367" spans="1:13">
      <c r="A367" s="134"/>
      <c r="B367" s="135"/>
      <c r="C367" s="92"/>
      <c r="D367" s="92"/>
      <c r="E367" s="92"/>
      <c r="F367" s="92"/>
      <c r="G367" s="92"/>
      <c r="H367" s="92"/>
      <c r="I367" s="91"/>
      <c r="J367" s="92"/>
      <c r="K367" s="92"/>
      <c r="L367" s="92"/>
      <c r="M367" s="92"/>
    </row>
    <row r="368" spans="1:13">
      <c r="A368" s="134"/>
      <c r="B368" s="135"/>
      <c r="C368" s="92"/>
      <c r="D368" s="92"/>
      <c r="E368" s="92"/>
      <c r="F368" s="92"/>
      <c r="G368" s="92"/>
      <c r="H368" s="92"/>
      <c r="I368" s="91"/>
      <c r="J368" s="92"/>
      <c r="K368" s="92"/>
      <c r="L368" s="92"/>
      <c r="M368" s="92"/>
    </row>
    <row r="369" spans="1:13">
      <c r="A369" s="134"/>
      <c r="B369" s="135"/>
      <c r="C369" s="92"/>
      <c r="D369" s="92"/>
      <c r="E369" s="92"/>
      <c r="F369" s="92"/>
      <c r="G369" s="92"/>
      <c r="H369" s="92"/>
      <c r="I369" s="91"/>
      <c r="J369" s="92"/>
      <c r="K369" s="92"/>
      <c r="L369" s="92"/>
      <c r="M369" s="92"/>
    </row>
    <row r="370" spans="1:13">
      <c r="A370" s="134"/>
      <c r="B370" s="135"/>
      <c r="C370" s="92"/>
      <c r="D370" s="92"/>
      <c r="E370" s="92"/>
      <c r="F370" s="92"/>
      <c r="G370" s="92"/>
      <c r="H370" s="92"/>
      <c r="I370" s="91"/>
      <c r="J370" s="92"/>
      <c r="K370" s="92"/>
      <c r="L370" s="92"/>
      <c r="M370" s="92"/>
    </row>
    <row r="371" spans="1:13">
      <c r="A371" s="134"/>
      <c r="B371" s="135"/>
      <c r="C371" s="92"/>
      <c r="D371" s="92"/>
      <c r="E371" s="92"/>
      <c r="F371" s="92"/>
      <c r="G371" s="92"/>
      <c r="H371" s="92"/>
      <c r="I371" s="91"/>
      <c r="J371" s="92"/>
      <c r="K371" s="92"/>
      <c r="L371" s="92"/>
      <c r="M371" s="92"/>
    </row>
    <row r="372" spans="1:13">
      <c r="A372" s="134"/>
      <c r="B372" s="135"/>
      <c r="C372" s="92"/>
      <c r="D372" s="92"/>
      <c r="E372" s="92"/>
      <c r="F372" s="92"/>
      <c r="G372" s="92"/>
      <c r="H372" s="92"/>
      <c r="I372" s="91"/>
      <c r="J372" s="92"/>
      <c r="K372" s="92"/>
      <c r="L372" s="92"/>
      <c r="M372" s="92"/>
    </row>
    <row r="373" spans="1:13">
      <c r="A373" s="134"/>
      <c r="B373" s="135"/>
      <c r="C373" s="92"/>
      <c r="D373" s="92"/>
      <c r="E373" s="92"/>
      <c r="F373" s="92"/>
      <c r="G373" s="92"/>
      <c r="H373" s="92"/>
      <c r="I373" s="91"/>
      <c r="J373" s="92"/>
      <c r="K373" s="92"/>
      <c r="L373" s="92"/>
      <c r="M373" s="92"/>
    </row>
    <row r="374" spans="1:13">
      <c r="A374" s="134"/>
      <c r="B374" s="135"/>
      <c r="C374" s="92"/>
      <c r="D374" s="92"/>
      <c r="E374" s="92"/>
      <c r="F374" s="92"/>
      <c r="G374" s="92"/>
      <c r="H374" s="92"/>
      <c r="I374" s="91"/>
      <c r="J374" s="92"/>
      <c r="K374" s="92"/>
      <c r="L374" s="92"/>
      <c r="M374" s="92"/>
    </row>
    <row r="375" spans="1:13">
      <c r="A375" s="134"/>
      <c r="B375" s="135"/>
      <c r="C375" s="92"/>
      <c r="D375" s="92"/>
      <c r="E375" s="92"/>
      <c r="F375" s="92"/>
      <c r="G375" s="92"/>
      <c r="H375" s="92"/>
      <c r="I375" s="91"/>
      <c r="J375" s="92"/>
      <c r="K375" s="92"/>
      <c r="L375" s="92"/>
      <c r="M375" s="92"/>
    </row>
    <row r="376" spans="1:13">
      <c r="A376" s="134"/>
      <c r="B376" s="135"/>
      <c r="C376" s="92"/>
      <c r="D376" s="92"/>
      <c r="E376" s="92"/>
      <c r="F376" s="92"/>
      <c r="G376" s="92"/>
      <c r="H376" s="92"/>
      <c r="I376" s="91"/>
      <c r="J376" s="92"/>
      <c r="K376" s="92"/>
      <c r="L376" s="92"/>
      <c r="M376" s="92"/>
    </row>
    <row r="377" spans="1:13">
      <c r="A377" s="134"/>
      <c r="B377" s="135"/>
      <c r="C377" s="92"/>
      <c r="D377" s="92"/>
      <c r="E377" s="92"/>
      <c r="F377" s="92"/>
      <c r="G377" s="92"/>
      <c r="H377" s="92"/>
      <c r="I377" s="91"/>
      <c r="J377" s="92"/>
      <c r="K377" s="92"/>
      <c r="L377" s="92"/>
      <c r="M377" s="92"/>
    </row>
    <row r="378" spans="1:13">
      <c r="A378" s="134"/>
      <c r="B378" s="135"/>
      <c r="C378" s="92"/>
      <c r="D378" s="92"/>
      <c r="E378" s="92"/>
      <c r="F378" s="92"/>
      <c r="G378" s="92"/>
      <c r="H378" s="92"/>
      <c r="I378" s="91"/>
      <c r="J378" s="92"/>
      <c r="K378" s="92"/>
      <c r="L378" s="92"/>
      <c r="M378" s="92"/>
    </row>
    <row r="379" spans="1:13">
      <c r="A379" s="134"/>
      <c r="B379" s="135"/>
      <c r="C379" s="92"/>
      <c r="D379" s="92"/>
      <c r="E379" s="92"/>
      <c r="F379" s="92"/>
      <c r="G379" s="92"/>
      <c r="H379" s="92"/>
      <c r="I379" s="91"/>
      <c r="J379" s="92"/>
      <c r="K379" s="92"/>
      <c r="L379" s="92"/>
      <c r="M379" s="92"/>
    </row>
    <row r="380" spans="1:13">
      <c r="A380" s="134"/>
      <c r="B380" s="135"/>
      <c r="C380" s="92"/>
      <c r="D380" s="92"/>
      <c r="E380" s="92"/>
      <c r="F380" s="92"/>
      <c r="G380" s="92"/>
      <c r="H380" s="92"/>
      <c r="I380" s="91"/>
      <c r="J380" s="92"/>
      <c r="K380" s="92"/>
      <c r="L380" s="92"/>
      <c r="M380" s="92"/>
    </row>
    <row r="381" spans="1:13">
      <c r="A381" s="134"/>
      <c r="B381" s="135"/>
      <c r="C381" s="92"/>
      <c r="D381" s="92"/>
      <c r="E381" s="92"/>
      <c r="F381" s="92"/>
      <c r="G381" s="92"/>
      <c r="H381" s="92"/>
      <c r="I381" s="91"/>
      <c r="J381" s="92"/>
      <c r="K381" s="92"/>
      <c r="L381" s="92"/>
      <c r="M381" s="92"/>
    </row>
    <row r="382" spans="1:13">
      <c r="A382" s="134"/>
      <c r="B382" s="135"/>
      <c r="C382" s="92"/>
      <c r="D382" s="92"/>
      <c r="E382" s="92"/>
      <c r="F382" s="92"/>
      <c r="G382" s="92"/>
      <c r="H382" s="92"/>
      <c r="I382" s="91"/>
      <c r="J382" s="92"/>
      <c r="K382" s="92"/>
      <c r="L382" s="92"/>
      <c r="M382" s="92"/>
    </row>
    <row r="383" spans="1:13">
      <c r="A383" s="134"/>
      <c r="B383" s="135"/>
      <c r="C383" s="92"/>
      <c r="D383" s="92"/>
      <c r="E383" s="92"/>
      <c r="F383" s="92"/>
      <c r="G383" s="92"/>
      <c r="H383" s="92"/>
      <c r="I383" s="91"/>
      <c r="J383" s="92"/>
      <c r="K383" s="92"/>
      <c r="L383" s="92"/>
      <c r="M383" s="92"/>
    </row>
    <row r="384" spans="1:13">
      <c r="A384" s="134"/>
      <c r="B384" s="135"/>
      <c r="C384" s="92"/>
      <c r="D384" s="92"/>
      <c r="E384" s="92"/>
      <c r="F384" s="92"/>
      <c r="G384" s="92"/>
      <c r="H384" s="92"/>
      <c r="I384" s="91"/>
      <c r="J384" s="92"/>
      <c r="K384" s="92"/>
      <c r="L384" s="92"/>
      <c r="M384" s="92"/>
    </row>
    <row r="385" spans="1:13">
      <c r="A385" s="134"/>
      <c r="B385" s="135"/>
      <c r="C385" s="92"/>
      <c r="D385" s="92"/>
      <c r="E385" s="92"/>
      <c r="F385" s="92"/>
      <c r="G385" s="92"/>
      <c r="H385" s="92"/>
      <c r="I385" s="91"/>
      <c r="J385" s="92"/>
      <c r="K385" s="92"/>
      <c r="L385" s="92"/>
      <c r="M385" s="92"/>
    </row>
    <row r="386" spans="1:13">
      <c r="A386" s="134"/>
      <c r="B386" s="135"/>
      <c r="C386" s="92"/>
      <c r="D386" s="92"/>
      <c r="E386" s="92"/>
      <c r="F386" s="92"/>
      <c r="G386" s="92"/>
      <c r="H386" s="92"/>
      <c r="I386" s="91"/>
      <c r="J386" s="92"/>
      <c r="K386" s="92"/>
      <c r="L386" s="92"/>
      <c r="M386" s="92"/>
    </row>
    <row r="387" spans="1:13">
      <c r="A387" s="134"/>
      <c r="B387" s="135"/>
      <c r="C387" s="92"/>
      <c r="D387" s="92"/>
      <c r="E387" s="92"/>
      <c r="F387" s="92"/>
      <c r="G387" s="92"/>
      <c r="H387" s="92"/>
      <c r="I387" s="91"/>
      <c r="J387" s="92"/>
      <c r="K387" s="92"/>
      <c r="L387" s="92"/>
      <c r="M387" s="92"/>
    </row>
    <row r="388" spans="1:13">
      <c r="A388" s="134"/>
      <c r="B388" s="135"/>
      <c r="C388" s="92"/>
      <c r="D388" s="92"/>
      <c r="E388" s="92"/>
      <c r="F388" s="92"/>
      <c r="G388" s="92"/>
      <c r="H388" s="92"/>
      <c r="I388" s="91"/>
      <c r="J388" s="92"/>
      <c r="K388" s="92"/>
      <c r="L388" s="92"/>
      <c r="M388" s="92"/>
    </row>
    <row r="389" spans="1:13">
      <c r="A389" s="134"/>
      <c r="B389" s="135"/>
      <c r="C389" s="92"/>
      <c r="D389" s="92"/>
      <c r="E389" s="92"/>
      <c r="F389" s="92"/>
      <c r="G389" s="92"/>
      <c r="H389" s="92"/>
      <c r="I389" s="91"/>
      <c r="J389" s="92"/>
      <c r="K389" s="92"/>
      <c r="L389" s="92"/>
      <c r="M389" s="92"/>
    </row>
    <row r="390" spans="1:13">
      <c r="A390" s="134"/>
      <c r="B390" s="135"/>
      <c r="C390" s="92"/>
      <c r="D390" s="92"/>
      <c r="E390" s="92"/>
      <c r="F390" s="92"/>
      <c r="G390" s="92"/>
      <c r="H390" s="92"/>
      <c r="I390" s="91"/>
      <c r="J390" s="92"/>
      <c r="K390" s="92"/>
      <c r="L390" s="92"/>
      <c r="M390" s="92"/>
    </row>
    <row r="391" spans="1:13">
      <c r="A391" s="134"/>
      <c r="B391" s="135"/>
      <c r="C391" s="92"/>
      <c r="D391" s="92"/>
      <c r="E391" s="92"/>
      <c r="F391" s="92"/>
      <c r="G391" s="92"/>
      <c r="H391" s="92"/>
      <c r="I391" s="91"/>
      <c r="J391" s="92"/>
      <c r="K391" s="92"/>
      <c r="L391" s="92"/>
      <c r="M391" s="92"/>
    </row>
    <row r="392" spans="1:13">
      <c r="A392" s="134"/>
      <c r="B392" s="135"/>
      <c r="C392" s="92"/>
      <c r="D392" s="92"/>
      <c r="E392" s="92"/>
      <c r="F392" s="92"/>
      <c r="G392" s="92"/>
      <c r="H392" s="92"/>
      <c r="I392" s="91"/>
      <c r="J392" s="92"/>
      <c r="K392" s="92"/>
      <c r="L392" s="92"/>
      <c r="M392" s="92"/>
    </row>
    <row r="393" spans="1:13">
      <c r="A393" s="134"/>
      <c r="B393" s="135"/>
      <c r="C393" s="92"/>
      <c r="D393" s="92"/>
      <c r="E393" s="92"/>
      <c r="F393" s="92"/>
      <c r="G393" s="92"/>
      <c r="H393" s="92"/>
      <c r="I393" s="91"/>
      <c r="J393" s="92"/>
      <c r="K393" s="92"/>
      <c r="L393" s="92"/>
      <c r="M393" s="92"/>
    </row>
    <row r="394" spans="1:13">
      <c r="A394" s="134"/>
      <c r="B394" s="135"/>
      <c r="C394" s="92"/>
      <c r="D394" s="92"/>
      <c r="E394" s="92"/>
      <c r="F394" s="92"/>
      <c r="G394" s="92"/>
      <c r="H394" s="92"/>
      <c r="I394" s="91"/>
      <c r="J394" s="92"/>
      <c r="K394" s="92"/>
      <c r="L394" s="92"/>
      <c r="M394" s="92"/>
    </row>
    <row r="395" spans="1:13">
      <c r="A395" s="134"/>
      <c r="B395" s="135"/>
      <c r="C395" s="92"/>
      <c r="D395" s="92"/>
      <c r="E395" s="92"/>
      <c r="F395" s="92"/>
      <c r="G395" s="92"/>
      <c r="H395" s="92"/>
      <c r="I395" s="91"/>
      <c r="J395" s="92"/>
      <c r="K395" s="92"/>
      <c r="L395" s="92"/>
      <c r="M395" s="92"/>
    </row>
    <row r="396" spans="1:13">
      <c r="A396" s="134"/>
      <c r="B396" s="135"/>
      <c r="C396" s="92"/>
      <c r="D396" s="92"/>
      <c r="E396" s="92"/>
      <c r="F396" s="92"/>
      <c r="G396" s="92"/>
      <c r="H396" s="92"/>
      <c r="I396" s="91"/>
      <c r="J396" s="92"/>
      <c r="K396" s="92"/>
      <c r="L396" s="92"/>
      <c r="M396" s="92"/>
    </row>
    <row r="397" spans="1:13">
      <c r="A397" s="134"/>
      <c r="B397" s="135"/>
      <c r="C397" s="92"/>
      <c r="D397" s="92"/>
      <c r="E397" s="92"/>
      <c r="F397" s="92"/>
      <c r="G397" s="92"/>
      <c r="H397" s="92"/>
      <c r="I397" s="91"/>
      <c r="J397" s="92"/>
      <c r="K397" s="92"/>
      <c r="L397" s="92"/>
      <c r="M397" s="92"/>
    </row>
    <row r="398" spans="1:13">
      <c r="A398" s="134"/>
      <c r="B398" s="135"/>
      <c r="C398" s="92"/>
      <c r="D398" s="92"/>
      <c r="E398" s="92"/>
      <c r="F398" s="92"/>
      <c r="G398" s="92"/>
      <c r="H398" s="92"/>
      <c r="I398" s="91"/>
      <c r="J398" s="92"/>
      <c r="K398" s="92"/>
      <c r="L398" s="92"/>
      <c r="M398" s="92"/>
    </row>
    <row r="399" spans="1:13">
      <c r="A399" s="134"/>
      <c r="B399" s="135"/>
      <c r="C399" s="92"/>
      <c r="D399" s="92"/>
      <c r="E399" s="92"/>
      <c r="F399" s="92"/>
      <c r="G399" s="92"/>
      <c r="H399" s="92"/>
      <c r="I399" s="91"/>
      <c r="J399" s="92"/>
      <c r="K399" s="92"/>
      <c r="L399" s="92"/>
      <c r="M399" s="92"/>
    </row>
    <row r="400" spans="1:13">
      <c r="A400" s="134"/>
      <c r="B400" s="135"/>
      <c r="C400" s="92"/>
      <c r="D400" s="92"/>
      <c r="E400" s="92"/>
      <c r="F400" s="92"/>
      <c r="G400" s="92"/>
      <c r="H400" s="92"/>
      <c r="I400" s="91"/>
      <c r="J400" s="92"/>
      <c r="K400" s="92"/>
      <c r="L400" s="92"/>
      <c r="M400" s="92"/>
    </row>
    <row r="401" spans="1:13">
      <c r="A401" s="134"/>
      <c r="B401" s="135"/>
      <c r="C401" s="92"/>
      <c r="D401" s="92"/>
      <c r="E401" s="92"/>
      <c r="F401" s="92"/>
      <c r="G401" s="92"/>
      <c r="H401" s="92"/>
      <c r="I401" s="91"/>
      <c r="J401" s="92"/>
      <c r="K401" s="92"/>
      <c r="L401" s="92"/>
      <c r="M401" s="92"/>
    </row>
    <row r="402" spans="1:13">
      <c r="A402" s="134"/>
      <c r="B402" s="135"/>
      <c r="C402" s="92"/>
      <c r="D402" s="92"/>
      <c r="E402" s="92"/>
      <c r="F402" s="92"/>
      <c r="G402" s="92"/>
      <c r="H402" s="92"/>
      <c r="I402" s="91"/>
      <c r="J402" s="92"/>
      <c r="K402" s="92"/>
      <c r="L402" s="92"/>
      <c r="M402" s="92"/>
    </row>
    <row r="403" spans="1:13">
      <c r="A403" s="134"/>
      <c r="B403" s="135"/>
      <c r="C403" s="92"/>
      <c r="D403" s="92"/>
      <c r="E403" s="92"/>
      <c r="F403" s="92"/>
      <c r="G403" s="92"/>
      <c r="H403" s="92"/>
      <c r="I403" s="91"/>
      <c r="J403" s="92"/>
      <c r="K403" s="92"/>
      <c r="L403" s="92"/>
      <c r="M403" s="92"/>
    </row>
    <row r="404" spans="1:13">
      <c r="A404" s="134"/>
      <c r="B404" s="135"/>
      <c r="C404" s="92"/>
      <c r="D404" s="92"/>
      <c r="E404" s="92"/>
      <c r="F404" s="92"/>
      <c r="G404" s="92"/>
      <c r="H404" s="92"/>
      <c r="I404" s="91"/>
      <c r="J404" s="92"/>
      <c r="K404" s="92"/>
      <c r="L404" s="92"/>
      <c r="M404" s="92"/>
    </row>
    <row r="405" spans="1:13">
      <c r="A405" s="134"/>
      <c r="B405" s="135"/>
      <c r="C405" s="92"/>
      <c r="D405" s="92"/>
      <c r="E405" s="92"/>
      <c r="F405" s="92"/>
      <c r="G405" s="92"/>
      <c r="H405" s="92"/>
      <c r="I405" s="91"/>
      <c r="J405" s="92"/>
      <c r="K405" s="92"/>
      <c r="L405" s="92"/>
      <c r="M405" s="92"/>
    </row>
    <row r="406" spans="1:13">
      <c r="A406" s="134"/>
      <c r="B406" s="135"/>
      <c r="C406" s="92"/>
      <c r="D406" s="92"/>
      <c r="E406" s="92"/>
      <c r="F406" s="92"/>
      <c r="G406" s="92"/>
      <c r="H406" s="92"/>
      <c r="I406" s="91"/>
      <c r="J406" s="92"/>
      <c r="K406" s="92"/>
      <c r="L406" s="92"/>
      <c r="M406" s="92"/>
    </row>
    <row r="407" spans="1:13">
      <c r="A407" s="134"/>
      <c r="B407" s="135"/>
      <c r="C407" s="92"/>
      <c r="D407" s="92"/>
      <c r="E407" s="92"/>
      <c r="F407" s="92"/>
      <c r="G407" s="92"/>
      <c r="H407" s="92"/>
      <c r="I407" s="91"/>
      <c r="J407" s="92"/>
      <c r="K407" s="92"/>
      <c r="L407" s="92"/>
      <c r="M407" s="92"/>
    </row>
    <row r="408" spans="1:13">
      <c r="A408" s="134"/>
      <c r="B408" s="135"/>
      <c r="C408" s="92"/>
      <c r="D408" s="92"/>
      <c r="E408" s="92"/>
      <c r="F408" s="92"/>
      <c r="G408" s="92"/>
      <c r="H408" s="92"/>
      <c r="I408" s="91"/>
      <c r="J408" s="92"/>
      <c r="K408" s="92"/>
      <c r="L408" s="92"/>
      <c r="M408" s="92"/>
    </row>
    <row r="409" spans="1:13">
      <c r="A409" s="134"/>
      <c r="B409" s="135"/>
      <c r="C409" s="92"/>
      <c r="D409" s="92"/>
      <c r="E409" s="92"/>
      <c r="F409" s="92"/>
      <c r="G409" s="92"/>
      <c r="H409" s="92"/>
      <c r="I409" s="91"/>
      <c r="J409" s="92"/>
      <c r="K409" s="92"/>
      <c r="L409" s="92"/>
      <c r="M409" s="92"/>
    </row>
    <row r="410" spans="1:13">
      <c r="A410" s="134"/>
      <c r="B410" s="135"/>
      <c r="C410" s="92"/>
      <c r="D410" s="92"/>
      <c r="E410" s="92"/>
      <c r="F410" s="92"/>
      <c r="G410" s="92"/>
      <c r="H410" s="92"/>
      <c r="I410" s="91"/>
      <c r="J410" s="92"/>
      <c r="K410" s="92"/>
      <c r="L410" s="92"/>
      <c r="M410" s="92"/>
    </row>
    <row r="411" spans="1:13">
      <c r="A411" s="134"/>
      <c r="B411" s="135"/>
      <c r="C411" s="92"/>
      <c r="D411" s="92"/>
      <c r="E411" s="92"/>
      <c r="F411" s="92"/>
      <c r="G411" s="92"/>
      <c r="H411" s="92"/>
      <c r="I411" s="91"/>
      <c r="J411" s="92"/>
      <c r="K411" s="92"/>
      <c r="L411" s="92"/>
      <c r="M411" s="92"/>
    </row>
    <row r="412" spans="1:13">
      <c r="A412" s="134"/>
      <c r="B412" s="135"/>
      <c r="C412" s="92"/>
      <c r="D412" s="92"/>
      <c r="E412" s="92"/>
      <c r="F412" s="92"/>
      <c r="G412" s="92"/>
      <c r="H412" s="92"/>
      <c r="I412" s="91"/>
      <c r="J412" s="92"/>
      <c r="K412" s="92"/>
      <c r="L412" s="92"/>
      <c r="M412" s="92"/>
    </row>
    <row r="413" spans="1:13">
      <c r="A413" s="134"/>
      <c r="B413" s="135"/>
      <c r="C413" s="92"/>
      <c r="D413" s="92"/>
      <c r="E413" s="92"/>
      <c r="F413" s="92"/>
      <c r="G413" s="92"/>
      <c r="H413" s="92"/>
      <c r="I413" s="91"/>
      <c r="J413" s="92"/>
      <c r="K413" s="92"/>
      <c r="L413" s="92"/>
      <c r="M413" s="92"/>
    </row>
    <row r="414" spans="1:13">
      <c r="A414" s="134"/>
      <c r="B414" s="135"/>
      <c r="C414" s="92"/>
      <c r="D414" s="92"/>
      <c r="E414" s="92"/>
      <c r="F414" s="92"/>
      <c r="G414" s="92"/>
      <c r="H414" s="92"/>
      <c r="I414" s="91"/>
      <c r="J414" s="92"/>
      <c r="K414" s="92"/>
      <c r="L414" s="92"/>
      <c r="M414" s="92"/>
    </row>
    <row r="415" spans="1:13">
      <c r="A415" s="134"/>
      <c r="B415" s="135"/>
      <c r="C415" s="92"/>
      <c r="D415" s="92"/>
      <c r="E415" s="92"/>
      <c r="F415" s="92"/>
      <c r="G415" s="92"/>
      <c r="H415" s="92"/>
      <c r="I415" s="91"/>
      <c r="J415" s="92"/>
      <c r="K415" s="92"/>
      <c r="L415" s="92"/>
      <c r="M415" s="92"/>
    </row>
    <row r="416" spans="1:13">
      <c r="A416" s="134"/>
      <c r="B416" s="135"/>
      <c r="C416" s="92"/>
      <c r="D416" s="92"/>
      <c r="E416" s="92"/>
      <c r="F416" s="92"/>
      <c r="G416" s="92"/>
      <c r="H416" s="92"/>
      <c r="I416" s="91"/>
      <c r="J416" s="92"/>
      <c r="K416" s="92"/>
      <c r="L416" s="92"/>
      <c r="M416" s="92"/>
    </row>
    <row r="417" spans="1:13">
      <c r="A417" s="134"/>
      <c r="B417" s="135"/>
      <c r="C417" s="92"/>
      <c r="D417" s="92"/>
      <c r="E417" s="92"/>
      <c r="F417" s="92"/>
      <c r="G417" s="92"/>
      <c r="H417" s="92"/>
      <c r="I417" s="91"/>
      <c r="J417" s="92"/>
      <c r="K417" s="92"/>
      <c r="L417" s="92"/>
      <c r="M417" s="92"/>
    </row>
    <row r="418" spans="1:13">
      <c r="A418" s="134"/>
      <c r="B418" s="135"/>
      <c r="C418" s="92"/>
      <c r="D418" s="92"/>
      <c r="E418" s="92"/>
      <c r="F418" s="92"/>
      <c r="G418" s="92"/>
      <c r="H418" s="92"/>
      <c r="I418" s="91"/>
      <c r="J418" s="92"/>
      <c r="K418" s="92"/>
      <c r="L418" s="92"/>
      <c r="M418" s="92"/>
    </row>
    <row r="419" spans="1:13">
      <c r="A419" s="134"/>
      <c r="B419" s="135"/>
      <c r="C419" s="92"/>
      <c r="D419" s="92"/>
      <c r="E419" s="92"/>
      <c r="F419" s="92"/>
      <c r="G419" s="92"/>
      <c r="H419" s="92"/>
      <c r="I419" s="91"/>
      <c r="J419" s="92"/>
      <c r="K419" s="92"/>
      <c r="L419" s="92"/>
      <c r="M419" s="92"/>
    </row>
    <row r="420" spans="1:13">
      <c r="A420" s="134"/>
      <c r="B420" s="135"/>
      <c r="C420" s="92"/>
      <c r="D420" s="92"/>
      <c r="E420" s="92"/>
      <c r="F420" s="92"/>
      <c r="G420" s="92"/>
      <c r="H420" s="92"/>
      <c r="I420" s="91"/>
      <c r="J420" s="92"/>
      <c r="K420" s="92"/>
      <c r="L420" s="92"/>
      <c r="M420" s="92"/>
    </row>
    <row r="421" spans="1:13">
      <c r="A421" s="134"/>
      <c r="B421" s="135"/>
      <c r="C421" s="92"/>
      <c r="D421" s="92"/>
      <c r="E421" s="92"/>
      <c r="F421" s="92"/>
      <c r="G421" s="92"/>
      <c r="H421" s="92"/>
      <c r="I421" s="91"/>
      <c r="J421" s="92"/>
      <c r="K421" s="92"/>
      <c r="L421" s="92"/>
      <c r="M421" s="92"/>
    </row>
    <row r="422" spans="1:13">
      <c r="A422" s="134"/>
      <c r="B422" s="135"/>
      <c r="C422" s="92"/>
      <c r="D422" s="92"/>
      <c r="E422" s="92"/>
      <c r="F422" s="92"/>
      <c r="G422" s="92"/>
      <c r="H422" s="92"/>
      <c r="I422" s="91"/>
      <c r="J422" s="92"/>
      <c r="K422" s="92"/>
      <c r="L422" s="92"/>
      <c r="M422" s="92"/>
    </row>
    <row r="423" spans="1:13">
      <c r="A423" s="134"/>
      <c r="B423" s="135"/>
      <c r="C423" s="92"/>
      <c r="D423" s="92"/>
      <c r="E423" s="92"/>
      <c r="F423" s="92"/>
      <c r="G423" s="92"/>
      <c r="H423" s="92"/>
      <c r="I423" s="91"/>
      <c r="J423" s="92"/>
      <c r="K423" s="92"/>
      <c r="L423" s="92"/>
      <c r="M423" s="92"/>
    </row>
    <row r="424" spans="1:13">
      <c r="A424" s="134"/>
      <c r="B424" s="135"/>
      <c r="C424" s="92"/>
      <c r="D424" s="92"/>
      <c r="E424" s="92"/>
      <c r="F424" s="92"/>
      <c r="G424" s="92"/>
      <c r="H424" s="92"/>
      <c r="I424" s="91"/>
      <c r="J424" s="92"/>
      <c r="K424" s="92"/>
      <c r="L424" s="92"/>
      <c r="M424" s="92"/>
    </row>
    <row r="425" spans="1:13">
      <c r="A425" s="134"/>
      <c r="B425" s="135"/>
      <c r="C425" s="92"/>
      <c r="D425" s="92"/>
      <c r="E425" s="92"/>
      <c r="F425" s="92"/>
      <c r="G425" s="92"/>
      <c r="H425" s="92"/>
      <c r="I425" s="91"/>
      <c r="J425" s="92"/>
      <c r="K425" s="92"/>
      <c r="L425" s="92"/>
      <c r="M425" s="92"/>
    </row>
    <row r="426" spans="1:13">
      <c r="A426" s="134"/>
      <c r="B426" s="135"/>
      <c r="C426" s="92"/>
      <c r="D426" s="92"/>
      <c r="E426" s="92"/>
      <c r="F426" s="92"/>
      <c r="G426" s="92"/>
      <c r="H426" s="92"/>
      <c r="I426" s="91"/>
      <c r="J426" s="92"/>
      <c r="K426" s="92"/>
      <c r="L426" s="92"/>
      <c r="M426" s="92"/>
    </row>
    <row r="427" spans="1:13">
      <c r="A427" s="134"/>
      <c r="B427" s="135"/>
      <c r="C427" s="92"/>
      <c r="D427" s="92"/>
      <c r="E427" s="92"/>
      <c r="F427" s="92"/>
      <c r="G427" s="92"/>
      <c r="H427" s="92"/>
      <c r="I427" s="91"/>
      <c r="J427" s="92"/>
      <c r="K427" s="92"/>
      <c r="L427" s="92"/>
      <c r="M427" s="92"/>
    </row>
    <row r="428" spans="1:13">
      <c r="A428" s="134"/>
      <c r="B428" s="135"/>
      <c r="C428" s="92"/>
      <c r="D428" s="92"/>
      <c r="E428" s="92"/>
      <c r="F428" s="92"/>
      <c r="G428" s="92"/>
      <c r="H428" s="92"/>
      <c r="I428" s="91"/>
      <c r="J428" s="92"/>
      <c r="K428" s="92"/>
      <c r="L428" s="92"/>
      <c r="M428" s="92"/>
    </row>
    <row r="429" spans="1:13">
      <c r="A429" s="134"/>
      <c r="B429" s="135"/>
      <c r="C429" s="92"/>
      <c r="D429" s="92"/>
      <c r="E429" s="92"/>
      <c r="F429" s="92"/>
      <c r="G429" s="92"/>
      <c r="H429" s="92"/>
      <c r="I429" s="91"/>
      <c r="J429" s="92"/>
      <c r="K429" s="92"/>
      <c r="L429" s="92"/>
      <c r="M429" s="92"/>
    </row>
    <row r="430" spans="1:13">
      <c r="A430" s="134"/>
      <c r="B430" s="135"/>
      <c r="C430" s="92"/>
      <c r="D430" s="92"/>
      <c r="E430" s="92"/>
      <c r="F430" s="92"/>
      <c r="G430" s="92"/>
      <c r="H430" s="92"/>
      <c r="I430" s="91"/>
      <c r="J430" s="92"/>
      <c r="K430" s="92"/>
      <c r="L430" s="92"/>
      <c r="M430" s="92"/>
    </row>
    <row r="431" spans="1:13">
      <c r="A431" s="134"/>
      <c r="B431" s="135"/>
      <c r="C431" s="92"/>
      <c r="D431" s="92"/>
      <c r="E431" s="92"/>
      <c r="F431" s="92"/>
      <c r="G431" s="92"/>
      <c r="H431" s="92"/>
      <c r="I431" s="91"/>
      <c r="J431" s="92"/>
      <c r="K431" s="92"/>
      <c r="L431" s="92"/>
      <c r="M431" s="92"/>
    </row>
    <row r="432" spans="1:13">
      <c r="A432" s="134"/>
      <c r="B432" s="135"/>
      <c r="C432" s="92"/>
      <c r="D432" s="92"/>
      <c r="E432" s="92"/>
      <c r="F432" s="92"/>
      <c r="G432" s="92"/>
      <c r="H432" s="92"/>
      <c r="I432" s="91"/>
      <c r="J432" s="92"/>
      <c r="K432" s="92"/>
      <c r="L432" s="92"/>
      <c r="M432" s="92"/>
    </row>
    <row r="433" spans="1:13">
      <c r="A433" s="134"/>
      <c r="B433" s="135"/>
      <c r="C433" s="92"/>
      <c r="D433" s="92"/>
      <c r="E433" s="92"/>
      <c r="F433" s="92"/>
      <c r="G433" s="92"/>
      <c r="H433" s="92"/>
      <c r="I433" s="91"/>
      <c r="J433" s="92"/>
      <c r="K433" s="92"/>
      <c r="L433" s="92"/>
      <c r="M433" s="92"/>
    </row>
    <row r="434" spans="1:13">
      <c r="A434" s="134"/>
      <c r="B434" s="135"/>
      <c r="C434" s="92"/>
      <c r="D434" s="92"/>
      <c r="E434" s="92"/>
      <c r="F434" s="92"/>
      <c r="G434" s="92"/>
      <c r="H434" s="92"/>
      <c r="I434" s="91"/>
      <c r="J434" s="92"/>
      <c r="K434" s="92"/>
      <c r="L434" s="92"/>
      <c r="M434" s="92"/>
    </row>
    <row r="435" spans="1:13">
      <c r="A435" s="134"/>
      <c r="B435" s="135"/>
      <c r="C435" s="92"/>
      <c r="D435" s="92"/>
      <c r="E435" s="92"/>
      <c r="F435" s="92"/>
      <c r="G435" s="92"/>
      <c r="H435" s="92"/>
      <c r="I435" s="91"/>
      <c r="J435" s="92"/>
      <c r="K435" s="92"/>
      <c r="L435" s="92"/>
      <c r="M435" s="92"/>
    </row>
    <row r="436" spans="1:13">
      <c r="A436" s="134"/>
      <c r="B436" s="135"/>
      <c r="C436" s="92"/>
      <c r="D436" s="92"/>
      <c r="E436" s="92"/>
      <c r="F436" s="92"/>
      <c r="G436" s="92"/>
      <c r="H436" s="92"/>
      <c r="I436" s="91"/>
      <c r="J436" s="92"/>
      <c r="K436" s="92"/>
      <c r="L436" s="92"/>
      <c r="M436" s="92"/>
    </row>
    <row r="437" spans="1:13">
      <c r="A437" s="134"/>
      <c r="B437" s="135"/>
      <c r="C437" s="92"/>
      <c r="D437" s="92"/>
      <c r="E437" s="92"/>
      <c r="F437" s="92"/>
      <c r="G437" s="92"/>
      <c r="H437" s="92"/>
      <c r="I437" s="91"/>
      <c r="J437" s="92"/>
      <c r="K437" s="92"/>
      <c r="L437" s="92"/>
      <c r="M437" s="92"/>
    </row>
    <row r="438" spans="1:13">
      <c r="A438" s="134"/>
      <c r="B438" s="135"/>
      <c r="C438" s="92"/>
      <c r="D438" s="92"/>
      <c r="E438" s="92"/>
      <c r="F438" s="92"/>
      <c r="G438" s="92"/>
      <c r="H438" s="92"/>
      <c r="I438" s="91"/>
      <c r="J438" s="92"/>
      <c r="K438" s="92"/>
      <c r="L438" s="92"/>
      <c r="M438" s="92"/>
    </row>
    <row r="439" spans="1:13">
      <c r="A439" s="134"/>
      <c r="B439" s="135"/>
      <c r="C439" s="92"/>
      <c r="D439" s="92"/>
      <c r="E439" s="92"/>
      <c r="F439" s="92"/>
      <c r="G439" s="92"/>
      <c r="H439" s="92"/>
      <c r="I439" s="91"/>
      <c r="J439" s="92"/>
      <c r="K439" s="92"/>
      <c r="L439" s="92"/>
      <c r="M439" s="92"/>
    </row>
    <row r="440" spans="1:13">
      <c r="A440" s="134"/>
      <c r="B440" s="135"/>
      <c r="C440" s="92"/>
      <c r="D440" s="92"/>
      <c r="E440" s="92"/>
      <c r="F440" s="92"/>
      <c r="G440" s="92"/>
      <c r="H440" s="92"/>
      <c r="I440" s="91"/>
      <c r="J440" s="92"/>
      <c r="K440" s="92"/>
      <c r="L440" s="92"/>
      <c r="M440" s="92"/>
    </row>
    <row r="441" spans="1:13">
      <c r="A441" s="134"/>
      <c r="B441" s="135"/>
      <c r="C441" s="92"/>
      <c r="D441" s="92"/>
      <c r="E441" s="92"/>
      <c r="F441" s="92"/>
      <c r="G441" s="92"/>
      <c r="H441" s="92"/>
      <c r="I441" s="91"/>
      <c r="J441" s="92"/>
      <c r="K441" s="92"/>
      <c r="L441" s="92"/>
      <c r="M441" s="92"/>
    </row>
    <row r="442" spans="1:13">
      <c r="A442" s="134"/>
      <c r="B442" s="135"/>
      <c r="C442" s="92"/>
      <c r="D442" s="92"/>
      <c r="E442" s="92"/>
      <c r="F442" s="92"/>
      <c r="G442" s="92"/>
      <c r="H442" s="92"/>
      <c r="I442" s="91"/>
      <c r="J442" s="92"/>
      <c r="K442" s="92"/>
      <c r="L442" s="92"/>
      <c r="M442" s="92"/>
    </row>
    <row r="443" spans="1:13">
      <c r="A443" s="134"/>
      <c r="B443" s="135"/>
      <c r="C443" s="92"/>
      <c r="D443" s="92"/>
      <c r="E443" s="92"/>
      <c r="F443" s="92"/>
      <c r="G443" s="92"/>
      <c r="H443" s="92"/>
      <c r="I443" s="91"/>
      <c r="J443" s="92"/>
      <c r="K443" s="92"/>
      <c r="L443" s="92"/>
      <c r="M443" s="92"/>
    </row>
    <row r="444" spans="1:13">
      <c r="A444" s="134"/>
      <c r="B444" s="135"/>
      <c r="C444" s="92"/>
      <c r="D444" s="92"/>
      <c r="E444" s="92"/>
      <c r="F444" s="92"/>
      <c r="G444" s="92"/>
      <c r="H444" s="92"/>
      <c r="I444" s="91"/>
      <c r="J444" s="92"/>
      <c r="K444" s="92"/>
      <c r="L444" s="92"/>
      <c r="M444" s="92"/>
    </row>
    <row r="445" spans="1:13">
      <c r="A445" s="134"/>
      <c r="B445" s="135"/>
      <c r="C445" s="92"/>
      <c r="D445" s="92"/>
      <c r="E445" s="92"/>
      <c r="F445" s="92"/>
      <c r="G445" s="92"/>
      <c r="H445" s="92"/>
      <c r="I445" s="91"/>
      <c r="J445" s="92"/>
      <c r="K445" s="92"/>
      <c r="L445" s="92"/>
      <c r="M445" s="92"/>
    </row>
    <row r="446" spans="1:13">
      <c r="A446" s="134"/>
      <c r="B446" s="135"/>
      <c r="C446" s="92"/>
      <c r="D446" s="92"/>
      <c r="E446" s="92"/>
      <c r="F446" s="92"/>
      <c r="G446" s="92"/>
      <c r="H446" s="92"/>
      <c r="I446" s="91"/>
      <c r="J446" s="92"/>
      <c r="K446" s="92"/>
      <c r="L446" s="92"/>
      <c r="M446" s="92"/>
    </row>
    <row r="447" spans="1:13">
      <c r="A447" s="134"/>
      <c r="B447" s="135"/>
      <c r="C447" s="92"/>
      <c r="D447" s="92"/>
      <c r="E447" s="92"/>
      <c r="F447" s="92"/>
      <c r="G447" s="92"/>
      <c r="H447" s="92"/>
      <c r="I447" s="91"/>
      <c r="J447" s="92"/>
      <c r="K447" s="92"/>
      <c r="L447" s="92"/>
      <c r="M447" s="92"/>
    </row>
    <row r="448" spans="1:13">
      <c r="A448" s="134"/>
      <c r="B448" s="135"/>
      <c r="C448" s="92"/>
      <c r="D448" s="92"/>
      <c r="E448" s="92"/>
      <c r="F448" s="92"/>
      <c r="G448" s="92"/>
      <c r="H448" s="92"/>
      <c r="I448" s="91"/>
      <c r="J448" s="92"/>
      <c r="K448" s="92"/>
      <c r="L448" s="92"/>
      <c r="M448" s="92"/>
    </row>
    <row r="449" spans="1:13">
      <c r="A449" s="134"/>
      <c r="B449" s="135"/>
      <c r="C449" s="92"/>
      <c r="D449" s="92"/>
      <c r="E449" s="92"/>
      <c r="F449" s="92"/>
      <c r="G449" s="92"/>
      <c r="H449" s="92"/>
      <c r="I449" s="91"/>
      <c r="J449" s="92"/>
      <c r="K449" s="92"/>
      <c r="L449" s="92"/>
      <c r="M449" s="92"/>
    </row>
    <row r="450" spans="1:13">
      <c r="A450" s="134"/>
      <c r="B450" s="135"/>
      <c r="C450" s="92"/>
      <c r="D450" s="92"/>
      <c r="E450" s="92"/>
      <c r="F450" s="92"/>
      <c r="G450" s="92"/>
      <c r="H450" s="92"/>
      <c r="I450" s="91"/>
      <c r="J450" s="92"/>
      <c r="K450" s="92"/>
      <c r="L450" s="92"/>
      <c r="M450" s="92"/>
    </row>
    <row r="451" spans="1:13">
      <c r="A451" s="134"/>
      <c r="B451" s="135"/>
      <c r="C451" s="92"/>
      <c r="D451" s="92"/>
      <c r="E451" s="92"/>
      <c r="F451" s="92"/>
      <c r="G451" s="92"/>
      <c r="H451" s="92"/>
      <c r="I451" s="91"/>
      <c r="J451" s="92"/>
      <c r="K451" s="92"/>
      <c r="L451" s="92"/>
      <c r="M451" s="92"/>
    </row>
    <row r="452" spans="1:13">
      <c r="A452" s="134"/>
      <c r="B452" s="135"/>
      <c r="C452" s="92"/>
      <c r="D452" s="92"/>
      <c r="E452" s="92"/>
      <c r="F452" s="92"/>
      <c r="G452" s="92"/>
      <c r="H452" s="92"/>
      <c r="I452" s="91"/>
      <c r="J452" s="92"/>
      <c r="K452" s="92"/>
      <c r="L452" s="92"/>
      <c r="M452" s="92"/>
    </row>
    <row r="453" spans="1:13">
      <c r="A453" s="134"/>
      <c r="B453" s="135"/>
      <c r="C453" s="92"/>
      <c r="D453" s="92"/>
      <c r="E453" s="92"/>
      <c r="F453" s="92"/>
      <c r="G453" s="92"/>
      <c r="H453" s="92"/>
      <c r="I453" s="91"/>
      <c r="J453" s="92"/>
      <c r="K453" s="92"/>
      <c r="L453" s="92"/>
      <c r="M453" s="92"/>
    </row>
    <row r="454" spans="1:13">
      <c r="A454" s="134"/>
      <c r="B454" s="135"/>
      <c r="C454" s="92"/>
      <c r="D454" s="92"/>
      <c r="E454" s="92"/>
      <c r="F454" s="92"/>
      <c r="G454" s="92"/>
      <c r="H454" s="92"/>
      <c r="I454" s="91"/>
      <c r="J454" s="92"/>
      <c r="K454" s="92"/>
      <c r="L454" s="92"/>
      <c r="M454" s="92"/>
    </row>
    <row r="455" spans="1:13">
      <c r="A455" s="134"/>
      <c r="B455" s="135"/>
      <c r="C455" s="92"/>
      <c r="D455" s="92"/>
      <c r="E455" s="92"/>
      <c r="F455" s="92"/>
      <c r="G455" s="92"/>
      <c r="H455" s="92"/>
      <c r="I455" s="91"/>
      <c r="J455" s="92"/>
      <c r="K455" s="92"/>
      <c r="L455" s="92"/>
      <c r="M455" s="92"/>
    </row>
    <row r="456" spans="1:13">
      <c r="A456" s="134"/>
      <c r="B456" s="135"/>
      <c r="C456" s="92"/>
      <c r="D456" s="92"/>
      <c r="E456" s="92"/>
      <c r="F456" s="92"/>
      <c r="G456" s="92"/>
      <c r="H456" s="92"/>
      <c r="I456" s="91"/>
      <c r="J456" s="92"/>
      <c r="K456" s="92"/>
      <c r="L456" s="92"/>
      <c r="M456" s="92"/>
    </row>
    <row r="457" spans="1:13">
      <c r="A457" s="134"/>
      <c r="B457" s="135"/>
      <c r="C457" s="92"/>
      <c r="D457" s="92"/>
      <c r="E457" s="92"/>
      <c r="F457" s="92"/>
      <c r="G457" s="92"/>
      <c r="H457" s="92"/>
      <c r="I457" s="91"/>
      <c r="J457" s="92"/>
      <c r="K457" s="92"/>
      <c r="L457" s="92"/>
      <c r="M457" s="92"/>
    </row>
    <row r="458" spans="1:13">
      <c r="A458" s="134"/>
      <c r="B458" s="135"/>
      <c r="C458" s="92"/>
      <c r="D458" s="92"/>
      <c r="E458" s="92"/>
      <c r="F458" s="92"/>
      <c r="G458" s="92"/>
      <c r="H458" s="92"/>
      <c r="I458" s="91"/>
      <c r="J458" s="92"/>
      <c r="K458" s="92"/>
      <c r="L458" s="92"/>
      <c r="M458" s="92"/>
    </row>
    <row r="459" spans="1:13">
      <c r="A459" s="134"/>
      <c r="B459" s="135"/>
      <c r="C459" s="92"/>
      <c r="D459" s="92"/>
      <c r="E459" s="92"/>
      <c r="F459" s="92"/>
      <c r="G459" s="92"/>
      <c r="H459" s="92"/>
      <c r="I459" s="91"/>
      <c r="J459" s="92"/>
      <c r="K459" s="92"/>
      <c r="L459" s="92"/>
      <c r="M459" s="92"/>
    </row>
    <row r="460" spans="1:13">
      <c r="A460" s="134"/>
      <c r="B460" s="135"/>
      <c r="C460" s="92"/>
      <c r="D460" s="92"/>
      <c r="E460" s="92"/>
      <c r="F460" s="92"/>
      <c r="G460" s="92"/>
      <c r="H460" s="92"/>
      <c r="I460" s="91"/>
      <c r="J460" s="92"/>
      <c r="K460" s="92"/>
      <c r="L460" s="92"/>
      <c r="M460" s="92"/>
    </row>
    <row r="461" spans="1:13">
      <c r="A461" s="134"/>
      <c r="B461" s="135"/>
      <c r="C461" s="92"/>
      <c r="D461" s="92"/>
      <c r="E461" s="92"/>
      <c r="F461" s="92"/>
      <c r="G461" s="92"/>
      <c r="H461" s="92"/>
      <c r="I461" s="91"/>
      <c r="J461" s="92"/>
      <c r="K461" s="92"/>
      <c r="L461" s="92"/>
      <c r="M461" s="92"/>
    </row>
    <row r="462" spans="1:13">
      <c r="A462" s="134"/>
      <c r="B462" s="135"/>
      <c r="C462" s="92"/>
      <c r="D462" s="92"/>
      <c r="E462" s="92"/>
      <c r="F462" s="92"/>
      <c r="G462" s="92"/>
      <c r="H462" s="92"/>
      <c r="I462" s="91"/>
      <c r="J462" s="92"/>
      <c r="K462" s="92"/>
      <c r="L462" s="92"/>
      <c r="M462" s="92"/>
    </row>
    <row r="463" spans="1:13">
      <c r="A463" s="134"/>
      <c r="B463" s="135"/>
      <c r="C463" s="92"/>
      <c r="D463" s="92"/>
      <c r="E463" s="92"/>
      <c r="F463" s="92"/>
      <c r="G463" s="92"/>
      <c r="H463" s="92"/>
      <c r="I463" s="91"/>
      <c r="J463" s="92"/>
      <c r="K463" s="92"/>
      <c r="L463" s="92"/>
      <c r="M463" s="92"/>
    </row>
    <row r="464" spans="1:13">
      <c r="A464" s="134"/>
      <c r="B464" s="135"/>
      <c r="C464" s="92"/>
      <c r="D464" s="92"/>
      <c r="E464" s="92"/>
      <c r="F464" s="92"/>
      <c r="G464" s="92"/>
      <c r="H464" s="92"/>
      <c r="I464" s="91"/>
      <c r="J464" s="92"/>
      <c r="K464" s="92"/>
      <c r="L464" s="92"/>
      <c r="M464" s="92"/>
    </row>
    <row r="465" spans="1:13">
      <c r="A465" s="134"/>
      <c r="B465" s="135"/>
      <c r="C465" s="92"/>
      <c r="D465" s="92"/>
      <c r="E465" s="92"/>
      <c r="F465" s="92"/>
      <c r="G465" s="92"/>
      <c r="H465" s="92"/>
      <c r="I465" s="91"/>
      <c r="J465" s="92"/>
      <c r="K465" s="92"/>
      <c r="L465" s="92"/>
      <c r="M465" s="92"/>
    </row>
    <row r="466" spans="1:13">
      <c r="A466" s="134"/>
      <c r="B466" s="135"/>
      <c r="C466" s="92"/>
      <c r="D466" s="92"/>
      <c r="E466" s="92"/>
      <c r="F466" s="92"/>
      <c r="G466" s="92"/>
      <c r="H466" s="92"/>
      <c r="I466" s="91"/>
      <c r="J466" s="92"/>
      <c r="K466" s="92"/>
      <c r="L466" s="92"/>
      <c r="M466" s="92"/>
    </row>
    <row r="467" spans="1:13">
      <c r="A467" s="134"/>
      <c r="B467" s="135"/>
      <c r="C467" s="92"/>
      <c r="D467" s="92"/>
      <c r="E467" s="92"/>
      <c r="F467" s="92"/>
      <c r="G467" s="92"/>
      <c r="H467" s="92"/>
      <c r="I467" s="91"/>
      <c r="J467" s="92"/>
      <c r="K467" s="92"/>
      <c r="L467" s="92"/>
      <c r="M467" s="92"/>
    </row>
    <row r="468" spans="1:13">
      <c r="A468" s="134"/>
      <c r="B468" s="135"/>
      <c r="C468" s="92"/>
      <c r="D468" s="92"/>
      <c r="E468" s="92"/>
      <c r="F468" s="92"/>
      <c r="G468" s="92"/>
      <c r="H468" s="92"/>
      <c r="I468" s="91"/>
      <c r="J468" s="92"/>
      <c r="K468" s="92"/>
      <c r="L468" s="92"/>
      <c r="M468" s="92"/>
    </row>
    <row r="469" spans="1:13">
      <c r="A469" s="134"/>
      <c r="B469" s="135"/>
      <c r="C469" s="92"/>
      <c r="D469" s="92"/>
      <c r="E469" s="92"/>
      <c r="F469" s="92"/>
      <c r="G469" s="92"/>
      <c r="H469" s="92"/>
      <c r="I469" s="91"/>
      <c r="J469" s="92"/>
      <c r="K469" s="92"/>
      <c r="L469" s="92"/>
      <c r="M469" s="92"/>
    </row>
    <row r="470" spans="1:13">
      <c r="A470" s="134"/>
      <c r="B470" s="135"/>
      <c r="C470" s="92"/>
      <c r="D470" s="92"/>
      <c r="E470" s="92"/>
      <c r="F470" s="92"/>
      <c r="G470" s="92"/>
      <c r="H470" s="92"/>
      <c r="I470" s="91"/>
      <c r="J470" s="92"/>
      <c r="K470" s="92"/>
      <c r="L470" s="92"/>
      <c r="M470" s="92"/>
    </row>
    <row r="471" spans="1:13">
      <c r="A471" s="134"/>
      <c r="B471" s="135"/>
      <c r="C471" s="92"/>
      <c r="D471" s="92"/>
      <c r="E471" s="92"/>
      <c r="F471" s="92"/>
      <c r="G471" s="92"/>
      <c r="H471" s="92"/>
      <c r="I471" s="91"/>
      <c r="J471" s="92"/>
      <c r="K471" s="92"/>
      <c r="L471" s="92"/>
      <c r="M471" s="92"/>
    </row>
    <row r="472" spans="1:13">
      <c r="A472" s="134"/>
      <c r="B472" s="135"/>
      <c r="C472" s="92"/>
      <c r="D472" s="92"/>
      <c r="E472" s="92"/>
      <c r="F472" s="92"/>
      <c r="G472" s="92"/>
      <c r="H472" s="92"/>
      <c r="I472" s="91"/>
      <c r="J472" s="92"/>
      <c r="K472" s="92"/>
      <c r="L472" s="92"/>
      <c r="M472" s="92"/>
    </row>
    <row r="473" spans="1:13">
      <c r="A473" s="134"/>
      <c r="B473" s="135"/>
      <c r="C473" s="92"/>
      <c r="D473" s="92"/>
      <c r="E473" s="92"/>
      <c r="F473" s="92"/>
      <c r="G473" s="92"/>
      <c r="H473" s="92"/>
      <c r="I473" s="91"/>
      <c r="J473" s="92"/>
      <c r="K473" s="92"/>
      <c r="L473" s="92"/>
      <c r="M473" s="92"/>
    </row>
    <row r="474" spans="1:13">
      <c r="A474" s="134"/>
      <c r="B474" s="135"/>
      <c r="C474" s="92"/>
      <c r="D474" s="92"/>
      <c r="E474" s="92"/>
      <c r="F474" s="92"/>
      <c r="G474" s="92"/>
      <c r="H474" s="92"/>
      <c r="I474" s="91"/>
      <c r="J474" s="92"/>
      <c r="K474" s="92"/>
      <c r="L474" s="92"/>
      <c r="M474" s="92"/>
    </row>
    <row r="475" spans="1:13">
      <c r="A475" s="134"/>
      <c r="B475" s="135"/>
      <c r="C475" s="92"/>
      <c r="D475" s="92"/>
      <c r="E475" s="92"/>
      <c r="F475" s="92"/>
      <c r="G475" s="92"/>
      <c r="H475" s="92"/>
      <c r="I475" s="91"/>
      <c r="J475" s="92"/>
      <c r="K475" s="92"/>
      <c r="L475" s="92"/>
      <c r="M475" s="92"/>
    </row>
    <row r="476" spans="1:13">
      <c r="A476" s="134"/>
      <c r="B476" s="135"/>
      <c r="C476" s="92"/>
      <c r="D476" s="92"/>
      <c r="E476" s="92"/>
      <c r="F476" s="92"/>
      <c r="G476" s="92"/>
      <c r="H476" s="92"/>
      <c r="I476" s="91"/>
      <c r="J476" s="92"/>
      <c r="K476" s="92"/>
      <c r="L476" s="92"/>
      <c r="M476" s="92"/>
    </row>
    <row r="477" spans="1:13">
      <c r="A477" s="134"/>
      <c r="B477" s="135"/>
      <c r="C477" s="92"/>
      <c r="D477" s="92"/>
      <c r="E477" s="92"/>
      <c r="F477" s="92"/>
      <c r="G477" s="92"/>
      <c r="H477" s="92"/>
      <c r="I477" s="91"/>
      <c r="J477" s="92"/>
      <c r="K477" s="92"/>
      <c r="L477" s="92"/>
      <c r="M477" s="92"/>
    </row>
    <row r="478" spans="1:13">
      <c r="A478" s="134"/>
      <c r="B478" s="135"/>
      <c r="C478" s="92"/>
      <c r="D478" s="92"/>
      <c r="E478" s="92"/>
      <c r="F478" s="92"/>
      <c r="G478" s="92"/>
      <c r="H478" s="92"/>
      <c r="I478" s="91"/>
      <c r="J478" s="92"/>
      <c r="K478" s="92"/>
      <c r="L478" s="92"/>
      <c r="M478" s="92"/>
    </row>
    <row r="479" spans="1:13">
      <c r="A479" s="134"/>
      <c r="B479" s="135"/>
      <c r="C479" s="92"/>
      <c r="D479" s="92"/>
      <c r="E479" s="92"/>
      <c r="F479" s="92"/>
      <c r="G479" s="92"/>
      <c r="H479" s="92"/>
      <c r="I479" s="91"/>
      <c r="J479" s="92"/>
      <c r="K479" s="92"/>
      <c r="L479" s="92"/>
      <c r="M479" s="92"/>
    </row>
    <row r="480" spans="1:13">
      <c r="A480" s="134"/>
      <c r="B480" s="135"/>
      <c r="C480" s="92"/>
      <c r="D480" s="92"/>
      <c r="E480" s="92"/>
      <c r="F480" s="92"/>
      <c r="G480" s="92"/>
      <c r="H480" s="92"/>
      <c r="I480" s="91"/>
      <c r="J480" s="92"/>
      <c r="K480" s="92"/>
      <c r="L480" s="92"/>
      <c r="M480" s="92"/>
    </row>
    <row r="481" spans="1:13">
      <c r="A481" s="134"/>
      <c r="B481" s="135"/>
      <c r="C481" s="92"/>
      <c r="D481" s="92"/>
      <c r="E481" s="92"/>
      <c r="F481" s="92"/>
      <c r="G481" s="92"/>
      <c r="H481" s="92"/>
      <c r="I481" s="91"/>
      <c r="J481" s="92"/>
      <c r="K481" s="92"/>
      <c r="L481" s="92"/>
      <c r="M481" s="92"/>
    </row>
    <row r="482" spans="1:13">
      <c r="A482" s="134"/>
      <c r="B482" s="135"/>
      <c r="C482" s="92"/>
      <c r="D482" s="92"/>
      <c r="E482" s="92"/>
      <c r="F482" s="92"/>
      <c r="G482" s="92"/>
      <c r="H482" s="92"/>
      <c r="I482" s="91"/>
      <c r="J482" s="92"/>
      <c r="K482" s="92"/>
      <c r="L482" s="92"/>
      <c r="M482" s="92"/>
    </row>
    <row r="483" spans="1:13">
      <c r="A483" s="134"/>
      <c r="B483" s="135"/>
      <c r="C483" s="92"/>
      <c r="D483" s="92"/>
      <c r="E483" s="92"/>
      <c r="F483" s="92"/>
      <c r="G483" s="92"/>
      <c r="H483" s="92"/>
      <c r="I483" s="91"/>
      <c r="J483" s="92"/>
      <c r="K483" s="92"/>
      <c r="L483" s="92"/>
      <c r="M483" s="92"/>
    </row>
    <row r="484" spans="1:13">
      <c r="A484" s="134"/>
      <c r="B484" s="135"/>
      <c r="C484" s="92"/>
      <c r="D484" s="92"/>
      <c r="E484" s="92"/>
      <c r="F484" s="92"/>
      <c r="G484" s="92"/>
      <c r="H484" s="92"/>
      <c r="I484" s="91"/>
      <c r="J484" s="92"/>
      <c r="K484" s="92"/>
      <c r="L484" s="92"/>
      <c r="M484" s="92"/>
    </row>
    <row r="485" spans="1:13">
      <c r="A485" s="134"/>
      <c r="B485" s="135"/>
      <c r="C485" s="92"/>
      <c r="D485" s="92"/>
      <c r="E485" s="92"/>
      <c r="F485" s="92"/>
      <c r="G485" s="92"/>
      <c r="H485" s="92"/>
      <c r="I485" s="91"/>
      <c r="J485" s="92"/>
      <c r="K485" s="92"/>
      <c r="L485" s="92"/>
      <c r="M485" s="92"/>
    </row>
    <row r="486" spans="1:13">
      <c r="A486" s="134"/>
      <c r="B486" s="135"/>
      <c r="C486" s="92"/>
      <c r="D486" s="92"/>
      <c r="E486" s="92"/>
      <c r="F486" s="92"/>
      <c r="G486" s="92"/>
      <c r="H486" s="92"/>
      <c r="I486" s="91"/>
      <c r="J486" s="92"/>
      <c r="K486" s="92"/>
      <c r="L486" s="92"/>
      <c r="M486" s="92"/>
    </row>
    <row r="487" spans="1:13">
      <c r="A487" s="134"/>
      <c r="B487" s="135"/>
      <c r="C487" s="92"/>
      <c r="D487" s="92"/>
      <c r="E487" s="92"/>
      <c r="F487" s="92"/>
      <c r="G487" s="92"/>
      <c r="H487" s="92"/>
      <c r="I487" s="91"/>
      <c r="J487" s="92"/>
      <c r="K487" s="92"/>
      <c r="L487" s="92"/>
      <c r="M487" s="92"/>
    </row>
    <row r="488" spans="1:13">
      <c r="A488" s="134"/>
      <c r="B488" s="135"/>
      <c r="C488" s="92"/>
      <c r="D488" s="92"/>
      <c r="E488" s="92"/>
      <c r="F488" s="92"/>
      <c r="G488" s="92"/>
      <c r="H488" s="92"/>
      <c r="I488" s="91"/>
      <c r="J488" s="92"/>
      <c r="K488" s="92"/>
      <c r="L488" s="92"/>
      <c r="M488" s="92"/>
    </row>
    <row r="489" spans="1:13">
      <c r="A489" s="134"/>
      <c r="B489" s="135"/>
      <c r="C489" s="92"/>
      <c r="D489" s="92"/>
      <c r="E489" s="92"/>
      <c r="F489" s="92"/>
      <c r="G489" s="92"/>
      <c r="H489" s="92"/>
      <c r="I489" s="91"/>
      <c r="J489" s="92"/>
      <c r="K489" s="92"/>
      <c r="L489" s="92"/>
      <c r="M489" s="92"/>
    </row>
    <row r="490" spans="1:13">
      <c r="A490" s="134"/>
      <c r="B490" s="135"/>
      <c r="C490" s="92"/>
      <c r="D490" s="92"/>
      <c r="E490" s="92"/>
      <c r="F490" s="92"/>
      <c r="G490" s="92"/>
      <c r="H490" s="92"/>
      <c r="I490" s="91"/>
      <c r="J490" s="92"/>
      <c r="K490" s="92"/>
      <c r="L490" s="92"/>
      <c r="M490" s="92"/>
    </row>
    <row r="491" spans="1:13">
      <c r="A491" s="134"/>
      <c r="B491" s="135"/>
      <c r="C491" s="92"/>
      <c r="D491" s="92"/>
      <c r="E491" s="92"/>
      <c r="F491" s="92"/>
      <c r="G491" s="92"/>
      <c r="H491" s="92"/>
      <c r="I491" s="91"/>
      <c r="J491" s="92"/>
      <c r="K491" s="92"/>
      <c r="L491" s="92"/>
      <c r="M491" s="92"/>
    </row>
    <row r="492" spans="1:13">
      <c r="A492" s="134"/>
      <c r="B492" s="135"/>
      <c r="C492" s="92"/>
      <c r="D492" s="92"/>
      <c r="E492" s="92"/>
      <c r="F492" s="92"/>
      <c r="G492" s="92"/>
      <c r="H492" s="92"/>
      <c r="I492" s="91"/>
      <c r="J492" s="92"/>
      <c r="K492" s="92"/>
      <c r="L492" s="92"/>
      <c r="M492" s="92"/>
    </row>
    <row r="493" spans="1:13">
      <c r="A493" s="134"/>
      <c r="B493" s="135"/>
      <c r="C493" s="92"/>
      <c r="D493" s="92"/>
      <c r="E493" s="92"/>
      <c r="F493" s="92"/>
      <c r="G493" s="92"/>
      <c r="H493" s="92"/>
      <c r="I493" s="91"/>
      <c r="J493" s="92"/>
      <c r="K493" s="92"/>
      <c r="L493" s="92"/>
      <c r="M493" s="92"/>
    </row>
    <row r="494" spans="1:13">
      <c r="A494" s="134"/>
      <c r="B494" s="135"/>
      <c r="C494" s="92"/>
      <c r="D494" s="92"/>
      <c r="E494" s="92"/>
      <c r="F494" s="92"/>
      <c r="G494" s="92"/>
      <c r="H494" s="92"/>
      <c r="I494" s="91"/>
      <c r="J494" s="92"/>
      <c r="K494" s="92"/>
      <c r="L494" s="92"/>
      <c r="M494" s="92"/>
    </row>
    <row r="495" spans="1:13">
      <c r="A495" s="134"/>
      <c r="B495" s="135"/>
      <c r="C495" s="92"/>
      <c r="D495" s="92"/>
      <c r="E495" s="92"/>
      <c r="F495" s="92"/>
      <c r="G495" s="92"/>
      <c r="H495" s="92"/>
      <c r="I495" s="91"/>
      <c r="J495" s="92"/>
      <c r="K495" s="92"/>
      <c r="L495" s="92"/>
      <c r="M495" s="92"/>
    </row>
    <row r="496" spans="1:13">
      <c r="A496" s="134"/>
      <c r="B496" s="135"/>
      <c r="C496" s="92"/>
      <c r="D496" s="92"/>
      <c r="E496" s="92"/>
      <c r="F496" s="92"/>
      <c r="G496" s="92"/>
      <c r="H496" s="92"/>
      <c r="I496" s="91"/>
      <c r="J496" s="92"/>
      <c r="K496" s="92"/>
      <c r="L496" s="92"/>
      <c r="M496" s="92"/>
    </row>
    <row r="497" spans="1:13">
      <c r="A497" s="134"/>
      <c r="B497" s="135"/>
      <c r="C497" s="92"/>
      <c r="D497" s="92"/>
      <c r="E497" s="92"/>
      <c r="F497" s="92"/>
      <c r="G497" s="92"/>
      <c r="H497" s="92"/>
      <c r="I497" s="91"/>
      <c r="J497" s="92"/>
      <c r="K497" s="92"/>
      <c r="L497" s="92"/>
      <c r="M497" s="92"/>
    </row>
    <row r="498" spans="1:13">
      <c r="A498" s="134"/>
      <c r="B498" s="135"/>
      <c r="C498" s="92"/>
      <c r="D498" s="92"/>
      <c r="E498" s="92"/>
      <c r="F498" s="92"/>
      <c r="G498" s="92"/>
      <c r="H498" s="92"/>
      <c r="I498" s="91"/>
      <c r="J498" s="92"/>
      <c r="K498" s="92"/>
      <c r="L498" s="92"/>
      <c r="M498" s="92"/>
    </row>
    <row r="499" spans="1:13">
      <c r="A499" s="134"/>
      <c r="B499" s="135"/>
      <c r="C499" s="92"/>
      <c r="D499" s="92"/>
      <c r="E499" s="92"/>
      <c r="F499" s="92"/>
      <c r="G499" s="92"/>
      <c r="H499" s="92"/>
      <c r="I499" s="91"/>
      <c r="J499" s="92"/>
      <c r="K499" s="92"/>
      <c r="L499" s="92"/>
      <c r="M499" s="92"/>
    </row>
    <row r="500" spans="1:13">
      <c r="A500" s="134"/>
      <c r="B500" s="135"/>
      <c r="C500" s="92"/>
      <c r="D500" s="92"/>
      <c r="E500" s="92"/>
      <c r="F500" s="92"/>
      <c r="G500" s="92"/>
      <c r="H500" s="92"/>
      <c r="I500" s="91"/>
      <c r="J500" s="92"/>
      <c r="K500" s="92"/>
      <c r="L500" s="92"/>
      <c r="M500" s="92"/>
    </row>
    <row r="501" spans="1:13">
      <c r="A501" s="134"/>
      <c r="B501" s="135"/>
      <c r="C501" s="92"/>
      <c r="D501" s="92"/>
      <c r="E501" s="92"/>
      <c r="F501" s="92"/>
      <c r="G501" s="92"/>
      <c r="H501" s="92"/>
      <c r="I501" s="91"/>
      <c r="J501" s="92"/>
      <c r="K501" s="92"/>
      <c r="L501" s="92"/>
      <c r="M501" s="92"/>
    </row>
    <row r="502" spans="1:13">
      <c r="A502" s="134"/>
      <c r="B502" s="135"/>
      <c r="C502" s="92"/>
      <c r="D502" s="92"/>
      <c r="E502" s="92"/>
      <c r="F502" s="92"/>
      <c r="G502" s="92"/>
      <c r="H502" s="92"/>
      <c r="I502" s="91"/>
      <c r="J502" s="92"/>
      <c r="K502" s="92"/>
      <c r="L502" s="92"/>
      <c r="M502" s="92"/>
    </row>
    <row r="503" spans="1:13">
      <c r="A503" s="134"/>
      <c r="B503" s="135"/>
      <c r="C503" s="92"/>
      <c r="D503" s="92"/>
      <c r="E503" s="92"/>
      <c r="F503" s="92"/>
      <c r="G503" s="92"/>
      <c r="H503" s="92"/>
      <c r="I503" s="91"/>
      <c r="J503" s="92"/>
      <c r="K503" s="92"/>
      <c r="L503" s="92"/>
      <c r="M503" s="92"/>
    </row>
    <row r="504" spans="1:13">
      <c r="A504" s="134"/>
      <c r="B504" s="135"/>
      <c r="C504" s="92"/>
      <c r="D504" s="92"/>
      <c r="E504" s="92"/>
      <c r="F504" s="92"/>
      <c r="G504" s="92"/>
      <c r="H504" s="92"/>
      <c r="I504" s="91"/>
      <c r="J504" s="92"/>
      <c r="K504" s="92"/>
      <c r="L504" s="92"/>
      <c r="M504" s="92"/>
    </row>
    <row r="505" spans="1:13">
      <c r="A505" s="134"/>
      <c r="B505" s="135"/>
      <c r="C505" s="92"/>
      <c r="D505" s="92"/>
      <c r="E505" s="92"/>
      <c r="F505" s="92"/>
      <c r="G505" s="92"/>
      <c r="H505" s="92"/>
      <c r="I505" s="91"/>
      <c r="J505" s="92"/>
      <c r="K505" s="92"/>
      <c r="L505" s="92"/>
      <c r="M505" s="92"/>
    </row>
    <row r="506" spans="1:13">
      <c r="A506" s="134"/>
      <c r="B506" s="135"/>
      <c r="C506" s="92"/>
      <c r="D506" s="92"/>
      <c r="E506" s="92"/>
      <c r="F506" s="92"/>
      <c r="G506" s="92"/>
      <c r="H506" s="92"/>
      <c r="I506" s="91"/>
      <c r="J506" s="92"/>
      <c r="K506" s="92"/>
      <c r="L506" s="92"/>
      <c r="M506" s="92"/>
    </row>
    <row r="507" spans="1:13">
      <c r="A507" s="134"/>
      <c r="B507" s="135"/>
      <c r="C507" s="92"/>
      <c r="D507" s="92"/>
      <c r="E507" s="92"/>
      <c r="F507" s="92"/>
      <c r="G507" s="92"/>
      <c r="H507" s="92"/>
      <c r="I507" s="91"/>
      <c r="J507" s="92"/>
      <c r="K507" s="92"/>
      <c r="L507" s="92"/>
      <c r="M507" s="92"/>
    </row>
    <row r="508" spans="1:13">
      <c r="A508" s="134"/>
      <c r="B508" s="135"/>
      <c r="C508" s="92"/>
      <c r="D508" s="92"/>
      <c r="E508" s="92"/>
      <c r="F508" s="92"/>
      <c r="G508" s="92"/>
      <c r="H508" s="92"/>
      <c r="I508" s="91"/>
      <c r="J508" s="92"/>
      <c r="K508" s="92"/>
      <c r="L508" s="92"/>
      <c r="M508" s="92"/>
    </row>
    <row r="509" spans="1:13">
      <c r="A509" s="134"/>
      <c r="B509" s="135"/>
      <c r="C509" s="92"/>
      <c r="D509" s="92"/>
      <c r="E509" s="92"/>
      <c r="F509" s="92"/>
      <c r="G509" s="92"/>
      <c r="H509" s="92"/>
      <c r="I509" s="91"/>
      <c r="J509" s="92"/>
      <c r="K509" s="92"/>
      <c r="L509" s="92"/>
      <c r="M509" s="92"/>
    </row>
    <row r="510" spans="1:13">
      <c r="A510" s="134"/>
      <c r="B510" s="135"/>
      <c r="C510" s="92"/>
      <c r="D510" s="92"/>
      <c r="E510" s="92"/>
      <c r="F510" s="92"/>
      <c r="G510" s="92"/>
      <c r="H510" s="92"/>
      <c r="I510" s="91"/>
      <c r="J510" s="92"/>
      <c r="K510" s="92"/>
      <c r="L510" s="92"/>
      <c r="M510" s="92"/>
    </row>
    <row r="511" spans="1:13">
      <c r="A511" s="134"/>
      <c r="B511" s="135"/>
      <c r="C511" s="92"/>
      <c r="D511" s="92"/>
      <c r="E511" s="92"/>
      <c r="F511" s="92"/>
      <c r="G511" s="92"/>
      <c r="H511" s="92"/>
      <c r="I511" s="91"/>
      <c r="J511" s="92"/>
      <c r="K511" s="92"/>
      <c r="L511" s="92"/>
      <c r="M511" s="92"/>
    </row>
    <row r="512" spans="1:13">
      <c r="A512" s="134"/>
      <c r="B512" s="135"/>
      <c r="C512" s="92"/>
      <c r="D512" s="92"/>
      <c r="E512" s="92"/>
      <c r="F512" s="92"/>
      <c r="G512" s="92"/>
      <c r="H512" s="92"/>
      <c r="I512" s="91"/>
      <c r="J512" s="92"/>
      <c r="K512" s="92"/>
      <c r="L512" s="92"/>
      <c r="M512" s="92"/>
    </row>
    <row r="513" spans="1:13">
      <c r="A513" s="134"/>
      <c r="B513" s="135"/>
      <c r="C513" s="92"/>
      <c r="D513" s="92"/>
      <c r="E513" s="92"/>
      <c r="F513" s="92"/>
      <c r="G513" s="92"/>
      <c r="H513" s="92"/>
      <c r="I513" s="91"/>
      <c r="J513" s="92"/>
      <c r="K513" s="92"/>
      <c r="L513" s="92"/>
      <c r="M513" s="92"/>
    </row>
    <row r="514" spans="1:13">
      <c r="A514" s="134"/>
      <c r="B514" s="135"/>
      <c r="C514" s="92"/>
      <c r="D514" s="92"/>
      <c r="E514" s="92"/>
      <c r="F514" s="92"/>
      <c r="G514" s="92"/>
      <c r="H514" s="92"/>
      <c r="I514" s="91"/>
      <c r="J514" s="92"/>
      <c r="K514" s="92"/>
      <c r="L514" s="92"/>
      <c r="M514" s="92"/>
    </row>
    <row r="515" spans="1:13">
      <c r="A515" s="134"/>
      <c r="B515" s="135"/>
      <c r="C515" s="92"/>
      <c r="D515" s="92"/>
      <c r="E515" s="92"/>
      <c r="F515" s="92"/>
      <c r="G515" s="92"/>
      <c r="H515" s="92"/>
      <c r="I515" s="91"/>
      <c r="J515" s="92"/>
      <c r="K515" s="92"/>
      <c r="L515" s="92"/>
      <c r="M515" s="92"/>
    </row>
    <row r="516" spans="1:13">
      <c r="A516" s="134"/>
      <c r="B516" s="135"/>
      <c r="C516" s="92"/>
      <c r="D516" s="92"/>
      <c r="E516" s="92"/>
      <c r="F516" s="92"/>
      <c r="G516" s="92"/>
      <c r="H516" s="92"/>
      <c r="I516" s="91"/>
      <c r="J516" s="92"/>
      <c r="K516" s="92"/>
      <c r="L516" s="92"/>
      <c r="M516" s="92"/>
    </row>
    <row r="517" spans="1:13">
      <c r="A517" s="134"/>
      <c r="B517" s="135"/>
      <c r="C517" s="92"/>
      <c r="D517" s="92"/>
      <c r="E517" s="92"/>
      <c r="F517" s="92"/>
      <c r="G517" s="92"/>
      <c r="H517" s="92"/>
      <c r="I517" s="91"/>
      <c r="J517" s="92"/>
      <c r="K517" s="92"/>
      <c r="L517" s="92"/>
      <c r="M517" s="92"/>
    </row>
    <row r="518" spans="1:13">
      <c r="A518" s="134"/>
      <c r="B518" s="135"/>
      <c r="C518" s="92"/>
      <c r="D518" s="92"/>
      <c r="E518" s="92"/>
      <c r="F518" s="92"/>
      <c r="G518" s="92"/>
      <c r="H518" s="92"/>
      <c r="I518" s="91"/>
      <c r="J518" s="92"/>
      <c r="K518" s="92"/>
      <c r="L518" s="92"/>
      <c r="M518" s="92"/>
    </row>
    <row r="519" spans="1:13">
      <c r="A519" s="134"/>
      <c r="B519" s="135"/>
      <c r="C519" s="92"/>
      <c r="D519" s="92"/>
      <c r="E519" s="92"/>
      <c r="F519" s="92"/>
      <c r="G519" s="92"/>
      <c r="H519" s="92"/>
      <c r="I519" s="91"/>
      <c r="J519" s="92"/>
      <c r="K519" s="92"/>
      <c r="L519" s="92"/>
      <c r="M519" s="92"/>
    </row>
    <row r="520" spans="1:13">
      <c r="A520" s="134"/>
      <c r="B520" s="135"/>
      <c r="C520" s="92"/>
      <c r="D520" s="92"/>
      <c r="E520" s="92"/>
      <c r="F520" s="92"/>
      <c r="G520" s="92"/>
      <c r="H520" s="92"/>
      <c r="I520" s="91"/>
      <c r="J520" s="92"/>
      <c r="K520" s="92"/>
      <c r="L520" s="92"/>
      <c r="M520" s="92"/>
    </row>
    <row r="521" spans="1:13">
      <c r="A521" s="134"/>
      <c r="B521" s="135"/>
      <c r="C521" s="92"/>
      <c r="D521" s="92"/>
      <c r="E521" s="92"/>
      <c r="F521" s="92"/>
      <c r="G521" s="92"/>
      <c r="H521" s="92"/>
      <c r="I521" s="91"/>
      <c r="J521" s="92"/>
      <c r="K521" s="92"/>
      <c r="L521" s="92"/>
      <c r="M521" s="92"/>
    </row>
    <row r="522" spans="1:13">
      <c r="A522" s="134"/>
      <c r="B522" s="135"/>
      <c r="C522" s="92"/>
      <c r="D522" s="92"/>
      <c r="E522" s="92"/>
      <c r="F522" s="92"/>
      <c r="G522" s="92"/>
      <c r="H522" s="92"/>
      <c r="I522" s="91"/>
      <c r="J522" s="92"/>
      <c r="K522" s="92"/>
      <c r="L522" s="92"/>
      <c r="M522" s="92"/>
    </row>
    <row r="523" spans="1:13">
      <c r="A523" s="134"/>
      <c r="B523" s="135"/>
      <c r="C523" s="92"/>
      <c r="D523" s="92"/>
      <c r="E523" s="92"/>
      <c r="F523" s="92"/>
      <c r="G523" s="92"/>
      <c r="H523" s="92"/>
      <c r="I523" s="91"/>
      <c r="J523" s="92"/>
      <c r="K523" s="92"/>
      <c r="L523" s="92"/>
      <c r="M523" s="92"/>
    </row>
    <row r="524" spans="1:13">
      <c r="A524" s="134"/>
      <c r="B524" s="135"/>
      <c r="C524" s="92"/>
      <c r="D524" s="92"/>
      <c r="E524" s="92"/>
      <c r="F524" s="92"/>
      <c r="G524" s="92"/>
      <c r="H524" s="92"/>
      <c r="I524" s="91"/>
      <c r="J524" s="92"/>
      <c r="K524" s="92"/>
      <c r="L524" s="92"/>
      <c r="M524" s="92"/>
    </row>
    <row r="525" spans="1:13">
      <c r="A525" s="134"/>
      <c r="B525" s="135"/>
      <c r="C525" s="92"/>
      <c r="D525" s="92"/>
      <c r="E525" s="92"/>
      <c r="F525" s="92"/>
      <c r="G525" s="92"/>
      <c r="H525" s="92"/>
      <c r="I525" s="91"/>
      <c r="J525" s="92"/>
      <c r="K525" s="92"/>
      <c r="L525" s="92"/>
      <c r="M525" s="92"/>
    </row>
    <row r="526" spans="1:13">
      <c r="A526" s="134"/>
      <c r="B526" s="135"/>
      <c r="C526" s="92"/>
      <c r="D526" s="92"/>
      <c r="E526" s="92"/>
      <c r="F526" s="92"/>
      <c r="G526" s="92"/>
      <c r="H526" s="92"/>
      <c r="I526" s="91"/>
      <c r="J526" s="92"/>
      <c r="K526" s="92"/>
      <c r="L526" s="92"/>
      <c r="M526" s="92"/>
    </row>
    <row r="527" spans="1:13">
      <c r="A527" s="134"/>
      <c r="B527" s="135"/>
      <c r="C527" s="92"/>
      <c r="D527" s="92"/>
      <c r="E527" s="92"/>
      <c r="F527" s="92"/>
      <c r="G527" s="92"/>
      <c r="H527" s="92"/>
      <c r="I527" s="91"/>
      <c r="J527" s="92"/>
      <c r="K527" s="92"/>
      <c r="L527" s="92"/>
      <c r="M527" s="92"/>
    </row>
    <row r="528" spans="1:13">
      <c r="A528" s="134"/>
      <c r="B528" s="135"/>
      <c r="C528" s="92"/>
      <c r="D528" s="92"/>
      <c r="E528" s="92"/>
      <c r="F528" s="92"/>
      <c r="G528" s="92"/>
      <c r="H528" s="92"/>
      <c r="I528" s="91"/>
      <c r="J528" s="92"/>
      <c r="K528" s="92"/>
      <c r="L528" s="92"/>
      <c r="M528" s="92"/>
    </row>
    <row r="529" spans="1:13">
      <c r="A529" s="134"/>
      <c r="B529" s="135"/>
      <c r="C529" s="92"/>
      <c r="D529" s="92"/>
      <c r="E529" s="92"/>
      <c r="F529" s="92"/>
      <c r="G529" s="92"/>
      <c r="H529" s="92"/>
      <c r="I529" s="91"/>
      <c r="J529" s="92"/>
      <c r="K529" s="92"/>
      <c r="L529" s="92"/>
      <c r="M529" s="92"/>
    </row>
    <row r="530" spans="1:13">
      <c r="A530" s="134"/>
      <c r="B530" s="135"/>
      <c r="C530" s="92"/>
      <c r="D530" s="92"/>
      <c r="E530" s="92"/>
      <c r="F530" s="92"/>
      <c r="G530" s="92"/>
      <c r="H530" s="92"/>
      <c r="I530" s="91"/>
      <c r="J530" s="92"/>
      <c r="K530" s="92"/>
      <c r="L530" s="92"/>
      <c r="M530" s="92"/>
    </row>
    <row r="531" spans="1:13">
      <c r="A531" s="134"/>
      <c r="B531" s="135"/>
      <c r="C531" s="92"/>
      <c r="D531" s="92"/>
      <c r="E531" s="92"/>
      <c r="F531" s="92"/>
      <c r="G531" s="92"/>
      <c r="H531" s="92"/>
      <c r="I531" s="91"/>
      <c r="J531" s="92"/>
      <c r="K531" s="92"/>
      <c r="L531" s="92"/>
      <c r="M531" s="92"/>
    </row>
    <row r="532" spans="1:13">
      <c r="A532" s="134"/>
      <c r="B532" s="135"/>
      <c r="C532" s="92"/>
      <c r="D532" s="92"/>
      <c r="E532" s="92"/>
      <c r="F532" s="92"/>
      <c r="G532" s="92"/>
      <c r="H532" s="92"/>
      <c r="I532" s="91"/>
      <c r="J532" s="92"/>
      <c r="K532" s="92"/>
      <c r="L532" s="92"/>
      <c r="M532" s="92"/>
    </row>
    <row r="533" spans="1:13">
      <c r="A533" s="134"/>
      <c r="B533" s="135"/>
      <c r="C533" s="92"/>
      <c r="D533" s="92"/>
      <c r="E533" s="92"/>
      <c r="F533" s="92"/>
      <c r="G533" s="92"/>
      <c r="H533" s="92"/>
      <c r="I533" s="91"/>
      <c r="J533" s="92"/>
      <c r="K533" s="92"/>
      <c r="L533" s="92"/>
      <c r="M533" s="92"/>
    </row>
    <row r="534" spans="1:13">
      <c r="A534" s="134"/>
      <c r="B534" s="135"/>
      <c r="C534" s="92"/>
      <c r="D534" s="92"/>
      <c r="E534" s="92"/>
      <c r="F534" s="92"/>
      <c r="G534" s="92"/>
      <c r="H534" s="92"/>
      <c r="I534" s="91"/>
      <c r="J534" s="92"/>
      <c r="K534" s="92"/>
      <c r="L534" s="92"/>
      <c r="M534" s="92"/>
    </row>
    <row r="535" spans="1:13">
      <c r="A535" s="134"/>
      <c r="B535" s="135"/>
      <c r="C535" s="92"/>
      <c r="D535" s="92"/>
      <c r="E535" s="92"/>
      <c r="F535" s="92"/>
      <c r="G535" s="92"/>
      <c r="H535" s="92"/>
      <c r="I535" s="91"/>
      <c r="J535" s="92"/>
      <c r="K535" s="92"/>
      <c r="L535" s="92"/>
      <c r="M535" s="92"/>
    </row>
    <row r="536" spans="1:13">
      <c r="A536" s="134"/>
      <c r="B536" s="135"/>
      <c r="C536" s="92"/>
      <c r="D536" s="92"/>
      <c r="E536" s="92"/>
      <c r="F536" s="92"/>
      <c r="G536" s="92"/>
      <c r="H536" s="92"/>
      <c r="I536" s="91"/>
      <c r="J536" s="92"/>
      <c r="K536" s="92"/>
      <c r="L536" s="92"/>
      <c r="M536" s="92"/>
    </row>
    <row r="537" spans="1:13">
      <c r="A537" s="134"/>
      <c r="B537" s="135"/>
      <c r="C537" s="92"/>
      <c r="D537" s="92"/>
      <c r="E537" s="92"/>
      <c r="F537" s="92"/>
      <c r="G537" s="92"/>
      <c r="H537" s="92"/>
      <c r="I537" s="91"/>
      <c r="J537" s="92"/>
      <c r="K537" s="92"/>
      <c r="L537" s="92"/>
      <c r="M537" s="92"/>
    </row>
    <row r="538" spans="1:13">
      <c r="A538" s="134"/>
      <c r="B538" s="135"/>
      <c r="C538" s="92"/>
      <c r="D538" s="92"/>
      <c r="E538" s="92"/>
      <c r="F538" s="92"/>
      <c r="G538" s="92"/>
      <c r="H538" s="92"/>
      <c r="I538" s="91"/>
      <c r="J538" s="92"/>
      <c r="K538" s="92"/>
      <c r="L538" s="92"/>
      <c r="M538" s="92"/>
    </row>
    <row r="539" spans="1:13">
      <c r="A539" s="134"/>
      <c r="B539" s="135"/>
      <c r="C539" s="92"/>
      <c r="D539" s="92"/>
      <c r="E539" s="92"/>
      <c r="F539" s="92"/>
      <c r="G539" s="92"/>
      <c r="H539" s="92"/>
      <c r="I539" s="91"/>
      <c r="J539" s="92"/>
      <c r="K539" s="92"/>
      <c r="L539" s="92"/>
      <c r="M539" s="92"/>
    </row>
    <row r="540" spans="1:13">
      <c r="A540" s="134"/>
      <c r="B540" s="135"/>
      <c r="C540" s="92"/>
      <c r="D540" s="92"/>
      <c r="E540" s="92"/>
      <c r="F540" s="92"/>
      <c r="G540" s="92"/>
      <c r="H540" s="92"/>
      <c r="I540" s="91"/>
      <c r="J540" s="92"/>
      <c r="K540" s="92"/>
      <c r="L540" s="92"/>
      <c r="M540" s="92"/>
    </row>
    <row r="541" spans="1:13">
      <c r="A541" s="134"/>
      <c r="B541" s="135"/>
      <c r="C541" s="92"/>
      <c r="D541" s="92"/>
      <c r="E541" s="92"/>
      <c r="F541" s="92"/>
      <c r="G541" s="92"/>
      <c r="H541" s="92"/>
      <c r="I541" s="91"/>
      <c r="J541" s="92"/>
      <c r="K541" s="92"/>
      <c r="L541" s="92"/>
      <c r="M541" s="92"/>
    </row>
    <row r="542" spans="1:13">
      <c r="A542" s="134"/>
      <c r="B542" s="135"/>
      <c r="C542" s="92"/>
      <c r="D542" s="92"/>
      <c r="E542" s="92"/>
      <c r="F542" s="92"/>
      <c r="G542" s="92"/>
      <c r="H542" s="92"/>
      <c r="I542" s="91"/>
      <c r="J542" s="92"/>
      <c r="K542" s="92"/>
      <c r="L542" s="92"/>
      <c r="M542" s="92"/>
    </row>
    <row r="543" spans="1:13">
      <c r="A543" s="134"/>
      <c r="B543" s="135"/>
      <c r="C543" s="92"/>
      <c r="D543" s="92"/>
      <c r="E543" s="92"/>
      <c r="F543" s="92"/>
      <c r="G543" s="92"/>
      <c r="H543" s="92"/>
      <c r="I543" s="91"/>
      <c r="J543" s="92"/>
      <c r="K543" s="92"/>
      <c r="L543" s="92"/>
      <c r="M543" s="92"/>
    </row>
    <row r="544" spans="1:13">
      <c r="A544" s="134"/>
      <c r="B544" s="135"/>
      <c r="C544" s="92"/>
      <c r="D544" s="92"/>
      <c r="E544" s="92"/>
      <c r="F544" s="92"/>
      <c r="G544" s="92"/>
      <c r="H544" s="92"/>
      <c r="I544" s="91"/>
      <c r="J544" s="92"/>
      <c r="K544" s="92"/>
      <c r="L544" s="92"/>
      <c r="M544" s="92"/>
    </row>
    <row r="545" spans="1:13">
      <c r="A545" s="134"/>
      <c r="B545" s="135"/>
      <c r="C545" s="92"/>
      <c r="D545" s="92"/>
      <c r="E545" s="92"/>
      <c r="F545" s="92"/>
      <c r="G545" s="92"/>
      <c r="H545" s="92"/>
      <c r="I545" s="91"/>
      <c r="J545" s="92"/>
      <c r="K545" s="92"/>
      <c r="L545" s="92"/>
      <c r="M545" s="92"/>
    </row>
    <row r="546" spans="1:13">
      <c r="A546" s="134"/>
      <c r="B546" s="135"/>
      <c r="C546" s="92"/>
      <c r="D546" s="92"/>
      <c r="E546" s="92"/>
      <c r="F546" s="92"/>
      <c r="G546" s="92"/>
      <c r="H546" s="92"/>
      <c r="I546" s="91"/>
      <c r="J546" s="92"/>
      <c r="K546" s="92"/>
      <c r="L546" s="92"/>
      <c r="M546" s="92"/>
    </row>
    <row r="547" spans="1:13">
      <c r="A547" s="134"/>
      <c r="B547" s="135"/>
      <c r="C547" s="92"/>
      <c r="D547" s="92"/>
      <c r="E547" s="92"/>
      <c r="F547" s="92"/>
      <c r="G547" s="92"/>
      <c r="H547" s="92"/>
      <c r="I547" s="91"/>
      <c r="J547" s="92"/>
      <c r="K547" s="92"/>
      <c r="L547" s="92"/>
      <c r="M547" s="92"/>
    </row>
    <row r="548" spans="1:13">
      <c r="A548" s="134"/>
      <c r="B548" s="135"/>
      <c r="C548" s="92"/>
      <c r="D548" s="92"/>
      <c r="E548" s="92"/>
      <c r="F548" s="92"/>
      <c r="G548" s="92"/>
      <c r="H548" s="92"/>
      <c r="I548" s="91"/>
      <c r="J548" s="92"/>
      <c r="K548" s="92"/>
      <c r="L548" s="92"/>
      <c r="M548" s="92"/>
    </row>
    <row r="549" spans="1:13">
      <c r="A549" s="134"/>
      <c r="B549" s="135"/>
      <c r="C549" s="92"/>
      <c r="D549" s="92"/>
      <c r="E549" s="92"/>
      <c r="F549" s="92"/>
      <c r="G549" s="92"/>
      <c r="H549" s="92"/>
      <c r="I549" s="91"/>
      <c r="J549" s="92"/>
      <c r="K549" s="92"/>
      <c r="L549" s="92"/>
      <c r="M549" s="92"/>
    </row>
    <row r="550" spans="1:13">
      <c r="A550" s="134"/>
      <c r="B550" s="135"/>
      <c r="C550" s="92"/>
      <c r="D550" s="92"/>
      <c r="E550" s="92"/>
      <c r="F550" s="92"/>
      <c r="G550" s="92"/>
      <c r="H550" s="92"/>
      <c r="I550" s="91"/>
      <c r="J550" s="92"/>
      <c r="K550" s="92"/>
      <c r="L550" s="92"/>
      <c r="M550" s="92"/>
    </row>
    <row r="551" spans="1:13">
      <c r="A551" s="134"/>
      <c r="B551" s="135"/>
      <c r="C551" s="92"/>
      <c r="D551" s="92"/>
      <c r="E551" s="92"/>
      <c r="F551" s="92"/>
      <c r="G551" s="92"/>
      <c r="H551" s="92"/>
      <c r="I551" s="91"/>
      <c r="J551" s="92"/>
      <c r="K551" s="92"/>
      <c r="L551" s="92"/>
      <c r="M551" s="92"/>
    </row>
    <row r="552" spans="1:13">
      <c r="A552" s="134"/>
      <c r="B552" s="135"/>
      <c r="C552" s="92"/>
      <c r="D552" s="92"/>
      <c r="E552" s="92"/>
      <c r="F552" s="92"/>
      <c r="G552" s="92"/>
      <c r="H552" s="92"/>
      <c r="I552" s="91"/>
      <c r="J552" s="92"/>
      <c r="K552" s="92"/>
      <c r="L552" s="92"/>
      <c r="M552" s="92"/>
    </row>
    <row r="553" spans="1:13">
      <c r="A553" s="134"/>
      <c r="B553" s="135"/>
      <c r="C553" s="92"/>
      <c r="D553" s="92"/>
      <c r="E553" s="92"/>
      <c r="F553" s="92"/>
      <c r="G553" s="92"/>
      <c r="H553" s="92"/>
      <c r="I553" s="91"/>
      <c r="J553" s="92"/>
      <c r="K553" s="92"/>
      <c r="L553" s="92"/>
      <c r="M553" s="92"/>
    </row>
    <row r="554" spans="1:13">
      <c r="A554" s="134"/>
      <c r="B554" s="135"/>
      <c r="C554" s="92"/>
      <c r="D554" s="92"/>
      <c r="E554" s="92"/>
      <c r="F554" s="92"/>
      <c r="G554" s="92"/>
      <c r="H554" s="92"/>
      <c r="I554" s="91"/>
      <c r="J554" s="92"/>
      <c r="K554" s="92"/>
      <c r="L554" s="92"/>
      <c r="M554" s="92"/>
    </row>
    <row r="555" spans="1:13">
      <c r="A555" s="134"/>
      <c r="B555" s="135"/>
      <c r="C555" s="92"/>
      <c r="D555" s="92"/>
      <c r="E555" s="92"/>
      <c r="F555" s="92"/>
      <c r="G555" s="92"/>
      <c r="H555" s="92"/>
      <c r="I555" s="91"/>
      <c r="J555" s="92"/>
      <c r="K555" s="92"/>
      <c r="L555" s="92"/>
      <c r="M555" s="92"/>
    </row>
    <row r="556" spans="1:13">
      <c r="A556" s="134"/>
      <c r="B556" s="135"/>
      <c r="C556" s="92"/>
      <c r="D556" s="92"/>
      <c r="E556" s="92"/>
      <c r="F556" s="92"/>
      <c r="G556" s="92"/>
      <c r="H556" s="92"/>
      <c r="I556" s="91"/>
      <c r="J556" s="92"/>
      <c r="K556" s="92"/>
      <c r="L556" s="92"/>
      <c r="M556" s="92"/>
    </row>
    <row r="557" spans="1:13">
      <c r="A557" s="134"/>
      <c r="B557" s="135"/>
      <c r="C557" s="92"/>
      <c r="D557" s="92"/>
      <c r="E557" s="92"/>
      <c r="F557" s="92"/>
      <c r="G557" s="92"/>
      <c r="H557" s="92"/>
      <c r="I557" s="91"/>
      <c r="J557" s="92"/>
      <c r="K557" s="92"/>
      <c r="L557" s="92"/>
      <c r="M557" s="92"/>
    </row>
    <row r="558" spans="1:13">
      <c r="A558" s="134"/>
      <c r="B558" s="135"/>
      <c r="C558" s="92"/>
      <c r="D558" s="92"/>
      <c r="E558" s="92"/>
      <c r="F558" s="92"/>
      <c r="G558" s="92"/>
      <c r="H558" s="92"/>
      <c r="I558" s="91"/>
      <c r="J558" s="92"/>
      <c r="K558" s="92"/>
      <c r="L558" s="92"/>
      <c r="M558" s="92"/>
    </row>
    <row r="559" spans="1:13">
      <c r="A559" s="134"/>
      <c r="B559" s="135"/>
      <c r="C559" s="92"/>
      <c r="D559" s="92"/>
      <c r="E559" s="92"/>
      <c r="F559" s="92"/>
      <c r="G559" s="92"/>
      <c r="H559" s="92"/>
      <c r="I559" s="91"/>
      <c r="J559" s="92"/>
      <c r="K559" s="92"/>
      <c r="L559" s="92"/>
      <c r="M559" s="92"/>
    </row>
    <row r="560" spans="1:13">
      <c r="A560" s="134"/>
      <c r="B560" s="135"/>
      <c r="C560" s="92"/>
      <c r="D560" s="92"/>
      <c r="E560" s="92"/>
      <c r="F560" s="92"/>
      <c r="G560" s="92"/>
      <c r="H560" s="92"/>
      <c r="I560" s="91"/>
      <c r="J560" s="92"/>
      <c r="K560" s="92"/>
      <c r="L560" s="92"/>
      <c r="M560" s="92"/>
    </row>
    <row r="561" spans="1:13">
      <c r="A561" s="134"/>
      <c r="B561" s="135"/>
      <c r="C561" s="92"/>
      <c r="D561" s="92"/>
      <c r="E561" s="92"/>
      <c r="F561" s="92"/>
      <c r="G561" s="92"/>
      <c r="H561" s="92"/>
      <c r="I561" s="91"/>
      <c r="J561" s="92"/>
      <c r="K561" s="92"/>
      <c r="L561" s="92"/>
      <c r="M561" s="92"/>
    </row>
    <row r="562" spans="1:13">
      <c r="A562" s="134"/>
      <c r="B562" s="135"/>
      <c r="C562" s="92"/>
      <c r="D562" s="92"/>
      <c r="E562" s="92"/>
      <c r="F562" s="92"/>
      <c r="G562" s="92"/>
      <c r="H562" s="92"/>
      <c r="I562" s="91"/>
      <c r="J562" s="92"/>
      <c r="K562" s="92"/>
      <c r="L562" s="92"/>
      <c r="M562" s="92"/>
    </row>
    <row r="563" spans="1:13">
      <c r="A563" s="134"/>
      <c r="B563" s="135"/>
      <c r="C563" s="92"/>
      <c r="D563" s="92"/>
      <c r="E563" s="92"/>
      <c r="F563" s="92"/>
      <c r="G563" s="92"/>
      <c r="H563" s="92"/>
      <c r="I563" s="91"/>
      <c r="J563" s="92"/>
      <c r="K563" s="92"/>
      <c r="L563" s="92"/>
      <c r="M563" s="92"/>
    </row>
    <row r="564" spans="1:13">
      <c r="A564" s="134"/>
      <c r="B564" s="135"/>
      <c r="C564" s="92"/>
      <c r="D564" s="92"/>
      <c r="E564" s="92"/>
      <c r="F564" s="92"/>
      <c r="G564" s="92"/>
      <c r="H564" s="92"/>
      <c r="I564" s="91"/>
      <c r="J564" s="92"/>
      <c r="K564" s="92"/>
      <c r="L564" s="92"/>
      <c r="M564" s="92"/>
    </row>
    <row r="565" spans="1:13">
      <c r="A565" s="134"/>
      <c r="B565" s="135"/>
      <c r="C565" s="92"/>
      <c r="D565" s="92"/>
      <c r="E565" s="92"/>
      <c r="F565" s="92"/>
      <c r="G565" s="92"/>
      <c r="H565" s="92"/>
      <c r="I565" s="91"/>
      <c r="J565" s="92"/>
      <c r="K565" s="92"/>
      <c r="L565" s="92"/>
      <c r="M565" s="92"/>
    </row>
    <row r="566" spans="1:13">
      <c r="A566" s="134"/>
      <c r="B566" s="135"/>
      <c r="C566" s="92"/>
      <c r="D566" s="92"/>
      <c r="E566" s="92"/>
      <c r="F566" s="92"/>
      <c r="G566" s="92"/>
      <c r="H566" s="92"/>
      <c r="I566" s="91"/>
      <c r="J566" s="92"/>
      <c r="K566" s="92"/>
      <c r="L566" s="92"/>
      <c r="M566" s="92"/>
    </row>
    <row r="567" spans="1:13">
      <c r="A567" s="134"/>
      <c r="B567" s="135"/>
      <c r="C567" s="92"/>
      <c r="D567" s="92"/>
      <c r="E567" s="92"/>
      <c r="F567" s="92"/>
      <c r="G567" s="92"/>
      <c r="H567" s="92"/>
      <c r="I567" s="91"/>
      <c r="J567" s="92"/>
      <c r="K567" s="92"/>
      <c r="L567" s="92"/>
      <c r="M567" s="92"/>
    </row>
    <row r="568" spans="1:13">
      <c r="A568" s="134"/>
      <c r="B568" s="135"/>
      <c r="C568" s="92"/>
      <c r="D568" s="92"/>
      <c r="E568" s="92"/>
      <c r="F568" s="92"/>
      <c r="G568" s="92"/>
      <c r="H568" s="92"/>
      <c r="I568" s="91"/>
      <c r="J568" s="92"/>
      <c r="K568" s="92"/>
      <c r="L568" s="92"/>
      <c r="M568" s="92"/>
    </row>
    <row r="569" spans="1:13">
      <c r="A569" s="134"/>
      <c r="B569" s="135"/>
      <c r="C569" s="92"/>
      <c r="D569" s="92"/>
      <c r="E569" s="92"/>
      <c r="F569" s="92"/>
      <c r="G569" s="92"/>
      <c r="H569" s="92"/>
      <c r="I569" s="91"/>
      <c r="J569" s="92"/>
      <c r="K569" s="92"/>
      <c r="L569" s="92"/>
      <c r="M569" s="92"/>
    </row>
    <row r="570" spans="1:13">
      <c r="A570" s="134"/>
      <c r="B570" s="135"/>
      <c r="C570" s="92"/>
      <c r="D570" s="92"/>
      <c r="E570" s="92"/>
      <c r="F570" s="92"/>
      <c r="G570" s="92"/>
      <c r="H570" s="92"/>
      <c r="I570" s="91"/>
      <c r="J570" s="92"/>
      <c r="K570" s="92"/>
      <c r="L570" s="92"/>
      <c r="M570" s="92"/>
    </row>
    <row r="571" spans="1:13">
      <c r="A571" s="134"/>
      <c r="B571" s="135"/>
      <c r="C571" s="92"/>
      <c r="D571" s="92"/>
      <c r="E571" s="92"/>
      <c r="F571" s="92"/>
      <c r="G571" s="92"/>
      <c r="H571" s="92"/>
      <c r="I571" s="91"/>
      <c r="J571" s="92"/>
      <c r="K571" s="92"/>
      <c r="L571" s="92"/>
      <c r="M571" s="92"/>
    </row>
    <row r="572" spans="1:13">
      <c r="A572" s="134"/>
      <c r="B572" s="135"/>
      <c r="C572" s="92"/>
      <c r="D572" s="92"/>
      <c r="E572" s="92"/>
      <c r="F572" s="92"/>
      <c r="G572" s="92"/>
      <c r="H572" s="92"/>
      <c r="I572" s="91"/>
      <c r="J572" s="92"/>
      <c r="K572" s="92"/>
      <c r="L572" s="92"/>
      <c r="M572" s="92"/>
    </row>
    <row r="573" spans="1:13">
      <c r="A573" s="134"/>
      <c r="B573" s="135"/>
      <c r="C573" s="92"/>
      <c r="D573" s="92"/>
      <c r="E573" s="92"/>
      <c r="F573" s="92"/>
      <c r="G573" s="92"/>
      <c r="H573" s="92"/>
      <c r="I573" s="91"/>
      <c r="J573" s="92"/>
      <c r="K573" s="92"/>
      <c r="L573" s="92"/>
      <c r="M573" s="92"/>
    </row>
    <row r="574" spans="1:13">
      <c r="A574" s="134"/>
      <c r="B574" s="135"/>
      <c r="C574" s="92"/>
      <c r="D574" s="92"/>
      <c r="E574" s="92"/>
      <c r="F574" s="92"/>
      <c r="G574" s="92"/>
      <c r="H574" s="92"/>
      <c r="I574" s="91"/>
      <c r="J574" s="92"/>
      <c r="K574" s="92"/>
      <c r="L574" s="92"/>
      <c r="M574" s="92"/>
    </row>
    <row r="575" spans="1:13">
      <c r="A575" s="134"/>
      <c r="B575" s="135"/>
      <c r="C575" s="92"/>
      <c r="D575" s="92"/>
      <c r="E575" s="92"/>
      <c r="F575" s="92"/>
      <c r="G575" s="92"/>
      <c r="H575" s="92"/>
      <c r="I575" s="91"/>
      <c r="J575" s="92"/>
      <c r="K575" s="92"/>
      <c r="L575" s="92"/>
      <c r="M575" s="92"/>
    </row>
    <row r="576" spans="1:13">
      <c r="A576" s="134"/>
      <c r="B576" s="135"/>
      <c r="C576" s="92"/>
      <c r="D576" s="92"/>
      <c r="E576" s="92"/>
      <c r="F576" s="92"/>
      <c r="G576" s="92"/>
      <c r="H576" s="92"/>
      <c r="I576" s="91"/>
      <c r="J576" s="92"/>
      <c r="K576" s="92"/>
      <c r="L576" s="92"/>
      <c r="M576" s="92"/>
    </row>
    <row r="577" spans="1:13">
      <c r="A577" s="134"/>
      <c r="B577" s="135"/>
      <c r="C577" s="92"/>
      <c r="D577" s="92"/>
      <c r="E577" s="92"/>
      <c r="F577" s="92"/>
      <c r="G577" s="92"/>
      <c r="H577" s="92"/>
      <c r="I577" s="91"/>
      <c r="J577" s="92"/>
      <c r="K577" s="92"/>
      <c r="L577" s="92"/>
      <c r="M577" s="92"/>
    </row>
    <row r="578" spans="1:13">
      <c r="A578" s="134"/>
      <c r="B578" s="135"/>
      <c r="C578" s="92"/>
      <c r="D578" s="92"/>
      <c r="E578" s="92"/>
      <c r="F578" s="92"/>
      <c r="G578" s="92"/>
      <c r="H578" s="92"/>
      <c r="I578" s="91"/>
      <c r="J578" s="92"/>
      <c r="K578" s="92"/>
      <c r="L578" s="92"/>
      <c r="M578" s="92"/>
    </row>
    <row r="579" spans="1:13">
      <c r="A579" s="134"/>
      <c r="B579" s="135"/>
      <c r="C579" s="92"/>
      <c r="D579" s="92"/>
      <c r="E579" s="92"/>
      <c r="F579" s="92"/>
      <c r="G579" s="92"/>
      <c r="H579" s="92"/>
      <c r="I579" s="91"/>
      <c r="J579" s="92"/>
      <c r="K579" s="92"/>
      <c r="L579" s="92"/>
      <c r="M579" s="92"/>
    </row>
    <row r="580" spans="1:13">
      <c r="A580" s="134"/>
      <c r="B580" s="135"/>
      <c r="C580" s="92"/>
      <c r="D580" s="92"/>
      <c r="E580" s="92"/>
      <c r="F580" s="92"/>
      <c r="G580" s="92"/>
      <c r="H580" s="92"/>
      <c r="I580" s="91"/>
      <c r="J580" s="92"/>
      <c r="K580" s="92"/>
      <c r="L580" s="92"/>
      <c r="M580" s="92"/>
    </row>
    <row r="581" spans="1:13">
      <c r="A581" s="134"/>
      <c r="B581" s="135"/>
      <c r="C581" s="92"/>
      <c r="D581" s="92"/>
      <c r="E581" s="92"/>
      <c r="F581" s="92"/>
      <c r="G581" s="92"/>
      <c r="H581" s="92"/>
      <c r="I581" s="91"/>
      <c r="J581" s="92"/>
      <c r="K581" s="92"/>
      <c r="L581" s="92"/>
      <c r="M581" s="92"/>
    </row>
    <row r="582" spans="1:13">
      <c r="A582" s="134"/>
      <c r="B582" s="135"/>
      <c r="C582" s="92"/>
      <c r="D582" s="92"/>
      <c r="E582" s="92"/>
      <c r="F582" s="92"/>
      <c r="G582" s="92"/>
      <c r="H582" s="92"/>
      <c r="I582" s="91"/>
      <c r="J582" s="92"/>
      <c r="K582" s="92"/>
      <c r="L582" s="92"/>
      <c r="M582" s="92"/>
    </row>
    <row r="583" spans="1:13">
      <c r="A583" s="134"/>
      <c r="B583" s="135"/>
      <c r="C583" s="92"/>
      <c r="D583" s="92"/>
      <c r="E583" s="92"/>
      <c r="F583" s="92"/>
      <c r="G583" s="92"/>
      <c r="H583" s="92"/>
      <c r="I583" s="91"/>
      <c r="J583" s="92"/>
      <c r="K583" s="92"/>
      <c r="L583" s="92"/>
      <c r="M583" s="92"/>
    </row>
    <row r="584" spans="1:13">
      <c r="A584" s="134"/>
      <c r="B584" s="135"/>
      <c r="C584" s="92"/>
      <c r="D584" s="92"/>
      <c r="E584" s="92"/>
      <c r="F584" s="92"/>
      <c r="G584" s="92"/>
      <c r="H584" s="92"/>
      <c r="I584" s="91"/>
      <c r="J584" s="92"/>
      <c r="K584" s="92"/>
      <c r="L584" s="92"/>
      <c r="M584" s="92"/>
    </row>
    <row r="585" spans="1:13">
      <c r="A585" s="134"/>
      <c r="B585" s="135"/>
      <c r="C585" s="92"/>
      <c r="D585" s="92"/>
      <c r="E585" s="92"/>
      <c r="F585" s="92"/>
      <c r="G585" s="92"/>
      <c r="H585" s="92"/>
      <c r="I585" s="91"/>
      <c r="J585" s="92"/>
      <c r="K585" s="92"/>
      <c r="L585" s="92"/>
      <c r="M585" s="92"/>
    </row>
    <row r="586" spans="1:13">
      <c r="A586" s="134"/>
      <c r="B586" s="135"/>
      <c r="C586" s="92"/>
      <c r="D586" s="92"/>
      <c r="E586" s="92"/>
      <c r="F586" s="92"/>
      <c r="G586" s="92"/>
      <c r="H586" s="92"/>
      <c r="I586" s="91"/>
      <c r="J586" s="92"/>
      <c r="K586" s="92"/>
      <c r="L586" s="92"/>
      <c r="M586" s="92"/>
    </row>
    <row r="587" spans="1:13">
      <c r="A587" s="134"/>
      <c r="B587" s="135"/>
      <c r="C587" s="92"/>
      <c r="D587" s="92"/>
      <c r="E587" s="92"/>
      <c r="F587" s="92"/>
      <c r="G587" s="92"/>
      <c r="H587" s="92"/>
      <c r="I587" s="91"/>
      <c r="J587" s="92"/>
      <c r="K587" s="92"/>
      <c r="L587" s="92"/>
      <c r="M587" s="92"/>
    </row>
    <row r="588" spans="1:13">
      <c r="A588" s="134"/>
      <c r="B588" s="135"/>
      <c r="C588" s="92"/>
      <c r="D588" s="92"/>
      <c r="E588" s="92"/>
      <c r="F588" s="92"/>
      <c r="G588" s="92"/>
      <c r="H588" s="92"/>
      <c r="I588" s="91"/>
      <c r="J588" s="92"/>
      <c r="K588" s="92"/>
      <c r="L588" s="92"/>
      <c r="M588" s="92"/>
    </row>
    <row r="589" spans="1:13">
      <c r="A589" s="134"/>
      <c r="B589" s="135"/>
      <c r="C589" s="92"/>
      <c r="D589" s="92"/>
      <c r="E589" s="92"/>
      <c r="F589" s="92"/>
      <c r="G589" s="92"/>
      <c r="H589" s="92"/>
      <c r="I589" s="91"/>
      <c r="J589" s="92"/>
      <c r="K589" s="92"/>
      <c r="L589" s="92"/>
      <c r="M589" s="92"/>
    </row>
    <row r="590" spans="1:13">
      <c r="A590" s="134"/>
      <c r="B590" s="135"/>
      <c r="C590" s="92"/>
      <c r="D590" s="92"/>
      <c r="E590" s="92"/>
      <c r="F590" s="92"/>
      <c r="G590" s="92"/>
      <c r="H590" s="92"/>
      <c r="I590" s="91"/>
      <c r="J590" s="92"/>
      <c r="K590" s="92"/>
      <c r="L590" s="92"/>
      <c r="M590" s="92"/>
    </row>
    <row r="591" spans="1:13">
      <c r="A591" s="134"/>
      <c r="B591" s="135"/>
      <c r="C591" s="92"/>
      <c r="D591" s="92"/>
      <c r="E591" s="92"/>
      <c r="F591" s="92"/>
      <c r="G591" s="92"/>
      <c r="H591" s="92"/>
      <c r="I591" s="91"/>
      <c r="J591" s="92"/>
      <c r="K591" s="92"/>
      <c r="L591" s="92"/>
      <c r="M591" s="92"/>
    </row>
    <row r="592" spans="1:13">
      <c r="A592" s="134"/>
      <c r="B592" s="135"/>
      <c r="C592" s="92"/>
      <c r="D592" s="92"/>
      <c r="E592" s="92"/>
      <c r="F592" s="92"/>
      <c r="G592" s="92"/>
      <c r="H592" s="92"/>
      <c r="I592" s="91"/>
      <c r="J592" s="92"/>
      <c r="K592" s="92"/>
      <c r="L592" s="92"/>
      <c r="M592" s="92"/>
    </row>
    <row r="593" spans="1:13">
      <c r="A593" s="134"/>
      <c r="B593" s="135"/>
      <c r="C593" s="92"/>
      <c r="D593" s="92"/>
      <c r="E593" s="92"/>
      <c r="F593" s="92"/>
      <c r="G593" s="92"/>
      <c r="H593" s="92"/>
      <c r="I593" s="91"/>
      <c r="J593" s="92"/>
      <c r="K593" s="92"/>
      <c r="L593" s="92"/>
      <c r="M593" s="92"/>
    </row>
    <row r="594" spans="1:13">
      <c r="A594" s="134"/>
      <c r="B594" s="135"/>
      <c r="C594" s="92"/>
      <c r="D594" s="92"/>
      <c r="E594" s="92"/>
      <c r="F594" s="92"/>
      <c r="G594" s="92"/>
      <c r="H594" s="92"/>
      <c r="I594" s="91"/>
      <c r="J594" s="92"/>
      <c r="K594" s="92"/>
      <c r="L594" s="92"/>
      <c r="M594" s="92"/>
    </row>
    <row r="595" spans="1:13">
      <c r="A595" s="134"/>
      <c r="B595" s="135"/>
      <c r="C595" s="92"/>
      <c r="D595" s="92"/>
      <c r="E595" s="92"/>
      <c r="F595" s="92"/>
      <c r="G595" s="92"/>
      <c r="H595" s="92"/>
      <c r="I595" s="91"/>
      <c r="J595" s="92"/>
      <c r="K595" s="92"/>
      <c r="L595" s="92"/>
      <c r="M595" s="92"/>
    </row>
    <row r="596" spans="1:13">
      <c r="A596" s="134"/>
      <c r="B596" s="135"/>
      <c r="C596" s="92"/>
      <c r="D596" s="92"/>
      <c r="E596" s="92"/>
      <c r="F596" s="92"/>
      <c r="G596" s="92"/>
      <c r="H596" s="92"/>
      <c r="I596" s="91"/>
      <c r="J596" s="92"/>
      <c r="K596" s="92"/>
      <c r="L596" s="92"/>
      <c r="M596" s="92"/>
    </row>
    <row r="597" spans="1:13">
      <c r="A597" s="134"/>
      <c r="B597" s="135"/>
      <c r="C597" s="92"/>
      <c r="D597" s="92"/>
      <c r="E597" s="92"/>
      <c r="F597" s="92"/>
      <c r="G597" s="92"/>
      <c r="H597" s="92"/>
      <c r="I597" s="91"/>
      <c r="J597" s="92"/>
      <c r="K597" s="92"/>
      <c r="L597" s="92"/>
      <c r="M597" s="92"/>
    </row>
    <row r="598" spans="1:13">
      <c r="A598" s="134"/>
      <c r="B598" s="135"/>
      <c r="C598" s="92"/>
      <c r="D598" s="92"/>
      <c r="E598" s="92"/>
      <c r="F598" s="92"/>
      <c r="G598" s="92"/>
      <c r="H598" s="92"/>
      <c r="I598" s="91"/>
      <c r="J598" s="92"/>
      <c r="K598" s="92"/>
      <c r="L598" s="92"/>
      <c r="M598" s="92"/>
    </row>
    <row r="599" spans="1:13">
      <c r="A599" s="134"/>
      <c r="B599" s="135"/>
      <c r="C599" s="92"/>
      <c r="D599" s="92"/>
      <c r="E599" s="92"/>
      <c r="F599" s="92"/>
      <c r="G599" s="92"/>
      <c r="H599" s="92"/>
      <c r="I599" s="91"/>
      <c r="J599" s="92"/>
      <c r="K599" s="92"/>
      <c r="L599" s="92"/>
      <c r="M599" s="92"/>
    </row>
    <row r="600" spans="1:13">
      <c r="A600" s="134"/>
      <c r="B600" s="135"/>
      <c r="C600" s="92"/>
      <c r="D600" s="92"/>
      <c r="E600" s="92"/>
      <c r="F600" s="92"/>
      <c r="G600" s="92"/>
      <c r="H600" s="92"/>
      <c r="I600" s="91"/>
      <c r="J600" s="92"/>
      <c r="K600" s="92"/>
      <c r="L600" s="92"/>
      <c r="M600" s="92"/>
    </row>
    <row r="601" spans="1:13">
      <c r="A601" s="134"/>
      <c r="B601" s="135"/>
      <c r="C601" s="92"/>
      <c r="D601" s="92"/>
      <c r="E601" s="92"/>
      <c r="F601" s="92"/>
      <c r="G601" s="92"/>
      <c r="H601" s="92"/>
      <c r="I601" s="91"/>
      <c r="J601" s="92"/>
      <c r="K601" s="92"/>
      <c r="L601" s="92"/>
      <c r="M601" s="92"/>
    </row>
    <row r="602" spans="1:13">
      <c r="A602" s="134"/>
      <c r="B602" s="135"/>
      <c r="C602" s="92"/>
      <c r="D602" s="92"/>
      <c r="E602" s="92"/>
      <c r="F602" s="92"/>
      <c r="G602" s="92"/>
      <c r="H602" s="92"/>
      <c r="I602" s="91"/>
      <c r="J602" s="92"/>
      <c r="K602" s="92"/>
      <c r="L602" s="92"/>
      <c r="M602" s="92"/>
    </row>
    <row r="603" spans="1:13">
      <c r="A603" s="134"/>
      <c r="B603" s="135"/>
      <c r="C603" s="92"/>
      <c r="D603" s="92"/>
      <c r="E603" s="92"/>
      <c r="F603" s="92"/>
      <c r="G603" s="92"/>
      <c r="H603" s="92"/>
      <c r="I603" s="91"/>
      <c r="J603" s="92"/>
      <c r="K603" s="92"/>
      <c r="L603" s="92"/>
      <c r="M603" s="92"/>
    </row>
    <row r="604" spans="1:13">
      <c r="A604" s="134"/>
      <c r="B604" s="135"/>
      <c r="C604" s="92"/>
      <c r="D604" s="92"/>
      <c r="E604" s="92"/>
      <c r="F604" s="92"/>
      <c r="G604" s="92"/>
      <c r="H604" s="92"/>
      <c r="I604" s="91"/>
      <c r="J604" s="92"/>
      <c r="K604" s="92"/>
      <c r="L604" s="92"/>
      <c r="M604" s="92"/>
    </row>
    <row r="605" spans="1:13">
      <c r="A605" s="134"/>
      <c r="B605" s="135"/>
      <c r="C605" s="92"/>
      <c r="D605" s="92"/>
      <c r="E605" s="92"/>
      <c r="F605" s="92"/>
      <c r="G605" s="92"/>
      <c r="H605" s="92"/>
      <c r="I605" s="91"/>
      <c r="J605" s="92"/>
      <c r="K605" s="92"/>
      <c r="L605" s="92"/>
      <c r="M605" s="92"/>
    </row>
    <row r="606" spans="1:13">
      <c r="A606" s="134"/>
      <c r="B606" s="135"/>
      <c r="C606" s="92"/>
      <c r="D606" s="92"/>
      <c r="E606" s="92"/>
      <c r="F606" s="92"/>
      <c r="G606" s="92"/>
      <c r="H606" s="92"/>
      <c r="I606" s="91"/>
      <c r="J606" s="92"/>
      <c r="K606" s="92"/>
      <c r="L606" s="92"/>
      <c r="M606" s="92"/>
    </row>
    <row r="607" spans="1:13">
      <c r="A607" s="134"/>
      <c r="B607" s="135"/>
      <c r="C607" s="92"/>
      <c r="D607" s="92"/>
      <c r="E607" s="92"/>
      <c r="F607" s="92"/>
      <c r="G607" s="92"/>
      <c r="H607" s="92"/>
      <c r="I607" s="91"/>
      <c r="J607" s="92"/>
      <c r="K607" s="92"/>
      <c r="L607" s="92"/>
      <c r="M607" s="92"/>
    </row>
    <row r="608" spans="1:13">
      <c r="A608" s="134"/>
      <c r="B608" s="135"/>
      <c r="C608" s="92"/>
      <c r="D608" s="92"/>
      <c r="E608" s="92"/>
      <c r="F608" s="92"/>
      <c r="G608" s="92"/>
      <c r="H608" s="92"/>
      <c r="I608" s="91"/>
      <c r="J608" s="92"/>
      <c r="K608" s="92"/>
      <c r="L608" s="92"/>
      <c r="M608" s="92"/>
    </row>
    <row r="609" spans="1:13">
      <c r="A609" s="134"/>
      <c r="B609" s="135"/>
      <c r="C609" s="92"/>
      <c r="D609" s="92"/>
      <c r="E609" s="92"/>
      <c r="F609" s="92"/>
      <c r="G609" s="92"/>
      <c r="H609" s="92"/>
      <c r="I609" s="91"/>
      <c r="J609" s="92"/>
      <c r="K609" s="92"/>
      <c r="L609" s="92"/>
      <c r="M609" s="92"/>
    </row>
    <row r="610" spans="1:13">
      <c r="A610" s="134"/>
      <c r="B610" s="135"/>
      <c r="C610" s="92"/>
      <c r="D610" s="92"/>
      <c r="E610" s="92"/>
      <c r="F610" s="92"/>
      <c r="G610" s="92"/>
      <c r="H610" s="92"/>
      <c r="I610" s="91"/>
      <c r="J610" s="92"/>
      <c r="K610" s="92"/>
      <c r="L610" s="92"/>
      <c r="M610" s="92"/>
    </row>
    <row r="611" spans="1:13">
      <c r="A611" s="134"/>
      <c r="B611" s="135"/>
      <c r="C611" s="92"/>
      <c r="D611" s="92"/>
      <c r="E611" s="92"/>
      <c r="F611" s="92"/>
      <c r="G611" s="92"/>
      <c r="H611" s="92"/>
      <c r="I611" s="91"/>
      <c r="J611" s="92"/>
      <c r="K611" s="92"/>
      <c r="L611" s="92"/>
      <c r="M611" s="92"/>
    </row>
    <row r="612" spans="1:13">
      <c r="A612" s="134"/>
      <c r="B612" s="135"/>
      <c r="C612" s="92"/>
      <c r="D612" s="92"/>
      <c r="E612" s="92"/>
      <c r="F612" s="92"/>
      <c r="G612" s="92"/>
      <c r="H612" s="92"/>
      <c r="I612" s="91"/>
      <c r="J612" s="92"/>
      <c r="K612" s="92"/>
      <c r="L612" s="92"/>
      <c r="M612" s="92"/>
    </row>
    <row r="613" spans="1:13">
      <c r="A613" s="134"/>
      <c r="B613" s="135"/>
      <c r="C613" s="92"/>
      <c r="D613" s="92"/>
      <c r="E613" s="92"/>
      <c r="F613" s="92"/>
      <c r="G613" s="92"/>
      <c r="H613" s="92"/>
      <c r="I613" s="91"/>
      <c r="J613" s="92"/>
      <c r="K613" s="92"/>
      <c r="L613" s="92"/>
      <c r="M613" s="92"/>
    </row>
    <row r="614" spans="1:13">
      <c r="A614" s="134"/>
      <c r="B614" s="135"/>
      <c r="C614" s="92"/>
      <c r="D614" s="92"/>
      <c r="E614" s="92"/>
      <c r="F614" s="92"/>
      <c r="G614" s="92"/>
      <c r="H614" s="92"/>
      <c r="I614" s="91"/>
      <c r="J614" s="92"/>
      <c r="K614" s="92"/>
      <c r="L614" s="92"/>
      <c r="M614" s="92"/>
    </row>
    <row r="615" spans="1:13">
      <c r="A615" s="134"/>
      <c r="B615" s="135"/>
      <c r="C615" s="92"/>
      <c r="D615" s="92"/>
      <c r="E615" s="92"/>
      <c r="F615" s="92"/>
      <c r="G615" s="92"/>
      <c r="H615" s="92"/>
      <c r="I615" s="91"/>
      <c r="J615" s="92"/>
      <c r="K615" s="92"/>
      <c r="L615" s="92"/>
      <c r="M615" s="92"/>
    </row>
    <row r="616" spans="1:13">
      <c r="A616" s="134"/>
      <c r="B616" s="135"/>
      <c r="C616" s="92"/>
      <c r="D616" s="92"/>
      <c r="E616" s="92"/>
      <c r="F616" s="92"/>
      <c r="G616" s="92"/>
      <c r="H616" s="92"/>
      <c r="I616" s="91"/>
      <c r="J616" s="92"/>
      <c r="K616" s="92"/>
      <c r="L616" s="92"/>
      <c r="M616" s="92"/>
    </row>
    <row r="617" spans="1:13">
      <c r="A617" s="134"/>
      <c r="B617" s="135"/>
      <c r="C617" s="92"/>
      <c r="D617" s="92"/>
      <c r="E617" s="92"/>
      <c r="F617" s="92"/>
      <c r="G617" s="92"/>
      <c r="H617" s="92"/>
      <c r="I617" s="91"/>
      <c r="J617" s="92"/>
      <c r="K617" s="92"/>
      <c r="L617" s="92"/>
      <c r="M617" s="92"/>
    </row>
    <row r="618" spans="1:13">
      <c r="A618" s="134"/>
      <c r="B618" s="135"/>
      <c r="C618" s="92"/>
      <c r="D618" s="92"/>
      <c r="E618" s="92"/>
      <c r="F618" s="92"/>
      <c r="G618" s="92"/>
      <c r="H618" s="92"/>
      <c r="I618" s="91"/>
      <c r="J618" s="92"/>
      <c r="K618" s="92"/>
      <c r="L618" s="92"/>
      <c r="M618" s="92"/>
    </row>
    <row r="619" spans="1:13">
      <c r="A619" s="134"/>
      <c r="B619" s="135"/>
      <c r="C619" s="92"/>
      <c r="D619" s="92"/>
      <c r="E619" s="92"/>
      <c r="F619" s="92"/>
      <c r="G619" s="92"/>
      <c r="H619" s="92"/>
      <c r="I619" s="91"/>
      <c r="J619" s="92"/>
      <c r="K619" s="92"/>
      <c r="L619" s="92"/>
      <c r="M619" s="92"/>
    </row>
    <row r="620" spans="1:13">
      <c r="A620" s="134"/>
      <c r="B620" s="135"/>
      <c r="C620" s="92"/>
      <c r="D620" s="92"/>
      <c r="E620" s="92"/>
      <c r="F620" s="92"/>
      <c r="G620" s="92"/>
      <c r="H620" s="92"/>
      <c r="I620" s="91"/>
      <c r="J620" s="92"/>
      <c r="K620" s="92"/>
      <c r="L620" s="92"/>
      <c r="M620" s="92"/>
    </row>
    <row r="621" spans="1:13">
      <c r="A621" s="134"/>
      <c r="B621" s="135"/>
      <c r="C621" s="92"/>
      <c r="D621" s="92"/>
      <c r="E621" s="92"/>
      <c r="F621" s="92"/>
      <c r="G621" s="92"/>
      <c r="H621" s="92"/>
      <c r="I621" s="91"/>
      <c r="J621" s="92"/>
      <c r="K621" s="92"/>
      <c r="L621" s="92"/>
      <c r="M621" s="92"/>
    </row>
    <row r="622" spans="1:13">
      <c r="A622" s="134"/>
      <c r="B622" s="135"/>
      <c r="C622" s="92"/>
      <c r="D622" s="92"/>
      <c r="E622" s="92"/>
      <c r="F622" s="92"/>
      <c r="G622" s="92"/>
      <c r="H622" s="92"/>
      <c r="I622" s="91"/>
      <c r="J622" s="92"/>
      <c r="K622" s="92"/>
      <c r="L622" s="92"/>
      <c r="M622" s="92"/>
    </row>
    <row r="623" spans="1:13">
      <c r="A623" s="134"/>
      <c r="B623" s="135"/>
      <c r="C623" s="92"/>
      <c r="D623" s="92"/>
      <c r="E623" s="92"/>
      <c r="F623" s="92"/>
      <c r="G623" s="92"/>
      <c r="H623" s="92"/>
      <c r="I623" s="91"/>
      <c r="J623" s="92"/>
      <c r="K623" s="92"/>
      <c r="L623" s="92"/>
      <c r="M623" s="92"/>
    </row>
    <row r="624" spans="1:13">
      <c r="A624" s="134"/>
      <c r="B624" s="135"/>
      <c r="C624" s="92"/>
      <c r="D624" s="92"/>
      <c r="E624" s="92"/>
      <c r="F624" s="92"/>
      <c r="G624" s="92"/>
      <c r="H624" s="92"/>
      <c r="I624" s="91"/>
      <c r="J624" s="92"/>
      <c r="K624" s="92"/>
      <c r="L624" s="92"/>
      <c r="M624" s="92"/>
    </row>
    <row r="625" spans="1:13">
      <c r="A625" s="134"/>
      <c r="B625" s="135"/>
      <c r="C625" s="92"/>
      <c r="D625" s="92"/>
      <c r="E625" s="92"/>
      <c r="F625" s="92"/>
      <c r="G625" s="92"/>
      <c r="H625" s="92"/>
      <c r="I625" s="91"/>
      <c r="J625" s="92"/>
      <c r="K625" s="92"/>
      <c r="L625" s="92"/>
      <c r="M625" s="92"/>
    </row>
    <row r="626" spans="1:13">
      <c r="A626" s="134"/>
      <c r="B626" s="135"/>
      <c r="C626" s="92"/>
      <c r="D626" s="92"/>
      <c r="E626" s="92"/>
      <c r="F626" s="92"/>
      <c r="G626" s="92"/>
      <c r="H626" s="92"/>
      <c r="I626" s="91"/>
      <c r="J626" s="92"/>
      <c r="K626" s="92"/>
      <c r="L626" s="92"/>
      <c r="M626" s="92"/>
    </row>
    <row r="627" spans="1:13">
      <c r="A627" s="134"/>
      <c r="B627" s="135"/>
      <c r="C627" s="92"/>
      <c r="D627" s="92"/>
      <c r="E627" s="92"/>
      <c r="F627" s="92"/>
      <c r="G627" s="92"/>
      <c r="H627" s="92"/>
      <c r="I627" s="91"/>
      <c r="J627" s="92"/>
      <c r="K627" s="92"/>
      <c r="L627" s="92"/>
      <c r="M627" s="92"/>
    </row>
    <row r="628" spans="1:13">
      <c r="A628" s="134"/>
      <c r="B628" s="135"/>
      <c r="C628" s="92"/>
      <c r="D628" s="92"/>
      <c r="E628" s="92"/>
      <c r="F628" s="92"/>
      <c r="G628" s="92"/>
      <c r="H628" s="92"/>
      <c r="I628" s="91"/>
      <c r="J628" s="92"/>
      <c r="K628" s="92"/>
      <c r="L628" s="92"/>
      <c r="M628" s="92"/>
    </row>
    <row r="629" spans="1:13">
      <c r="A629" s="134"/>
      <c r="B629" s="135"/>
      <c r="C629" s="92"/>
      <c r="D629" s="92"/>
      <c r="E629" s="92"/>
      <c r="F629" s="92"/>
      <c r="G629" s="92"/>
      <c r="H629" s="92"/>
      <c r="I629" s="91"/>
      <c r="J629" s="92"/>
      <c r="K629" s="92"/>
      <c r="L629" s="92"/>
      <c r="M629" s="92"/>
    </row>
    <row r="630" spans="1:13">
      <c r="A630" s="134"/>
      <c r="B630" s="135"/>
      <c r="C630" s="92"/>
      <c r="D630" s="92"/>
      <c r="E630" s="92"/>
      <c r="F630" s="92"/>
      <c r="G630" s="92"/>
      <c r="H630" s="92"/>
      <c r="I630" s="91"/>
      <c r="J630" s="92"/>
      <c r="K630" s="92"/>
      <c r="L630" s="92"/>
      <c r="M630" s="92"/>
    </row>
    <row r="631" spans="1:13">
      <c r="A631" s="134"/>
      <c r="B631" s="135"/>
      <c r="C631" s="92"/>
      <c r="D631" s="92"/>
      <c r="E631" s="92"/>
      <c r="F631" s="92"/>
      <c r="G631" s="92"/>
      <c r="H631" s="92"/>
      <c r="I631" s="91"/>
      <c r="J631" s="92"/>
      <c r="K631" s="92"/>
      <c r="L631" s="92"/>
      <c r="M631" s="92"/>
    </row>
    <row r="632" spans="1:13">
      <c r="A632" s="134"/>
      <c r="B632" s="135"/>
      <c r="C632" s="92"/>
      <c r="D632" s="92"/>
      <c r="E632" s="92"/>
      <c r="F632" s="92"/>
      <c r="G632" s="92"/>
      <c r="H632" s="92"/>
      <c r="I632" s="91"/>
      <c r="J632" s="92"/>
      <c r="K632" s="92"/>
      <c r="L632" s="92"/>
      <c r="M632" s="92"/>
    </row>
    <row r="633" spans="1:13">
      <c r="A633" s="134"/>
      <c r="B633" s="135"/>
      <c r="C633" s="92"/>
      <c r="D633" s="92"/>
      <c r="E633" s="92"/>
      <c r="F633" s="92"/>
      <c r="G633" s="92"/>
      <c r="H633" s="92"/>
      <c r="I633" s="91"/>
      <c r="J633" s="92"/>
      <c r="K633" s="92"/>
      <c r="L633" s="92"/>
      <c r="M633" s="92"/>
    </row>
    <row r="634" spans="1:13">
      <c r="A634" s="134"/>
      <c r="B634" s="135"/>
      <c r="C634" s="92"/>
      <c r="D634" s="92"/>
      <c r="E634" s="92"/>
      <c r="F634" s="92"/>
      <c r="G634" s="92"/>
      <c r="H634" s="92"/>
      <c r="I634" s="91"/>
      <c r="J634" s="92"/>
      <c r="K634" s="92"/>
      <c r="L634" s="92"/>
      <c r="M634" s="92"/>
    </row>
    <row r="635" spans="1:13">
      <c r="A635" s="134"/>
      <c r="B635" s="135"/>
      <c r="C635" s="92"/>
      <c r="D635" s="92"/>
      <c r="E635" s="92"/>
      <c r="F635" s="92"/>
      <c r="G635" s="92"/>
      <c r="H635" s="92"/>
      <c r="I635" s="91"/>
      <c r="J635" s="92"/>
      <c r="K635" s="92"/>
      <c r="L635" s="92"/>
      <c r="M635" s="92"/>
    </row>
    <row r="636" spans="1:13">
      <c r="A636" s="134"/>
      <c r="B636" s="135"/>
      <c r="C636" s="92"/>
      <c r="D636" s="92"/>
      <c r="E636" s="92"/>
      <c r="F636" s="92"/>
      <c r="G636" s="92"/>
      <c r="H636" s="92"/>
      <c r="I636" s="91"/>
      <c r="J636" s="92"/>
      <c r="K636" s="92"/>
      <c r="L636" s="92"/>
      <c r="M636" s="92"/>
    </row>
    <row r="637" spans="1:13">
      <c r="A637" s="134"/>
      <c r="B637" s="135"/>
      <c r="C637" s="92"/>
      <c r="D637" s="92"/>
      <c r="E637" s="92"/>
      <c r="F637" s="92"/>
      <c r="G637" s="92"/>
      <c r="H637" s="92"/>
      <c r="I637" s="91"/>
      <c r="J637" s="92"/>
      <c r="K637" s="92"/>
      <c r="L637" s="92"/>
      <c r="M637" s="92"/>
    </row>
    <row r="638" spans="1:13">
      <c r="A638" s="134"/>
      <c r="B638" s="135"/>
      <c r="C638" s="92"/>
      <c r="D638" s="92"/>
      <c r="E638" s="92"/>
      <c r="F638" s="92"/>
      <c r="G638" s="92"/>
      <c r="H638" s="92"/>
      <c r="I638" s="91"/>
      <c r="J638" s="92"/>
      <c r="K638" s="92"/>
      <c r="L638" s="92"/>
      <c r="M638" s="92"/>
    </row>
    <row r="639" spans="1:13">
      <c r="A639" s="134"/>
      <c r="B639" s="135"/>
      <c r="C639" s="92"/>
      <c r="D639" s="92"/>
      <c r="E639" s="92"/>
      <c r="F639" s="92"/>
      <c r="G639" s="92"/>
      <c r="H639" s="92"/>
      <c r="I639" s="91"/>
      <c r="J639" s="92"/>
      <c r="K639" s="92"/>
      <c r="L639" s="92"/>
      <c r="M639" s="92"/>
    </row>
    <row r="640" spans="1:13">
      <c r="A640" s="134"/>
      <c r="B640" s="135"/>
      <c r="C640" s="92"/>
      <c r="D640" s="92"/>
      <c r="E640" s="92"/>
      <c r="F640" s="92"/>
      <c r="G640" s="92"/>
      <c r="H640" s="92"/>
      <c r="I640" s="91"/>
      <c r="J640" s="92"/>
      <c r="K640" s="92"/>
      <c r="L640" s="92"/>
      <c r="M640" s="92"/>
    </row>
    <row r="641" spans="1:13">
      <c r="A641" s="134"/>
      <c r="B641" s="135"/>
      <c r="C641" s="92"/>
      <c r="D641" s="92"/>
      <c r="E641" s="92"/>
      <c r="F641" s="92"/>
      <c r="G641" s="92"/>
      <c r="H641" s="92"/>
      <c r="I641" s="91"/>
      <c r="J641" s="92"/>
      <c r="K641" s="92"/>
      <c r="L641" s="92"/>
      <c r="M641" s="92"/>
    </row>
    <row r="642" spans="1:13">
      <c r="A642" s="134"/>
      <c r="B642" s="135"/>
      <c r="C642" s="92"/>
      <c r="D642" s="92"/>
      <c r="E642" s="92"/>
      <c r="F642" s="92"/>
      <c r="G642" s="92"/>
      <c r="H642" s="92"/>
      <c r="I642" s="91"/>
      <c r="J642" s="92"/>
      <c r="K642" s="92"/>
      <c r="L642" s="92"/>
      <c r="M642" s="92"/>
    </row>
    <row r="643" spans="1:13">
      <c r="A643" s="134"/>
      <c r="B643" s="135"/>
      <c r="C643" s="92"/>
      <c r="D643" s="92"/>
      <c r="E643" s="92"/>
      <c r="F643" s="92"/>
      <c r="G643" s="92"/>
      <c r="H643" s="92"/>
      <c r="I643" s="91"/>
      <c r="J643" s="92"/>
      <c r="K643" s="92"/>
      <c r="L643" s="92"/>
      <c r="M643" s="92"/>
    </row>
    <row r="644" spans="1:13">
      <c r="A644" s="134"/>
      <c r="B644" s="135"/>
      <c r="C644" s="92"/>
      <c r="D644" s="92"/>
      <c r="E644" s="92"/>
      <c r="F644" s="92"/>
      <c r="G644" s="92"/>
      <c r="H644" s="92"/>
      <c r="I644" s="91"/>
      <c r="J644" s="92"/>
      <c r="K644" s="92"/>
      <c r="L644" s="92"/>
      <c r="M644" s="92"/>
    </row>
    <row r="645" spans="1:13">
      <c r="A645" s="134"/>
      <c r="B645" s="135"/>
      <c r="C645" s="92"/>
      <c r="D645" s="92"/>
      <c r="E645" s="92"/>
      <c r="F645" s="92"/>
      <c r="G645" s="92"/>
      <c r="H645" s="92"/>
      <c r="I645" s="91"/>
      <c r="J645" s="92"/>
      <c r="K645" s="92"/>
      <c r="L645" s="92"/>
      <c r="M645" s="92"/>
    </row>
    <row r="646" spans="1:13">
      <c r="A646" s="134"/>
      <c r="B646" s="135"/>
      <c r="C646" s="92"/>
      <c r="D646" s="92"/>
      <c r="E646" s="92"/>
      <c r="F646" s="92"/>
      <c r="G646" s="92"/>
      <c r="H646" s="92"/>
      <c r="I646" s="91"/>
      <c r="J646" s="92"/>
      <c r="K646" s="92"/>
      <c r="L646" s="92"/>
      <c r="M646" s="92"/>
    </row>
    <row r="647" spans="1:13">
      <c r="A647" s="134"/>
      <c r="B647" s="135"/>
      <c r="C647" s="92"/>
      <c r="D647" s="92"/>
      <c r="E647" s="92"/>
      <c r="F647" s="92"/>
      <c r="G647" s="92"/>
      <c r="H647" s="92"/>
      <c r="I647" s="91"/>
      <c r="J647" s="92"/>
      <c r="K647" s="92"/>
      <c r="L647" s="92"/>
      <c r="M647" s="92"/>
    </row>
    <row r="648" spans="1:13">
      <c r="A648" s="134"/>
      <c r="B648" s="135"/>
      <c r="C648" s="92"/>
      <c r="D648" s="92"/>
      <c r="E648" s="92"/>
      <c r="F648" s="92"/>
      <c r="G648" s="92"/>
      <c r="H648" s="92"/>
      <c r="I648" s="91"/>
      <c r="J648" s="92"/>
      <c r="K648" s="92"/>
      <c r="L648" s="92"/>
      <c r="M648" s="92"/>
    </row>
    <row r="649" spans="1:13">
      <c r="A649" s="134"/>
      <c r="B649" s="135"/>
      <c r="C649" s="92"/>
      <c r="D649" s="92"/>
      <c r="E649" s="92"/>
      <c r="F649" s="92"/>
      <c r="G649" s="92"/>
      <c r="H649" s="92"/>
      <c r="I649" s="91"/>
      <c r="J649" s="92"/>
      <c r="K649" s="92"/>
      <c r="L649" s="92"/>
      <c r="M649" s="92"/>
    </row>
    <row r="650" spans="1:13">
      <c r="A650" s="134"/>
      <c r="B650" s="135"/>
      <c r="C650" s="92"/>
      <c r="D650" s="92"/>
      <c r="E650" s="92"/>
      <c r="F650" s="92"/>
      <c r="G650" s="92"/>
      <c r="H650" s="92"/>
      <c r="I650" s="91"/>
      <c r="J650" s="92"/>
      <c r="K650" s="92"/>
      <c r="L650" s="92"/>
      <c r="M650" s="92"/>
    </row>
    <row r="651" spans="1:13">
      <c r="A651" s="134"/>
      <c r="B651" s="135"/>
      <c r="C651" s="92"/>
      <c r="D651" s="92"/>
      <c r="E651" s="92"/>
      <c r="F651" s="92"/>
      <c r="G651" s="92"/>
      <c r="H651" s="92"/>
      <c r="I651" s="91"/>
      <c r="J651" s="92"/>
      <c r="K651" s="92"/>
      <c r="L651" s="92"/>
      <c r="M651" s="92"/>
    </row>
    <row r="652" spans="1:13">
      <c r="A652" s="134"/>
      <c r="B652" s="135"/>
      <c r="C652" s="92"/>
      <c r="D652" s="92"/>
      <c r="E652" s="92"/>
      <c r="F652" s="92"/>
      <c r="G652" s="92"/>
      <c r="H652" s="92"/>
      <c r="I652" s="91"/>
      <c r="J652" s="92"/>
      <c r="K652" s="92"/>
      <c r="L652" s="92"/>
      <c r="M652" s="92"/>
    </row>
    <row r="653" spans="1:13">
      <c r="A653" s="134"/>
      <c r="B653" s="135"/>
      <c r="C653" s="92"/>
      <c r="D653" s="92"/>
      <c r="E653" s="92"/>
      <c r="F653" s="92"/>
      <c r="G653" s="92"/>
      <c r="H653" s="92"/>
      <c r="I653" s="91"/>
      <c r="J653" s="92"/>
      <c r="K653" s="92"/>
      <c r="L653" s="92"/>
      <c r="M653" s="92"/>
    </row>
    <row r="654" spans="1:13">
      <c r="A654" s="134"/>
      <c r="B654" s="135"/>
      <c r="C654" s="92"/>
      <c r="D654" s="92"/>
      <c r="E654" s="92"/>
      <c r="F654" s="92"/>
      <c r="G654" s="92"/>
      <c r="H654" s="92"/>
      <c r="I654" s="91"/>
      <c r="J654" s="92"/>
      <c r="K654" s="92"/>
      <c r="L654" s="92"/>
      <c r="M654" s="92"/>
    </row>
    <row r="655" spans="1:13">
      <c r="A655" s="134"/>
      <c r="B655" s="135"/>
      <c r="C655" s="92"/>
      <c r="D655" s="92"/>
      <c r="E655" s="92"/>
      <c r="F655" s="92"/>
      <c r="G655" s="92"/>
      <c r="H655" s="92"/>
      <c r="I655" s="91"/>
      <c r="J655" s="92"/>
      <c r="K655" s="92"/>
      <c r="L655" s="92"/>
      <c r="M655" s="92"/>
    </row>
    <row r="656" spans="1:13">
      <c r="A656" s="134"/>
      <c r="B656" s="135"/>
      <c r="C656" s="92"/>
      <c r="D656" s="92"/>
      <c r="E656" s="92"/>
      <c r="F656" s="92"/>
      <c r="G656" s="92"/>
      <c r="H656" s="92"/>
      <c r="I656" s="91"/>
      <c r="J656" s="92"/>
      <c r="K656" s="92"/>
      <c r="L656" s="92"/>
      <c r="M656" s="92"/>
    </row>
    <row r="657" spans="1:13">
      <c r="A657" s="134"/>
      <c r="B657" s="135"/>
      <c r="C657" s="92"/>
      <c r="D657" s="92"/>
      <c r="E657" s="92"/>
      <c r="F657" s="92"/>
      <c r="G657" s="92"/>
      <c r="H657" s="92"/>
      <c r="I657" s="91"/>
      <c r="J657" s="92"/>
      <c r="K657" s="92"/>
      <c r="L657" s="92"/>
      <c r="M657" s="92"/>
    </row>
    <row r="658" spans="1:13">
      <c r="A658" s="134"/>
      <c r="B658" s="135"/>
      <c r="C658" s="92"/>
      <c r="D658" s="92"/>
      <c r="E658" s="92"/>
      <c r="F658" s="92"/>
      <c r="G658" s="92"/>
      <c r="H658" s="92"/>
      <c r="I658" s="91"/>
      <c r="J658" s="92"/>
      <c r="K658" s="92"/>
      <c r="L658" s="92"/>
      <c r="M658" s="92"/>
    </row>
    <row r="659" spans="1:13">
      <c r="A659" s="134"/>
      <c r="B659" s="135"/>
      <c r="C659" s="92"/>
      <c r="D659" s="92"/>
      <c r="E659" s="92"/>
      <c r="F659" s="92"/>
      <c r="G659" s="92"/>
      <c r="H659" s="92"/>
      <c r="I659" s="91"/>
      <c r="J659" s="92"/>
      <c r="K659" s="92"/>
      <c r="L659" s="92"/>
      <c r="M659" s="92"/>
    </row>
    <row r="660" spans="1:13">
      <c r="A660" s="134"/>
      <c r="B660" s="135"/>
      <c r="C660" s="92"/>
      <c r="D660" s="92"/>
      <c r="E660" s="92"/>
      <c r="F660" s="92"/>
      <c r="G660" s="92"/>
      <c r="H660" s="92"/>
      <c r="I660" s="91"/>
      <c r="J660" s="92"/>
      <c r="K660" s="92"/>
      <c r="L660" s="92"/>
      <c r="M660" s="92"/>
    </row>
    <row r="661" spans="1:13">
      <c r="A661" s="134"/>
      <c r="B661" s="135"/>
      <c r="C661" s="92"/>
      <c r="D661" s="92"/>
      <c r="E661" s="92"/>
      <c r="F661" s="92"/>
      <c r="G661" s="92"/>
      <c r="H661" s="92"/>
      <c r="I661" s="91"/>
      <c r="J661" s="92"/>
      <c r="K661" s="92"/>
      <c r="L661" s="92"/>
      <c r="M661" s="92"/>
    </row>
    <row r="662" spans="1:13">
      <c r="A662" s="134"/>
      <c r="B662" s="135"/>
      <c r="C662" s="92"/>
      <c r="D662" s="92"/>
      <c r="E662" s="92"/>
      <c r="F662" s="92"/>
      <c r="G662" s="92"/>
      <c r="H662" s="92"/>
      <c r="I662" s="91"/>
      <c r="J662" s="92"/>
      <c r="K662" s="92"/>
      <c r="L662" s="92"/>
      <c r="M662" s="92"/>
    </row>
    <row r="663" spans="1:13">
      <c r="A663" s="134"/>
      <c r="B663" s="135"/>
      <c r="C663" s="92"/>
      <c r="D663" s="92"/>
      <c r="E663" s="92"/>
      <c r="F663" s="92"/>
      <c r="G663" s="92"/>
      <c r="H663" s="92"/>
      <c r="I663" s="91"/>
      <c r="J663" s="92"/>
      <c r="K663" s="92"/>
      <c r="L663" s="92"/>
      <c r="M663" s="92"/>
    </row>
    <row r="664" spans="1:13">
      <c r="A664" s="134"/>
      <c r="B664" s="135"/>
      <c r="C664" s="92"/>
      <c r="D664" s="92"/>
      <c r="E664" s="92"/>
      <c r="F664" s="92"/>
      <c r="G664" s="92"/>
      <c r="H664" s="92"/>
      <c r="I664" s="91"/>
      <c r="J664" s="92"/>
      <c r="K664" s="92"/>
      <c r="L664" s="92"/>
      <c r="M664" s="92"/>
    </row>
    <row r="665" spans="1:13">
      <c r="A665" s="134"/>
      <c r="B665" s="135"/>
      <c r="C665" s="92"/>
      <c r="D665" s="92"/>
      <c r="E665" s="92"/>
      <c r="F665" s="92"/>
      <c r="G665" s="92"/>
      <c r="H665" s="92"/>
      <c r="I665" s="91"/>
      <c r="J665" s="92"/>
      <c r="K665" s="92"/>
      <c r="L665" s="92"/>
      <c r="M665" s="92"/>
    </row>
    <row r="666" spans="1:13">
      <c r="A666" s="134"/>
      <c r="B666" s="135"/>
      <c r="C666" s="92"/>
      <c r="D666" s="92"/>
      <c r="E666" s="92"/>
      <c r="F666" s="92"/>
      <c r="G666" s="92"/>
      <c r="H666" s="92"/>
      <c r="I666" s="91"/>
      <c r="J666" s="92"/>
      <c r="K666" s="92"/>
      <c r="L666" s="92"/>
      <c r="M666" s="92"/>
    </row>
    <row r="667" spans="1:13">
      <c r="A667" s="134"/>
      <c r="B667" s="135"/>
      <c r="C667" s="92"/>
      <c r="D667" s="92"/>
      <c r="E667" s="92"/>
      <c r="F667" s="92"/>
      <c r="G667" s="92"/>
      <c r="H667" s="92"/>
      <c r="I667" s="91"/>
      <c r="J667" s="92"/>
      <c r="K667" s="92"/>
      <c r="L667" s="92"/>
      <c r="M667" s="92"/>
    </row>
    <row r="668" spans="1:13">
      <c r="A668" s="134"/>
      <c r="B668" s="135"/>
      <c r="C668" s="92"/>
      <c r="D668" s="92"/>
      <c r="E668" s="92"/>
      <c r="F668" s="92"/>
      <c r="G668" s="92"/>
      <c r="H668" s="92"/>
      <c r="I668" s="91"/>
      <c r="J668" s="92"/>
      <c r="K668" s="92"/>
      <c r="L668" s="92"/>
      <c r="M668" s="92"/>
    </row>
    <row r="669" spans="1:13">
      <c r="A669" s="134"/>
      <c r="B669" s="135"/>
      <c r="C669" s="92"/>
      <c r="D669" s="92"/>
      <c r="E669" s="92"/>
      <c r="F669" s="92"/>
      <c r="G669" s="92"/>
      <c r="H669" s="92"/>
      <c r="I669" s="91"/>
      <c r="J669" s="92"/>
      <c r="K669" s="92"/>
      <c r="L669" s="92"/>
      <c r="M669" s="92"/>
    </row>
    <row r="670" spans="1:13">
      <c r="A670" s="134"/>
      <c r="B670" s="135"/>
      <c r="C670" s="92"/>
      <c r="D670" s="92"/>
      <c r="E670" s="92"/>
      <c r="F670" s="92"/>
      <c r="G670" s="92"/>
      <c r="H670" s="92"/>
      <c r="I670" s="91"/>
      <c r="J670" s="92"/>
      <c r="K670" s="92"/>
      <c r="L670" s="92"/>
      <c r="M670" s="92"/>
    </row>
    <row r="671" spans="1:13">
      <c r="A671" s="134"/>
      <c r="B671" s="135"/>
      <c r="C671" s="92"/>
      <c r="D671" s="92"/>
      <c r="E671" s="92"/>
      <c r="F671" s="92"/>
      <c r="G671" s="92"/>
      <c r="H671" s="92"/>
      <c r="I671" s="91"/>
      <c r="J671" s="92"/>
      <c r="K671" s="92"/>
      <c r="L671" s="92"/>
      <c r="M671" s="92"/>
    </row>
    <row r="672" spans="1:13">
      <c r="A672" s="134"/>
      <c r="B672" s="135"/>
      <c r="C672" s="92"/>
      <c r="D672" s="92"/>
      <c r="E672" s="92"/>
      <c r="F672" s="92"/>
      <c r="G672" s="92"/>
      <c r="H672" s="92"/>
      <c r="I672" s="91"/>
      <c r="J672" s="92"/>
      <c r="K672" s="92"/>
      <c r="L672" s="92"/>
      <c r="M672" s="92"/>
    </row>
    <row r="673" spans="1:13">
      <c r="A673" s="134"/>
      <c r="B673" s="135"/>
      <c r="C673" s="92"/>
      <c r="D673" s="92"/>
      <c r="E673" s="92"/>
      <c r="F673" s="92"/>
      <c r="G673" s="92"/>
      <c r="H673" s="92"/>
      <c r="I673" s="91"/>
      <c r="J673" s="92"/>
      <c r="K673" s="92"/>
      <c r="L673" s="92"/>
      <c r="M673" s="92"/>
    </row>
    <row r="674" spans="1:13">
      <c r="A674" s="134"/>
      <c r="B674" s="135"/>
      <c r="C674" s="92"/>
      <c r="D674" s="92"/>
      <c r="E674" s="92"/>
      <c r="F674" s="92"/>
      <c r="G674" s="92"/>
      <c r="H674" s="92"/>
      <c r="I674" s="91"/>
      <c r="J674" s="92"/>
      <c r="K674" s="92"/>
      <c r="L674" s="92"/>
      <c r="M674" s="92"/>
    </row>
    <row r="675" spans="1:13">
      <c r="A675" s="134"/>
      <c r="B675" s="135"/>
      <c r="C675" s="92"/>
      <c r="D675" s="92"/>
      <c r="E675" s="92"/>
      <c r="F675" s="92"/>
      <c r="G675" s="92"/>
      <c r="H675" s="92"/>
      <c r="I675" s="91"/>
      <c r="J675" s="92"/>
      <c r="K675" s="92"/>
      <c r="L675" s="92"/>
      <c r="M675" s="92"/>
    </row>
    <row r="676" spans="1:13">
      <c r="A676" s="134"/>
      <c r="B676" s="135"/>
      <c r="C676" s="92"/>
      <c r="D676" s="92"/>
      <c r="E676" s="92"/>
      <c r="F676" s="92"/>
      <c r="G676" s="92"/>
      <c r="H676" s="92"/>
      <c r="I676" s="91"/>
      <c r="J676" s="92"/>
      <c r="K676" s="92"/>
      <c r="L676" s="92"/>
      <c r="M676" s="92"/>
    </row>
    <row r="677" spans="1:13">
      <c r="A677" s="134"/>
      <c r="B677" s="135"/>
      <c r="C677" s="92"/>
      <c r="D677" s="92"/>
      <c r="E677" s="92"/>
      <c r="F677" s="92"/>
      <c r="G677" s="92"/>
      <c r="H677" s="92"/>
      <c r="I677" s="91"/>
      <c r="J677" s="92"/>
      <c r="K677" s="92"/>
      <c r="L677" s="92"/>
      <c r="M677" s="92"/>
    </row>
    <row r="678" spans="1:13">
      <c r="A678" s="134"/>
      <c r="B678" s="135"/>
      <c r="C678" s="92"/>
      <c r="D678" s="92"/>
      <c r="E678" s="92"/>
      <c r="F678" s="92"/>
      <c r="G678" s="92"/>
      <c r="H678" s="92"/>
      <c r="I678" s="91"/>
      <c r="J678" s="92"/>
      <c r="K678" s="92"/>
      <c r="L678" s="92"/>
      <c r="M678" s="92"/>
    </row>
    <row r="679" spans="1:13">
      <c r="A679" s="134"/>
      <c r="B679" s="135"/>
      <c r="C679" s="92"/>
      <c r="D679" s="92"/>
      <c r="E679" s="92"/>
      <c r="F679" s="92"/>
      <c r="G679" s="92"/>
      <c r="H679" s="92"/>
      <c r="I679" s="91"/>
      <c r="J679" s="92"/>
      <c r="K679" s="92"/>
      <c r="L679" s="92"/>
      <c r="M679" s="92"/>
    </row>
    <row r="680" spans="1:13">
      <c r="A680" s="134"/>
      <c r="B680" s="135"/>
      <c r="C680" s="92"/>
      <c r="D680" s="92"/>
      <c r="E680" s="92"/>
      <c r="F680" s="92"/>
      <c r="G680" s="92"/>
      <c r="H680" s="92"/>
      <c r="I680" s="91"/>
      <c r="J680" s="92"/>
      <c r="K680" s="92"/>
      <c r="L680" s="92"/>
      <c r="M680" s="92"/>
    </row>
    <row r="681" spans="1:13">
      <c r="A681" s="134"/>
      <c r="B681" s="135"/>
      <c r="C681" s="92"/>
      <c r="D681" s="92"/>
      <c r="E681" s="92"/>
      <c r="F681" s="92"/>
      <c r="G681" s="92"/>
      <c r="H681" s="92"/>
      <c r="I681" s="91"/>
      <c r="J681" s="92"/>
      <c r="K681" s="92"/>
      <c r="L681" s="92"/>
      <c r="M681" s="92"/>
    </row>
    <row r="682" spans="1:13">
      <c r="A682" s="134"/>
      <c r="B682" s="135"/>
      <c r="C682" s="92"/>
      <c r="D682" s="92"/>
      <c r="E682" s="92"/>
      <c r="F682" s="92"/>
      <c r="G682" s="92"/>
      <c r="H682" s="92"/>
      <c r="I682" s="91"/>
      <c r="J682" s="92"/>
      <c r="K682" s="92"/>
      <c r="L682" s="92"/>
      <c r="M682" s="92"/>
    </row>
    <row r="683" spans="1:13">
      <c r="A683" s="134"/>
      <c r="B683" s="135"/>
      <c r="C683" s="92"/>
      <c r="D683" s="92"/>
      <c r="E683" s="92"/>
      <c r="F683" s="92"/>
      <c r="G683" s="92"/>
      <c r="H683" s="92"/>
      <c r="I683" s="91"/>
      <c r="J683" s="92"/>
      <c r="K683" s="92"/>
      <c r="L683" s="92"/>
      <c r="M683" s="92"/>
    </row>
    <row r="684" spans="1:13">
      <c r="A684" s="134"/>
      <c r="B684" s="135"/>
      <c r="C684" s="92"/>
      <c r="D684" s="92"/>
      <c r="E684" s="92"/>
      <c r="F684" s="92"/>
      <c r="G684" s="92"/>
      <c r="H684" s="92"/>
      <c r="I684" s="91"/>
      <c r="J684" s="92"/>
      <c r="K684" s="92"/>
      <c r="L684" s="92"/>
      <c r="M684" s="92"/>
    </row>
    <row r="685" spans="1:13">
      <c r="A685" s="134"/>
      <c r="B685" s="135"/>
      <c r="C685" s="92"/>
      <c r="D685" s="92"/>
      <c r="E685" s="92"/>
      <c r="F685" s="92"/>
      <c r="G685" s="92"/>
      <c r="H685" s="92"/>
      <c r="I685" s="91"/>
      <c r="J685" s="92"/>
      <c r="K685" s="92"/>
      <c r="L685" s="92"/>
      <c r="M685" s="92"/>
    </row>
    <row r="686" spans="1:13">
      <c r="A686" s="134"/>
      <c r="B686" s="135"/>
      <c r="C686" s="92"/>
      <c r="D686" s="92"/>
      <c r="E686" s="92"/>
      <c r="F686" s="92"/>
      <c r="G686" s="92"/>
      <c r="H686" s="92"/>
      <c r="I686" s="91"/>
      <c r="J686" s="92"/>
      <c r="K686" s="92"/>
      <c r="L686" s="92"/>
      <c r="M686" s="92"/>
    </row>
    <row r="687" spans="1:13">
      <c r="A687" s="134"/>
      <c r="B687" s="135"/>
      <c r="C687" s="92"/>
      <c r="D687" s="92"/>
      <c r="E687" s="92"/>
      <c r="F687" s="92"/>
      <c r="G687" s="92"/>
      <c r="H687" s="92"/>
      <c r="I687" s="91"/>
      <c r="J687" s="92"/>
      <c r="K687" s="92"/>
      <c r="L687" s="92"/>
      <c r="M687" s="92"/>
    </row>
    <row r="688" spans="1:13">
      <c r="A688" s="134"/>
      <c r="B688" s="135"/>
      <c r="C688" s="92"/>
      <c r="D688" s="92"/>
      <c r="E688" s="92"/>
      <c r="F688" s="92"/>
      <c r="G688" s="92"/>
      <c r="H688" s="92"/>
      <c r="I688" s="91"/>
      <c r="J688" s="92"/>
      <c r="K688" s="92"/>
      <c r="L688" s="92"/>
      <c r="M688" s="92"/>
    </row>
    <row r="689" spans="1:13">
      <c r="A689" s="134"/>
      <c r="B689" s="135"/>
      <c r="C689" s="92"/>
      <c r="D689" s="92"/>
      <c r="E689" s="92"/>
      <c r="F689" s="92"/>
      <c r="G689" s="92"/>
      <c r="H689" s="92"/>
      <c r="I689" s="91"/>
      <c r="J689" s="92"/>
      <c r="K689" s="92"/>
      <c r="L689" s="92"/>
      <c r="M689" s="92"/>
    </row>
    <row r="690" spans="1:13">
      <c r="A690" s="134"/>
      <c r="B690" s="135"/>
      <c r="C690" s="92"/>
      <c r="D690" s="92"/>
      <c r="E690" s="92"/>
      <c r="F690" s="92"/>
      <c r="G690" s="92"/>
      <c r="H690" s="92"/>
      <c r="I690" s="91"/>
      <c r="J690" s="92"/>
      <c r="K690" s="92"/>
      <c r="L690" s="92"/>
      <c r="M690" s="92"/>
    </row>
    <row r="691" spans="1:13">
      <c r="A691" s="134"/>
      <c r="B691" s="135"/>
      <c r="C691" s="92"/>
      <c r="D691" s="92"/>
      <c r="E691" s="92"/>
      <c r="F691" s="92"/>
      <c r="G691" s="92"/>
      <c r="H691" s="92"/>
      <c r="I691" s="91"/>
      <c r="J691" s="92"/>
      <c r="K691" s="92"/>
      <c r="L691" s="92"/>
      <c r="M691" s="92"/>
    </row>
    <row r="692" spans="1:13">
      <c r="A692" s="134"/>
      <c r="B692" s="135"/>
      <c r="C692" s="92"/>
      <c r="D692" s="92"/>
      <c r="E692" s="92"/>
      <c r="F692" s="92"/>
      <c r="G692" s="92"/>
      <c r="H692" s="92"/>
      <c r="I692" s="91"/>
      <c r="J692" s="92"/>
      <c r="K692" s="92"/>
      <c r="L692" s="92"/>
      <c r="M692" s="92"/>
    </row>
    <row r="693" spans="1:13">
      <c r="A693" s="134"/>
      <c r="B693" s="135"/>
      <c r="C693" s="92"/>
      <c r="D693" s="92"/>
      <c r="E693" s="92"/>
      <c r="F693" s="92"/>
      <c r="G693" s="92"/>
      <c r="H693" s="92"/>
      <c r="I693" s="91"/>
      <c r="J693" s="92"/>
      <c r="K693" s="92"/>
      <c r="L693" s="92"/>
      <c r="M693" s="92"/>
    </row>
    <row r="694" spans="1:13">
      <c r="A694" s="134"/>
      <c r="B694" s="135"/>
      <c r="C694" s="92"/>
      <c r="D694" s="92"/>
      <c r="E694" s="92"/>
      <c r="F694" s="92"/>
      <c r="G694" s="92"/>
      <c r="H694" s="92"/>
      <c r="I694" s="91"/>
      <c r="J694" s="92"/>
      <c r="K694" s="92"/>
      <c r="L694" s="92"/>
      <c r="M694" s="92"/>
    </row>
    <row r="695" spans="1:13">
      <c r="A695" s="134"/>
      <c r="B695" s="135"/>
      <c r="C695" s="92"/>
      <c r="D695" s="92"/>
      <c r="E695" s="92"/>
      <c r="F695" s="92"/>
      <c r="G695" s="92"/>
      <c r="H695" s="92"/>
      <c r="I695" s="91"/>
      <c r="J695" s="92"/>
      <c r="K695" s="92"/>
      <c r="L695" s="92"/>
      <c r="M695" s="92"/>
    </row>
    <row r="696" spans="1:13">
      <c r="A696" s="134"/>
      <c r="B696" s="135"/>
      <c r="C696" s="92"/>
      <c r="D696" s="92"/>
      <c r="E696" s="92"/>
      <c r="F696" s="92"/>
      <c r="G696" s="92"/>
      <c r="H696" s="92"/>
      <c r="I696" s="91"/>
      <c r="J696" s="92"/>
      <c r="K696" s="92"/>
      <c r="L696" s="92"/>
      <c r="M696" s="92"/>
    </row>
    <row r="697" spans="1:13">
      <c r="A697" s="134"/>
      <c r="B697" s="135"/>
      <c r="C697" s="92"/>
      <c r="D697" s="92"/>
      <c r="E697" s="92"/>
      <c r="F697" s="92"/>
      <c r="G697" s="92"/>
      <c r="H697" s="92"/>
      <c r="I697" s="91"/>
      <c r="J697" s="92"/>
      <c r="K697" s="92"/>
      <c r="L697" s="92"/>
      <c r="M697" s="92"/>
    </row>
    <row r="698" spans="1:13">
      <c r="A698" s="134"/>
      <c r="B698" s="135"/>
      <c r="C698" s="92"/>
      <c r="D698" s="92"/>
      <c r="E698" s="92"/>
      <c r="F698" s="92"/>
      <c r="G698" s="92"/>
      <c r="H698" s="92"/>
      <c r="I698" s="91"/>
      <c r="J698" s="92"/>
      <c r="K698" s="92"/>
      <c r="L698" s="92"/>
      <c r="M698" s="92"/>
    </row>
    <row r="699" spans="1:13">
      <c r="A699" s="134"/>
      <c r="B699" s="135"/>
      <c r="C699" s="92"/>
      <c r="D699" s="92"/>
      <c r="E699" s="92"/>
      <c r="F699" s="92"/>
      <c r="G699" s="92"/>
      <c r="H699" s="92"/>
      <c r="I699" s="91"/>
      <c r="J699" s="92"/>
      <c r="K699" s="92"/>
      <c r="L699" s="92"/>
      <c r="M699" s="92"/>
    </row>
    <row r="700" spans="1:13">
      <c r="A700" s="134"/>
      <c r="B700" s="135"/>
      <c r="C700" s="92"/>
      <c r="D700" s="92"/>
      <c r="E700" s="92"/>
      <c r="F700" s="92"/>
      <c r="G700" s="92"/>
      <c r="H700" s="92"/>
      <c r="I700" s="91"/>
      <c r="J700" s="92"/>
      <c r="K700" s="92"/>
      <c r="L700" s="92"/>
      <c r="M700" s="92"/>
    </row>
    <row r="701" spans="1:13">
      <c r="A701" s="134"/>
      <c r="B701" s="135"/>
      <c r="C701" s="92"/>
      <c r="D701" s="92"/>
      <c r="E701" s="92"/>
      <c r="F701" s="92"/>
      <c r="G701" s="92"/>
      <c r="H701" s="92"/>
      <c r="I701" s="91"/>
      <c r="J701" s="92"/>
      <c r="K701" s="92"/>
      <c r="L701" s="92"/>
      <c r="M701" s="92"/>
    </row>
    <row r="702" spans="1:13">
      <c r="A702" s="134"/>
      <c r="B702" s="135"/>
      <c r="C702" s="92"/>
      <c r="D702" s="92"/>
      <c r="E702" s="92"/>
      <c r="F702" s="92"/>
      <c r="G702" s="92"/>
      <c r="H702" s="92"/>
      <c r="I702" s="91"/>
      <c r="J702" s="92"/>
      <c r="K702" s="92"/>
      <c r="L702" s="92"/>
      <c r="M702" s="92"/>
    </row>
    <row r="703" spans="1:13">
      <c r="A703" s="134"/>
      <c r="B703" s="135"/>
      <c r="C703" s="92"/>
      <c r="D703" s="92"/>
      <c r="E703" s="92"/>
      <c r="F703" s="92"/>
      <c r="G703" s="92"/>
      <c r="H703" s="92"/>
      <c r="I703" s="91"/>
      <c r="J703" s="92"/>
      <c r="K703" s="92"/>
      <c r="L703" s="92"/>
      <c r="M703" s="92"/>
    </row>
    <row r="704" spans="1:13">
      <c r="A704" s="134"/>
      <c r="B704" s="135"/>
      <c r="C704" s="92"/>
      <c r="D704" s="92"/>
      <c r="E704" s="92"/>
      <c r="F704" s="92"/>
      <c r="G704" s="92"/>
      <c r="H704" s="92"/>
      <c r="I704" s="91"/>
      <c r="J704" s="92"/>
      <c r="K704" s="92"/>
      <c r="L704" s="92"/>
      <c r="M704" s="92"/>
    </row>
    <row r="705" spans="1:13">
      <c r="A705" s="134"/>
      <c r="B705" s="135"/>
      <c r="C705" s="92"/>
      <c r="D705" s="92"/>
      <c r="E705" s="92"/>
      <c r="F705" s="92"/>
      <c r="G705" s="92"/>
      <c r="H705" s="92"/>
      <c r="I705" s="91"/>
      <c r="J705" s="92"/>
      <c r="K705" s="92"/>
      <c r="L705" s="92"/>
      <c r="M705" s="92"/>
    </row>
    <row r="706" spans="1:13">
      <c r="A706" s="134"/>
      <c r="B706" s="135"/>
      <c r="C706" s="92"/>
      <c r="D706" s="92"/>
      <c r="E706" s="92"/>
      <c r="F706" s="92"/>
      <c r="G706" s="92"/>
      <c r="H706" s="92"/>
      <c r="I706" s="91"/>
      <c r="J706" s="92"/>
      <c r="K706" s="92"/>
      <c r="L706" s="92"/>
      <c r="M706" s="92"/>
    </row>
    <row r="707" spans="1:13">
      <c r="A707" s="134"/>
      <c r="B707" s="135"/>
      <c r="C707" s="92"/>
      <c r="D707" s="92"/>
      <c r="E707" s="92"/>
      <c r="F707" s="92"/>
      <c r="G707" s="92"/>
      <c r="H707" s="92"/>
      <c r="I707" s="91"/>
      <c r="J707" s="92"/>
      <c r="K707" s="92"/>
      <c r="L707" s="92"/>
      <c r="M707" s="92"/>
    </row>
    <row r="708" spans="1:13">
      <c r="A708" s="134"/>
      <c r="B708" s="135"/>
      <c r="C708" s="92"/>
      <c r="D708" s="92"/>
      <c r="E708" s="92"/>
      <c r="F708" s="92"/>
      <c r="G708" s="92"/>
      <c r="H708" s="92"/>
      <c r="I708" s="91"/>
      <c r="J708" s="92"/>
      <c r="K708" s="92"/>
      <c r="L708" s="92"/>
      <c r="M708" s="92"/>
    </row>
    <row r="709" spans="1:13">
      <c r="A709" s="134"/>
      <c r="B709" s="135"/>
      <c r="C709" s="92"/>
      <c r="D709" s="92"/>
      <c r="E709" s="92"/>
      <c r="F709" s="92"/>
      <c r="G709" s="92"/>
      <c r="H709" s="92"/>
      <c r="I709" s="91"/>
      <c r="J709" s="92"/>
      <c r="K709" s="92"/>
      <c r="L709" s="92"/>
      <c r="M709" s="92"/>
    </row>
    <row r="710" spans="1:13">
      <c r="A710" s="134"/>
      <c r="B710" s="135"/>
      <c r="C710" s="92"/>
      <c r="D710" s="92"/>
      <c r="E710" s="92"/>
      <c r="F710" s="92"/>
      <c r="G710" s="92"/>
      <c r="H710" s="92"/>
      <c r="I710" s="91"/>
      <c r="J710" s="92"/>
      <c r="K710" s="92"/>
      <c r="L710" s="92"/>
      <c r="M710" s="92"/>
    </row>
    <row r="711" spans="1:13">
      <c r="A711" s="134"/>
      <c r="B711" s="135"/>
      <c r="C711" s="92"/>
      <c r="D711" s="92"/>
      <c r="E711" s="92"/>
      <c r="F711" s="92"/>
      <c r="G711" s="92"/>
      <c r="H711" s="92"/>
      <c r="I711" s="91"/>
      <c r="J711" s="92"/>
      <c r="K711" s="92"/>
      <c r="L711" s="92"/>
      <c r="M711" s="92"/>
    </row>
    <row r="712" spans="1:13">
      <c r="A712" s="134"/>
      <c r="B712" s="135"/>
      <c r="C712" s="92"/>
      <c r="D712" s="92"/>
      <c r="E712" s="92"/>
      <c r="F712" s="92"/>
      <c r="G712" s="92"/>
      <c r="H712" s="92"/>
      <c r="I712" s="91"/>
      <c r="J712" s="92"/>
      <c r="K712" s="92"/>
      <c r="L712" s="92"/>
      <c r="M712" s="92"/>
    </row>
    <row r="713" spans="1:13">
      <c r="A713" s="134"/>
      <c r="B713" s="135"/>
      <c r="C713" s="92"/>
      <c r="D713" s="92"/>
      <c r="E713" s="92"/>
      <c r="F713" s="92"/>
      <c r="G713" s="92"/>
      <c r="H713" s="92"/>
      <c r="I713" s="91"/>
      <c r="J713" s="92"/>
      <c r="K713" s="92"/>
      <c r="L713" s="92"/>
      <c r="M713" s="92"/>
    </row>
    <row r="714" spans="1:13">
      <c r="A714" s="134"/>
      <c r="B714" s="135"/>
      <c r="C714" s="92"/>
      <c r="D714" s="92"/>
      <c r="E714" s="92"/>
      <c r="F714" s="92"/>
      <c r="G714" s="92"/>
      <c r="H714" s="92"/>
      <c r="I714" s="91"/>
      <c r="J714" s="92"/>
      <c r="K714" s="92"/>
      <c r="L714" s="92"/>
      <c r="M714" s="92"/>
    </row>
    <row r="715" spans="1:13">
      <c r="A715" s="134"/>
      <c r="B715" s="135"/>
      <c r="C715" s="92"/>
      <c r="D715" s="92"/>
      <c r="E715" s="92"/>
      <c r="F715" s="92"/>
      <c r="G715" s="92"/>
      <c r="H715" s="92"/>
      <c r="I715" s="91"/>
      <c r="J715" s="92"/>
      <c r="K715" s="92"/>
      <c r="L715" s="92"/>
      <c r="M715" s="92"/>
    </row>
    <row r="716" spans="1:13">
      <c r="A716" s="134"/>
      <c r="B716" s="135"/>
      <c r="C716" s="92"/>
      <c r="D716" s="92"/>
      <c r="E716" s="92"/>
      <c r="F716" s="92"/>
      <c r="G716" s="92"/>
      <c r="H716" s="92"/>
      <c r="I716" s="91"/>
      <c r="J716" s="92"/>
      <c r="K716" s="92"/>
      <c r="L716" s="92"/>
      <c r="M716" s="92"/>
    </row>
    <row r="717" spans="1:13">
      <c r="A717" s="134"/>
      <c r="B717" s="135"/>
      <c r="C717" s="92"/>
      <c r="D717" s="92"/>
      <c r="E717" s="92"/>
      <c r="F717" s="92"/>
      <c r="G717" s="92"/>
      <c r="H717" s="92"/>
      <c r="I717" s="91"/>
      <c r="J717" s="92"/>
      <c r="K717" s="92"/>
      <c r="L717" s="92"/>
      <c r="M717" s="92"/>
    </row>
    <row r="718" spans="1:13">
      <c r="A718" s="134"/>
      <c r="B718" s="135"/>
      <c r="C718" s="92"/>
      <c r="D718" s="92"/>
      <c r="E718" s="92"/>
      <c r="F718" s="92"/>
      <c r="G718" s="92"/>
      <c r="H718" s="92"/>
      <c r="I718" s="91"/>
      <c r="J718" s="92"/>
      <c r="K718" s="92"/>
      <c r="L718" s="92"/>
      <c r="M718" s="92"/>
    </row>
    <row r="719" spans="1:13">
      <c r="A719" s="134"/>
      <c r="B719" s="135"/>
      <c r="C719" s="92"/>
      <c r="D719" s="92"/>
      <c r="E719" s="92"/>
      <c r="F719" s="92"/>
      <c r="G719" s="92"/>
      <c r="H719" s="92"/>
      <c r="I719" s="91"/>
      <c r="J719" s="92"/>
      <c r="K719" s="92"/>
      <c r="L719" s="92"/>
      <c r="M719" s="92"/>
    </row>
    <row r="720" spans="1:13">
      <c r="A720" s="134"/>
      <c r="B720" s="135"/>
      <c r="C720" s="92"/>
      <c r="D720" s="92"/>
      <c r="E720" s="92"/>
      <c r="F720" s="92"/>
      <c r="G720" s="92"/>
      <c r="H720" s="92"/>
      <c r="I720" s="91"/>
      <c r="J720" s="92"/>
      <c r="K720" s="92"/>
      <c r="L720" s="92"/>
      <c r="M720" s="92"/>
    </row>
    <row r="721" spans="1:13">
      <c r="A721" s="134"/>
      <c r="B721" s="135"/>
      <c r="C721" s="92"/>
      <c r="D721" s="92"/>
      <c r="E721" s="92"/>
      <c r="F721" s="92"/>
      <c r="G721" s="92"/>
      <c r="H721" s="92"/>
      <c r="I721" s="91"/>
      <c r="J721" s="92"/>
      <c r="K721" s="92"/>
      <c r="L721" s="92"/>
      <c r="M721" s="92"/>
    </row>
    <row r="722" spans="1:13">
      <c r="A722" s="134"/>
      <c r="B722" s="135"/>
      <c r="C722" s="92"/>
      <c r="D722" s="92"/>
      <c r="E722" s="92"/>
      <c r="F722" s="92"/>
      <c r="G722" s="92"/>
      <c r="H722" s="92"/>
      <c r="I722" s="91"/>
      <c r="J722" s="92"/>
      <c r="K722" s="92"/>
      <c r="L722" s="92"/>
      <c r="M722" s="92"/>
    </row>
    <row r="723" spans="1:13">
      <c r="A723" s="134"/>
      <c r="B723" s="135"/>
      <c r="C723" s="92"/>
      <c r="D723" s="92"/>
      <c r="E723" s="92"/>
      <c r="F723" s="92"/>
      <c r="G723" s="92"/>
      <c r="H723" s="92"/>
      <c r="I723" s="91"/>
      <c r="J723" s="92"/>
      <c r="K723" s="92"/>
      <c r="L723" s="92"/>
      <c r="M723" s="92"/>
    </row>
    <row r="724" spans="1:13">
      <c r="A724" s="134"/>
      <c r="B724" s="135"/>
      <c r="C724" s="92"/>
      <c r="D724" s="92"/>
      <c r="E724" s="92"/>
      <c r="F724" s="92"/>
      <c r="G724" s="92"/>
      <c r="H724" s="92"/>
      <c r="I724" s="91"/>
      <c r="J724" s="92"/>
      <c r="K724" s="92"/>
      <c r="L724" s="92"/>
      <c r="M724" s="92"/>
    </row>
    <row r="725" spans="1:13">
      <c r="A725" s="134"/>
      <c r="B725" s="135"/>
      <c r="C725" s="92"/>
      <c r="D725" s="92"/>
      <c r="E725" s="92"/>
      <c r="F725" s="92"/>
      <c r="G725" s="92"/>
      <c r="H725" s="92"/>
      <c r="I725" s="91"/>
      <c r="J725" s="92"/>
      <c r="K725" s="92"/>
      <c r="L725" s="92"/>
      <c r="M725" s="92"/>
    </row>
    <row r="726" spans="1:13">
      <c r="A726" s="134"/>
      <c r="B726" s="135"/>
      <c r="C726" s="92"/>
      <c r="D726" s="92"/>
      <c r="E726" s="92"/>
      <c r="F726" s="92"/>
      <c r="G726" s="92"/>
      <c r="H726" s="92"/>
      <c r="I726" s="91"/>
      <c r="J726" s="92"/>
      <c r="K726" s="92"/>
      <c r="L726" s="92"/>
      <c r="M726" s="92"/>
    </row>
    <row r="727" spans="1:13">
      <c r="A727" s="134"/>
      <c r="B727" s="135"/>
      <c r="C727" s="92"/>
      <c r="D727" s="92"/>
      <c r="E727" s="92"/>
      <c r="F727" s="92"/>
      <c r="G727" s="92"/>
      <c r="H727" s="92"/>
      <c r="I727" s="91"/>
      <c r="J727" s="92"/>
      <c r="K727" s="92"/>
      <c r="L727" s="92"/>
      <c r="M727" s="92"/>
    </row>
    <row r="728" spans="1:13">
      <c r="A728" s="134"/>
      <c r="B728" s="135"/>
      <c r="C728" s="92"/>
      <c r="D728" s="92"/>
      <c r="E728" s="92"/>
      <c r="F728" s="92"/>
      <c r="G728" s="92"/>
      <c r="H728" s="92"/>
      <c r="I728" s="91"/>
      <c r="J728" s="92"/>
      <c r="K728" s="92"/>
      <c r="L728" s="92"/>
      <c r="M728" s="92"/>
    </row>
    <row r="729" spans="1:13">
      <c r="A729" s="134"/>
      <c r="B729" s="135"/>
      <c r="C729" s="92"/>
      <c r="D729" s="92"/>
      <c r="E729" s="92"/>
      <c r="F729" s="92"/>
      <c r="G729" s="92"/>
      <c r="H729" s="92"/>
      <c r="I729" s="91"/>
      <c r="J729" s="92"/>
      <c r="K729" s="92"/>
      <c r="L729" s="92"/>
      <c r="M729" s="92"/>
    </row>
    <row r="730" spans="1:13">
      <c r="A730" s="134"/>
      <c r="B730" s="135"/>
      <c r="C730" s="92"/>
      <c r="D730" s="92"/>
      <c r="E730" s="92"/>
      <c r="F730" s="92"/>
      <c r="G730" s="92"/>
      <c r="H730" s="92"/>
      <c r="I730" s="91"/>
      <c r="J730" s="92"/>
      <c r="K730" s="92"/>
      <c r="L730" s="92"/>
      <c r="M730" s="92"/>
    </row>
    <row r="731" spans="1:13">
      <c r="A731" s="134"/>
      <c r="B731" s="135"/>
      <c r="C731" s="92"/>
      <c r="D731" s="92"/>
      <c r="E731" s="92"/>
      <c r="F731" s="92"/>
      <c r="G731" s="92"/>
      <c r="H731" s="92"/>
      <c r="I731" s="91"/>
      <c r="J731" s="92"/>
      <c r="K731" s="92"/>
      <c r="L731" s="92"/>
      <c r="M731" s="92"/>
    </row>
    <row r="732" spans="1:13">
      <c r="A732" s="134"/>
      <c r="B732" s="135"/>
      <c r="C732" s="92"/>
      <c r="D732" s="92"/>
      <c r="E732" s="92"/>
      <c r="F732" s="92"/>
      <c r="G732" s="92"/>
      <c r="H732" s="92"/>
      <c r="I732" s="91"/>
      <c r="J732" s="92"/>
      <c r="K732" s="92"/>
      <c r="L732" s="92"/>
      <c r="M732" s="92"/>
    </row>
    <row r="733" spans="1:13">
      <c r="A733" s="134"/>
      <c r="B733" s="135"/>
      <c r="C733" s="92"/>
      <c r="D733" s="92"/>
      <c r="E733" s="92"/>
      <c r="F733" s="92"/>
      <c r="G733" s="92"/>
      <c r="H733" s="92"/>
      <c r="I733" s="91"/>
      <c r="J733" s="92"/>
      <c r="K733" s="92"/>
      <c r="L733" s="92"/>
      <c r="M733" s="92"/>
    </row>
    <row r="734" spans="1:13">
      <c r="A734" s="134"/>
      <c r="B734" s="135"/>
      <c r="C734" s="92"/>
      <c r="D734" s="92"/>
      <c r="E734" s="92"/>
      <c r="F734" s="92"/>
      <c r="G734" s="92"/>
      <c r="H734" s="92"/>
      <c r="I734" s="91"/>
      <c r="J734" s="92"/>
      <c r="K734" s="92"/>
      <c r="L734" s="92"/>
      <c r="M734" s="92"/>
    </row>
    <row r="735" spans="1:13">
      <c r="A735" s="134"/>
      <c r="B735" s="135"/>
      <c r="C735" s="92"/>
      <c r="D735" s="92"/>
      <c r="E735" s="92"/>
      <c r="F735" s="92"/>
      <c r="G735" s="92"/>
      <c r="H735" s="92"/>
      <c r="I735" s="91"/>
      <c r="J735" s="92"/>
      <c r="K735" s="92"/>
      <c r="L735" s="92"/>
      <c r="M735" s="92"/>
    </row>
    <row r="736" spans="1:13">
      <c r="A736" s="134"/>
      <c r="B736" s="135"/>
      <c r="C736" s="92"/>
      <c r="D736" s="92"/>
      <c r="E736" s="92"/>
      <c r="F736" s="92"/>
      <c r="G736" s="92"/>
      <c r="H736" s="92"/>
      <c r="I736" s="91"/>
      <c r="J736" s="92"/>
      <c r="K736" s="92"/>
      <c r="L736" s="92"/>
      <c r="M736" s="92"/>
    </row>
    <row r="737" spans="1:13">
      <c r="A737" s="134"/>
      <c r="B737" s="135"/>
      <c r="C737" s="92"/>
      <c r="D737" s="92"/>
      <c r="E737" s="92"/>
      <c r="F737" s="92"/>
      <c r="G737" s="92"/>
      <c r="H737" s="92"/>
      <c r="I737" s="91"/>
      <c r="J737" s="92"/>
      <c r="K737" s="92"/>
      <c r="L737" s="92"/>
      <c r="M737" s="92"/>
    </row>
    <row r="738" spans="1:13">
      <c r="A738" s="134"/>
      <c r="B738" s="135"/>
      <c r="C738" s="92"/>
      <c r="D738" s="92"/>
      <c r="E738" s="92"/>
      <c r="F738" s="92"/>
      <c r="G738" s="92"/>
      <c r="H738" s="92"/>
      <c r="I738" s="91"/>
      <c r="J738" s="92"/>
      <c r="K738" s="92"/>
      <c r="L738" s="92"/>
      <c r="M738" s="92"/>
    </row>
    <row r="739" spans="1:13">
      <c r="A739" s="134"/>
      <c r="B739" s="135"/>
      <c r="C739" s="92"/>
      <c r="D739" s="92"/>
      <c r="E739" s="92"/>
      <c r="F739" s="92"/>
      <c r="G739" s="92"/>
      <c r="H739" s="92"/>
      <c r="I739" s="91"/>
      <c r="J739" s="92"/>
      <c r="K739" s="92"/>
      <c r="L739" s="92"/>
      <c r="M739" s="92"/>
    </row>
    <row r="740" spans="1:13">
      <c r="A740" s="134"/>
      <c r="B740" s="135"/>
      <c r="C740" s="92"/>
      <c r="D740" s="92"/>
      <c r="E740" s="92"/>
      <c r="F740" s="92"/>
      <c r="G740" s="92"/>
      <c r="H740" s="92"/>
      <c r="I740" s="91"/>
      <c r="J740" s="92"/>
      <c r="K740" s="92"/>
      <c r="L740" s="92"/>
      <c r="M740" s="92"/>
    </row>
    <row r="741" spans="1:13">
      <c r="A741" s="134"/>
      <c r="B741" s="135"/>
      <c r="C741" s="92"/>
      <c r="D741" s="92"/>
      <c r="E741" s="92"/>
      <c r="F741" s="92"/>
      <c r="G741" s="92"/>
      <c r="H741" s="92"/>
      <c r="I741" s="91"/>
      <c r="J741" s="92"/>
      <c r="K741" s="92"/>
      <c r="L741" s="92"/>
      <c r="M741" s="92"/>
    </row>
    <row r="742" spans="1:13">
      <c r="A742" s="134"/>
      <c r="B742" s="135"/>
      <c r="C742" s="92"/>
      <c r="D742" s="92"/>
      <c r="E742" s="92"/>
      <c r="F742" s="92"/>
      <c r="G742" s="92"/>
      <c r="H742" s="92"/>
      <c r="I742" s="91"/>
      <c r="J742" s="92"/>
      <c r="K742" s="92"/>
      <c r="L742" s="92"/>
      <c r="M742" s="92"/>
    </row>
    <row r="743" spans="1:13">
      <c r="A743" s="134"/>
      <c r="B743" s="135"/>
      <c r="C743" s="92"/>
      <c r="D743" s="92"/>
      <c r="E743" s="92"/>
      <c r="F743" s="92"/>
      <c r="G743" s="92"/>
      <c r="H743" s="92"/>
      <c r="I743" s="91"/>
      <c r="J743" s="92"/>
      <c r="K743" s="92"/>
      <c r="L743" s="92"/>
      <c r="M743" s="92"/>
    </row>
    <row r="744" spans="1:13">
      <c r="A744" s="134"/>
      <c r="B744" s="135"/>
      <c r="C744" s="92"/>
      <c r="D744" s="92"/>
      <c r="E744" s="92"/>
      <c r="F744" s="92"/>
      <c r="G744" s="92"/>
      <c r="H744" s="92"/>
      <c r="I744" s="91"/>
      <c r="J744" s="92"/>
      <c r="K744" s="92"/>
      <c r="L744" s="92"/>
      <c r="M744" s="92"/>
    </row>
    <row r="745" spans="1:13">
      <c r="A745" s="134"/>
      <c r="B745" s="135"/>
      <c r="C745" s="92"/>
      <c r="D745" s="92"/>
      <c r="E745" s="92"/>
      <c r="F745" s="92"/>
      <c r="G745" s="92"/>
      <c r="H745" s="92"/>
      <c r="I745" s="91"/>
      <c r="J745" s="92"/>
      <c r="K745" s="92"/>
      <c r="L745" s="92"/>
      <c r="M745" s="92"/>
    </row>
    <row r="746" spans="1:13">
      <c r="A746" s="134"/>
      <c r="B746" s="135"/>
      <c r="C746" s="92"/>
      <c r="D746" s="92"/>
      <c r="E746" s="92"/>
      <c r="F746" s="92"/>
      <c r="G746" s="92"/>
      <c r="H746" s="92"/>
      <c r="I746" s="91"/>
      <c r="J746" s="92"/>
      <c r="K746" s="92"/>
      <c r="L746" s="92"/>
      <c r="M746" s="92"/>
    </row>
    <row r="747" spans="1:13">
      <c r="A747" s="134"/>
      <c r="B747" s="135"/>
      <c r="C747" s="92"/>
      <c r="D747" s="92"/>
      <c r="E747" s="92"/>
      <c r="F747" s="92"/>
      <c r="G747" s="92"/>
      <c r="H747" s="92"/>
      <c r="I747" s="91"/>
      <c r="J747" s="92"/>
      <c r="K747" s="92"/>
      <c r="L747" s="92"/>
      <c r="M747" s="92"/>
    </row>
    <row r="748" spans="1:13">
      <c r="A748" s="134"/>
      <c r="B748" s="135"/>
      <c r="C748" s="92"/>
      <c r="D748" s="92"/>
      <c r="E748" s="92"/>
      <c r="F748" s="92"/>
      <c r="G748" s="92"/>
      <c r="H748" s="92"/>
      <c r="I748" s="91"/>
      <c r="J748" s="92"/>
      <c r="K748" s="92"/>
      <c r="L748" s="92"/>
      <c r="M748" s="92"/>
    </row>
    <row r="749" spans="1:13">
      <c r="A749" s="134"/>
      <c r="B749" s="135"/>
      <c r="C749" s="92"/>
      <c r="D749" s="92"/>
      <c r="E749" s="92"/>
      <c r="F749" s="92"/>
      <c r="G749" s="92"/>
      <c r="H749" s="92"/>
      <c r="I749" s="91"/>
      <c r="J749" s="92"/>
      <c r="K749" s="92"/>
      <c r="L749" s="92"/>
      <c r="M749" s="92"/>
    </row>
    <row r="750" spans="1:13">
      <c r="A750" s="134"/>
      <c r="B750" s="135"/>
      <c r="C750" s="92"/>
      <c r="D750" s="92"/>
      <c r="E750" s="92"/>
      <c r="F750" s="92"/>
      <c r="G750" s="92"/>
      <c r="H750" s="92"/>
      <c r="I750" s="91"/>
      <c r="J750" s="92"/>
      <c r="K750" s="92"/>
      <c r="L750" s="92"/>
      <c r="M750" s="92"/>
    </row>
    <row r="751" spans="1:13">
      <c r="A751" s="134"/>
      <c r="B751" s="135"/>
      <c r="C751" s="92"/>
      <c r="D751" s="92"/>
      <c r="E751" s="92"/>
      <c r="F751" s="92"/>
      <c r="G751" s="92"/>
      <c r="H751" s="92"/>
      <c r="I751" s="91"/>
      <c r="J751" s="92"/>
      <c r="K751" s="92"/>
      <c r="L751" s="92"/>
      <c r="M751" s="92"/>
    </row>
    <row r="752" spans="1:13">
      <c r="A752" s="134"/>
      <c r="B752" s="135"/>
      <c r="C752" s="92"/>
      <c r="D752" s="92"/>
      <c r="E752" s="92"/>
      <c r="F752" s="92"/>
      <c r="G752" s="92"/>
      <c r="H752" s="92"/>
      <c r="I752" s="91"/>
      <c r="J752" s="92"/>
      <c r="K752" s="92"/>
      <c r="L752" s="92"/>
      <c r="M752" s="92"/>
    </row>
    <row r="753" spans="1:13">
      <c r="A753" s="134"/>
      <c r="B753" s="135"/>
      <c r="C753" s="92"/>
      <c r="D753" s="92"/>
      <c r="E753" s="92"/>
      <c r="F753" s="92"/>
      <c r="G753" s="92"/>
      <c r="H753" s="92"/>
      <c r="I753" s="91"/>
      <c r="J753" s="92"/>
      <c r="K753" s="92"/>
      <c r="L753" s="92"/>
      <c r="M753" s="92"/>
    </row>
    <row r="754" spans="1:13">
      <c r="A754" s="134"/>
      <c r="B754" s="135"/>
      <c r="C754" s="92"/>
      <c r="D754" s="92"/>
      <c r="E754" s="92"/>
      <c r="F754" s="92"/>
      <c r="G754" s="92"/>
      <c r="H754" s="92"/>
      <c r="I754" s="91"/>
      <c r="J754" s="92"/>
      <c r="K754" s="92"/>
      <c r="L754" s="92"/>
      <c r="M754" s="92"/>
    </row>
    <row r="755" spans="1:13">
      <c r="A755" s="134"/>
      <c r="B755" s="135"/>
      <c r="C755" s="92"/>
      <c r="D755" s="92"/>
      <c r="E755" s="92"/>
      <c r="F755" s="92"/>
      <c r="G755" s="92"/>
      <c r="H755" s="92"/>
      <c r="I755" s="91"/>
      <c r="J755" s="92"/>
      <c r="K755" s="92"/>
      <c r="L755" s="92"/>
      <c r="M755" s="92"/>
    </row>
    <row r="756" spans="1:13">
      <c r="A756" s="134"/>
      <c r="B756" s="135"/>
      <c r="C756" s="92"/>
      <c r="D756" s="92"/>
      <c r="E756" s="92"/>
      <c r="F756" s="92"/>
      <c r="G756" s="92"/>
      <c r="H756" s="92"/>
      <c r="I756" s="91"/>
      <c r="J756" s="92"/>
      <c r="K756" s="92"/>
      <c r="L756" s="92"/>
      <c r="M756" s="92"/>
    </row>
    <row r="757" spans="1:13">
      <c r="A757" s="134"/>
      <c r="B757" s="135"/>
      <c r="C757" s="92"/>
      <c r="D757" s="92"/>
      <c r="E757" s="92"/>
      <c r="F757" s="92"/>
      <c r="G757" s="92"/>
      <c r="H757" s="92"/>
      <c r="I757" s="91"/>
      <c r="J757" s="92"/>
      <c r="K757" s="92"/>
      <c r="L757" s="92"/>
      <c r="M757" s="92"/>
    </row>
    <row r="758" spans="1:13">
      <c r="A758" s="134"/>
      <c r="B758" s="135"/>
      <c r="C758" s="92"/>
      <c r="D758" s="92"/>
      <c r="E758" s="92"/>
      <c r="F758" s="92"/>
      <c r="G758" s="92"/>
      <c r="H758" s="92"/>
      <c r="I758" s="91"/>
      <c r="J758" s="92"/>
      <c r="K758" s="92"/>
      <c r="L758" s="92"/>
      <c r="M758" s="92"/>
    </row>
    <row r="759" spans="1:13">
      <c r="A759" s="134"/>
      <c r="B759" s="135"/>
      <c r="C759" s="92"/>
      <c r="D759" s="92"/>
      <c r="E759" s="92"/>
      <c r="F759" s="92"/>
      <c r="G759" s="92"/>
      <c r="H759" s="92"/>
      <c r="I759" s="91"/>
      <c r="J759" s="92"/>
      <c r="K759" s="92"/>
      <c r="L759" s="92"/>
      <c r="M759" s="92"/>
    </row>
    <row r="760" spans="1:13">
      <c r="A760" s="134"/>
      <c r="B760" s="135"/>
      <c r="C760" s="92"/>
      <c r="D760" s="92"/>
      <c r="E760" s="92"/>
      <c r="F760" s="92"/>
      <c r="G760" s="92"/>
      <c r="H760" s="92"/>
      <c r="I760" s="91"/>
      <c r="J760" s="92"/>
      <c r="K760" s="92"/>
      <c r="L760" s="92"/>
      <c r="M760" s="92"/>
    </row>
    <row r="761" spans="1:13">
      <c r="A761" s="134"/>
      <c r="B761" s="135"/>
      <c r="C761" s="92"/>
      <c r="D761" s="92"/>
      <c r="E761" s="92"/>
      <c r="F761" s="92"/>
      <c r="G761" s="92"/>
      <c r="H761" s="92"/>
      <c r="I761" s="91"/>
      <c r="J761" s="92"/>
      <c r="K761" s="92"/>
      <c r="L761" s="92"/>
      <c r="M761" s="92"/>
    </row>
    <row r="762" spans="1:13">
      <c r="A762" s="134"/>
      <c r="B762" s="135"/>
      <c r="C762" s="92"/>
      <c r="D762" s="92"/>
      <c r="E762" s="92"/>
      <c r="F762" s="92"/>
      <c r="G762" s="92"/>
      <c r="H762" s="92"/>
      <c r="I762" s="91"/>
      <c r="J762" s="92"/>
      <c r="K762" s="92"/>
      <c r="L762" s="92"/>
      <c r="M762" s="92"/>
    </row>
    <row r="763" spans="1:13">
      <c r="A763" s="134"/>
      <c r="B763" s="135"/>
      <c r="C763" s="92"/>
      <c r="D763" s="92"/>
      <c r="E763" s="92"/>
      <c r="F763" s="92"/>
      <c r="G763" s="92"/>
      <c r="H763" s="92"/>
      <c r="I763" s="91"/>
      <c r="J763" s="92"/>
      <c r="K763" s="92"/>
      <c r="L763" s="92"/>
      <c r="M763" s="92"/>
    </row>
    <row r="764" spans="1:13">
      <c r="A764" s="134"/>
      <c r="B764" s="135"/>
      <c r="C764" s="92"/>
      <c r="D764" s="92"/>
      <c r="E764" s="92"/>
      <c r="F764" s="92"/>
      <c r="G764" s="92"/>
      <c r="H764" s="92"/>
      <c r="I764" s="91"/>
      <c r="J764" s="92"/>
      <c r="K764" s="92"/>
      <c r="L764" s="92"/>
      <c r="M764" s="92"/>
    </row>
    <row r="765" spans="1:13">
      <c r="A765" s="134"/>
      <c r="B765" s="135"/>
      <c r="C765" s="92"/>
      <c r="D765" s="92"/>
      <c r="E765" s="92"/>
      <c r="F765" s="92"/>
      <c r="G765" s="92"/>
      <c r="H765" s="92"/>
      <c r="I765" s="91"/>
      <c r="J765" s="92"/>
      <c r="K765" s="92"/>
      <c r="L765" s="92"/>
      <c r="M765" s="92"/>
    </row>
    <row r="766" spans="1:13">
      <c r="A766" s="134"/>
      <c r="B766" s="135"/>
      <c r="C766" s="92"/>
      <c r="D766" s="92"/>
      <c r="E766" s="92"/>
      <c r="F766" s="92"/>
      <c r="G766" s="92"/>
      <c r="H766" s="92"/>
      <c r="I766" s="91"/>
      <c r="J766" s="92"/>
      <c r="K766" s="92"/>
      <c r="L766" s="92"/>
      <c r="M766" s="92"/>
    </row>
    <row r="767" spans="1:13">
      <c r="A767" s="134"/>
      <c r="B767" s="135"/>
      <c r="C767" s="92"/>
      <c r="D767" s="92"/>
      <c r="E767" s="92"/>
      <c r="F767" s="92"/>
      <c r="G767" s="92"/>
      <c r="H767" s="92"/>
      <c r="I767" s="91"/>
      <c r="J767" s="92"/>
      <c r="K767" s="92"/>
      <c r="L767" s="92"/>
      <c r="M767" s="92"/>
    </row>
    <row r="768" spans="1:13">
      <c r="A768" s="134"/>
      <c r="B768" s="135"/>
      <c r="C768" s="92"/>
      <c r="D768" s="92"/>
      <c r="E768" s="92"/>
      <c r="F768" s="92"/>
      <c r="G768" s="92"/>
      <c r="H768" s="92"/>
      <c r="I768" s="91"/>
      <c r="J768" s="92"/>
      <c r="K768" s="92"/>
      <c r="L768" s="92"/>
      <c r="M768" s="92"/>
    </row>
    <row r="769" spans="1:13">
      <c r="A769" s="134"/>
      <c r="B769" s="135"/>
      <c r="C769" s="92"/>
      <c r="D769" s="92"/>
      <c r="E769" s="92"/>
      <c r="F769" s="92"/>
      <c r="G769" s="92"/>
      <c r="H769" s="92"/>
      <c r="I769" s="91"/>
      <c r="J769" s="92"/>
      <c r="K769" s="92"/>
      <c r="L769" s="92"/>
      <c r="M769" s="92"/>
    </row>
    <row r="770" spans="1:13">
      <c r="A770" s="134"/>
      <c r="B770" s="135"/>
      <c r="C770" s="92"/>
      <c r="D770" s="92"/>
      <c r="E770" s="92"/>
      <c r="F770" s="92"/>
      <c r="G770" s="92"/>
      <c r="H770" s="92"/>
      <c r="I770" s="91"/>
      <c r="J770" s="92"/>
      <c r="K770" s="92"/>
      <c r="L770" s="92"/>
      <c r="M770" s="92"/>
    </row>
    <row r="771" spans="1:13">
      <c r="A771" s="134"/>
      <c r="B771" s="135"/>
      <c r="C771" s="92"/>
      <c r="D771" s="92"/>
      <c r="E771" s="92"/>
      <c r="F771" s="92"/>
      <c r="G771" s="92"/>
      <c r="H771" s="92"/>
      <c r="I771" s="91"/>
      <c r="J771" s="92"/>
      <c r="K771" s="92"/>
      <c r="L771" s="92"/>
      <c r="M771" s="92"/>
    </row>
    <row r="772" spans="1:13">
      <c r="A772" s="134"/>
      <c r="B772" s="135"/>
      <c r="C772" s="92"/>
      <c r="D772" s="92"/>
      <c r="E772" s="92"/>
      <c r="F772" s="92"/>
      <c r="G772" s="92"/>
      <c r="H772" s="92"/>
      <c r="I772" s="91"/>
      <c r="J772" s="92"/>
      <c r="K772" s="92"/>
      <c r="L772" s="92"/>
      <c r="M772" s="92"/>
    </row>
    <row r="773" spans="1:13">
      <c r="A773" s="134"/>
      <c r="B773" s="135"/>
      <c r="C773" s="92"/>
      <c r="D773" s="92"/>
      <c r="E773" s="92"/>
      <c r="F773" s="92"/>
      <c r="G773" s="92"/>
      <c r="H773" s="92"/>
      <c r="I773" s="91"/>
      <c r="J773" s="92"/>
      <c r="K773" s="92"/>
      <c r="L773" s="92"/>
      <c r="M773" s="92"/>
    </row>
    <row r="774" spans="1:13">
      <c r="A774" s="134"/>
      <c r="B774" s="135"/>
      <c r="C774" s="92"/>
      <c r="D774" s="92"/>
      <c r="E774" s="92"/>
      <c r="F774" s="92"/>
      <c r="G774" s="92"/>
      <c r="H774" s="92"/>
      <c r="I774" s="91"/>
      <c r="J774" s="92"/>
      <c r="K774" s="92"/>
      <c r="L774" s="92"/>
      <c r="M774" s="92"/>
    </row>
    <row r="775" spans="1:13">
      <c r="A775" s="134"/>
      <c r="B775" s="135"/>
      <c r="C775" s="92"/>
      <c r="D775" s="92"/>
      <c r="E775" s="92"/>
      <c r="F775" s="92"/>
      <c r="G775" s="92"/>
      <c r="H775" s="92"/>
      <c r="I775" s="91"/>
      <c r="J775" s="92"/>
      <c r="K775" s="92"/>
      <c r="L775" s="92"/>
      <c r="M775" s="92"/>
    </row>
    <row r="776" spans="1:13">
      <c r="A776" s="134"/>
      <c r="B776" s="135"/>
      <c r="C776" s="92"/>
      <c r="D776" s="92"/>
      <c r="E776" s="92"/>
      <c r="F776" s="92"/>
      <c r="G776" s="92"/>
      <c r="H776" s="92"/>
      <c r="I776" s="91"/>
      <c r="J776" s="92"/>
      <c r="K776" s="92"/>
      <c r="L776" s="92"/>
      <c r="M776" s="92"/>
    </row>
    <row r="777" spans="1:13">
      <c r="A777" s="134"/>
      <c r="B777" s="135"/>
      <c r="C777" s="92"/>
      <c r="D777" s="92"/>
      <c r="E777" s="92"/>
      <c r="F777" s="92"/>
      <c r="G777" s="92"/>
      <c r="H777" s="92"/>
      <c r="I777" s="91"/>
      <c r="J777" s="92"/>
      <c r="K777" s="92"/>
      <c r="L777" s="92"/>
      <c r="M777" s="92"/>
    </row>
    <row r="778" spans="1:13">
      <c r="A778" s="134"/>
      <c r="B778" s="135"/>
      <c r="C778" s="92"/>
      <c r="D778" s="92"/>
      <c r="E778" s="92"/>
      <c r="F778" s="92"/>
      <c r="G778" s="92"/>
      <c r="H778" s="92"/>
      <c r="I778" s="91"/>
      <c r="J778" s="92"/>
      <c r="K778" s="92"/>
      <c r="L778" s="92"/>
      <c r="M778" s="92"/>
    </row>
    <row r="779" spans="1:13">
      <c r="A779" s="134"/>
      <c r="B779" s="135"/>
      <c r="C779" s="92"/>
      <c r="D779" s="92"/>
      <c r="E779" s="92"/>
      <c r="F779" s="92"/>
      <c r="G779" s="92"/>
      <c r="H779" s="92"/>
      <c r="I779" s="91"/>
      <c r="J779" s="92"/>
      <c r="K779" s="92"/>
      <c r="L779" s="92"/>
      <c r="M779" s="92"/>
    </row>
    <row r="780" spans="1:13">
      <c r="A780" s="134"/>
      <c r="B780" s="135"/>
      <c r="C780" s="92"/>
      <c r="D780" s="92"/>
      <c r="E780" s="92"/>
      <c r="F780" s="92"/>
      <c r="G780" s="92"/>
      <c r="H780" s="92"/>
      <c r="I780" s="91"/>
      <c r="J780" s="92"/>
      <c r="K780" s="92"/>
      <c r="L780" s="92"/>
      <c r="M780" s="92"/>
    </row>
    <row r="781" spans="1:13">
      <c r="A781" s="134"/>
      <c r="B781" s="135"/>
      <c r="C781" s="92"/>
      <c r="D781" s="92"/>
      <c r="E781" s="92"/>
      <c r="F781" s="92"/>
      <c r="G781" s="92"/>
      <c r="H781" s="92"/>
      <c r="I781" s="91"/>
      <c r="J781" s="92"/>
      <c r="K781" s="92"/>
      <c r="L781" s="92"/>
      <c r="M781" s="92"/>
    </row>
    <row r="782" spans="1:13">
      <c r="A782" s="134"/>
      <c r="B782" s="135"/>
      <c r="C782" s="92"/>
      <c r="D782" s="92"/>
      <c r="E782" s="92"/>
      <c r="F782" s="92"/>
      <c r="G782" s="92"/>
      <c r="H782" s="92"/>
      <c r="I782" s="91"/>
      <c r="J782" s="92"/>
      <c r="K782" s="92"/>
      <c r="L782" s="92"/>
      <c r="M782" s="92"/>
    </row>
    <row r="783" spans="1:13">
      <c r="A783" s="134"/>
      <c r="B783" s="135"/>
      <c r="C783" s="92"/>
      <c r="D783" s="92"/>
      <c r="E783" s="92"/>
      <c r="F783" s="92"/>
      <c r="G783" s="92"/>
      <c r="H783" s="92"/>
      <c r="I783" s="91"/>
      <c r="J783" s="92"/>
      <c r="K783" s="92"/>
      <c r="L783" s="92"/>
      <c r="M783" s="92"/>
    </row>
    <row r="784" spans="1:13">
      <c r="A784" s="134"/>
      <c r="B784" s="135"/>
      <c r="C784" s="92"/>
      <c r="D784" s="92"/>
      <c r="E784" s="92"/>
      <c r="F784" s="92"/>
      <c r="G784" s="92"/>
      <c r="H784" s="92"/>
      <c r="I784" s="91"/>
      <c r="J784" s="92"/>
      <c r="K784" s="92"/>
      <c r="L784" s="92"/>
      <c r="M784" s="92"/>
    </row>
    <row r="785" spans="1:13">
      <c r="A785" s="134"/>
      <c r="B785" s="135"/>
      <c r="C785" s="92"/>
      <c r="D785" s="92"/>
      <c r="E785" s="92"/>
      <c r="F785" s="92"/>
      <c r="G785" s="92"/>
      <c r="H785" s="92"/>
      <c r="I785" s="91"/>
      <c r="J785" s="92"/>
      <c r="K785" s="92"/>
      <c r="L785" s="92"/>
      <c r="M785" s="92"/>
    </row>
    <row r="786" spans="1:13">
      <c r="A786" s="134"/>
      <c r="B786" s="135"/>
      <c r="C786" s="92"/>
      <c r="D786" s="92"/>
      <c r="E786" s="92"/>
      <c r="F786" s="92"/>
      <c r="G786" s="92"/>
      <c r="H786" s="92"/>
      <c r="I786" s="91"/>
      <c r="J786" s="92"/>
      <c r="K786" s="92"/>
      <c r="L786" s="92"/>
      <c r="M786" s="92"/>
    </row>
    <row r="787" spans="1:13">
      <c r="A787" s="134"/>
      <c r="B787" s="135"/>
      <c r="C787" s="92"/>
      <c r="D787" s="92"/>
      <c r="E787" s="92"/>
      <c r="F787" s="92"/>
      <c r="G787" s="92"/>
      <c r="H787" s="92"/>
      <c r="I787" s="91"/>
      <c r="J787" s="92"/>
      <c r="K787" s="92"/>
      <c r="L787" s="92"/>
      <c r="M787" s="92"/>
    </row>
    <row r="788" spans="1:13">
      <c r="A788" s="134"/>
      <c r="B788" s="135"/>
      <c r="C788" s="92"/>
      <c r="D788" s="92"/>
      <c r="E788" s="92"/>
      <c r="F788" s="92"/>
      <c r="G788" s="92"/>
      <c r="H788" s="92"/>
      <c r="I788" s="91"/>
      <c r="J788" s="92"/>
      <c r="K788" s="92"/>
      <c r="L788" s="92"/>
      <c r="M788" s="92"/>
    </row>
    <row r="789" spans="1:13">
      <c r="A789" s="134"/>
      <c r="B789" s="135"/>
      <c r="C789" s="92"/>
      <c r="D789" s="92"/>
      <c r="E789" s="92"/>
      <c r="F789" s="92"/>
      <c r="G789" s="92"/>
      <c r="H789" s="92"/>
      <c r="I789" s="91"/>
      <c r="J789" s="92"/>
      <c r="K789" s="92"/>
      <c r="L789" s="92"/>
      <c r="M789" s="92"/>
    </row>
    <row r="790" spans="1:13">
      <c r="A790" s="134"/>
      <c r="B790" s="135"/>
      <c r="C790" s="92"/>
      <c r="D790" s="92"/>
      <c r="E790" s="92"/>
      <c r="F790" s="92"/>
      <c r="G790" s="92"/>
      <c r="H790" s="92"/>
      <c r="I790" s="91"/>
      <c r="J790" s="92"/>
      <c r="K790" s="92"/>
      <c r="L790" s="92"/>
      <c r="M790" s="92"/>
    </row>
    <row r="791" spans="1:13">
      <c r="A791" s="134"/>
      <c r="B791" s="135"/>
      <c r="C791" s="92"/>
      <c r="D791" s="92"/>
      <c r="E791" s="92"/>
      <c r="F791" s="92"/>
      <c r="G791" s="92"/>
      <c r="H791" s="92"/>
      <c r="I791" s="91"/>
      <c r="J791" s="92"/>
      <c r="K791" s="92"/>
      <c r="L791" s="92"/>
      <c r="M791" s="92"/>
    </row>
    <row r="792" spans="1:13">
      <c r="A792" s="134"/>
      <c r="B792" s="135"/>
      <c r="C792" s="92"/>
      <c r="D792" s="92"/>
      <c r="E792" s="92"/>
      <c r="F792" s="92"/>
      <c r="G792" s="92"/>
      <c r="H792" s="92"/>
      <c r="I792" s="91"/>
      <c r="J792" s="92"/>
      <c r="K792" s="92"/>
      <c r="L792" s="92"/>
      <c r="M792" s="92"/>
    </row>
    <row r="793" spans="1:13">
      <c r="A793" s="134"/>
      <c r="B793" s="135"/>
      <c r="C793" s="92"/>
      <c r="D793" s="92"/>
      <c r="E793" s="92"/>
      <c r="F793" s="92"/>
      <c r="G793" s="92"/>
      <c r="H793" s="92"/>
      <c r="I793" s="91"/>
      <c r="J793" s="92"/>
      <c r="K793" s="92"/>
      <c r="L793" s="92"/>
      <c r="M793" s="92"/>
    </row>
    <row r="794" spans="1:13">
      <c r="A794" s="134"/>
      <c r="B794" s="135"/>
      <c r="C794" s="92"/>
      <c r="D794" s="92"/>
      <c r="E794" s="92"/>
      <c r="F794" s="92"/>
      <c r="G794" s="92"/>
      <c r="H794" s="92"/>
      <c r="I794" s="91"/>
      <c r="J794" s="92"/>
      <c r="K794" s="92"/>
      <c r="L794" s="92"/>
      <c r="M794" s="92"/>
    </row>
    <row r="795" spans="1:13">
      <c r="A795" s="134"/>
      <c r="B795" s="135"/>
      <c r="C795" s="92"/>
      <c r="D795" s="92"/>
      <c r="E795" s="92"/>
      <c r="F795" s="92"/>
      <c r="G795" s="92"/>
      <c r="H795" s="92"/>
      <c r="I795" s="91"/>
      <c r="J795" s="92"/>
      <c r="K795" s="92"/>
      <c r="L795" s="92"/>
      <c r="M795" s="92"/>
    </row>
    <row r="796" spans="1:13">
      <c r="A796" s="134"/>
      <c r="B796" s="135"/>
      <c r="C796" s="92"/>
      <c r="D796" s="92"/>
      <c r="E796" s="92"/>
      <c r="F796" s="92"/>
      <c r="G796" s="92"/>
      <c r="H796" s="92"/>
      <c r="I796" s="91"/>
      <c r="J796" s="92"/>
      <c r="K796" s="92"/>
      <c r="L796" s="92"/>
      <c r="M796" s="92"/>
    </row>
    <row r="797" spans="1:13">
      <c r="A797" s="134"/>
      <c r="B797" s="135"/>
      <c r="C797" s="92"/>
      <c r="D797" s="92"/>
      <c r="E797" s="92"/>
      <c r="F797" s="92"/>
      <c r="G797" s="92"/>
      <c r="H797" s="92"/>
      <c r="I797" s="91"/>
      <c r="J797" s="92"/>
      <c r="K797" s="92"/>
      <c r="L797" s="92"/>
      <c r="M797" s="92"/>
    </row>
    <row r="798" spans="1:13">
      <c r="A798" s="134"/>
      <c r="B798" s="135"/>
      <c r="C798" s="92"/>
      <c r="D798" s="92"/>
      <c r="E798" s="92"/>
      <c r="F798" s="92"/>
      <c r="G798" s="92"/>
      <c r="H798" s="92"/>
      <c r="I798" s="91"/>
      <c r="J798" s="92"/>
      <c r="K798" s="92"/>
      <c r="L798" s="92"/>
      <c r="M798" s="92"/>
    </row>
    <row r="799" spans="1:13">
      <c r="A799" s="134"/>
      <c r="B799" s="135"/>
      <c r="C799" s="92"/>
      <c r="D799" s="92"/>
      <c r="E799" s="92"/>
      <c r="F799" s="92"/>
      <c r="G799" s="92"/>
      <c r="H799" s="92"/>
      <c r="I799" s="91"/>
      <c r="J799" s="92"/>
      <c r="K799" s="92"/>
      <c r="L799" s="92"/>
      <c r="M799" s="92"/>
    </row>
    <row r="800" spans="1:13">
      <c r="A800" s="134"/>
      <c r="B800" s="135"/>
      <c r="C800" s="92"/>
      <c r="D800" s="92"/>
      <c r="E800" s="92"/>
      <c r="F800" s="92"/>
      <c r="G800" s="92"/>
      <c r="H800" s="92"/>
      <c r="I800" s="91"/>
      <c r="J800" s="92"/>
      <c r="K800" s="92"/>
      <c r="L800" s="92"/>
      <c r="M800" s="92"/>
    </row>
    <row r="801" spans="1:13">
      <c r="A801" s="134"/>
      <c r="B801" s="135"/>
      <c r="C801" s="92"/>
      <c r="D801" s="92"/>
      <c r="E801" s="92"/>
      <c r="F801" s="92"/>
      <c r="G801" s="92"/>
      <c r="H801" s="92"/>
      <c r="I801" s="91"/>
      <c r="J801" s="92"/>
      <c r="K801" s="92"/>
      <c r="L801" s="92"/>
      <c r="M801" s="92"/>
    </row>
    <row r="802" spans="1:13">
      <c r="A802" s="134"/>
      <c r="B802" s="135"/>
      <c r="C802" s="92"/>
      <c r="D802" s="92"/>
      <c r="E802" s="92"/>
      <c r="F802" s="92"/>
      <c r="G802" s="92"/>
      <c r="H802" s="92"/>
      <c r="I802" s="91"/>
      <c r="J802" s="92"/>
      <c r="K802" s="92"/>
      <c r="L802" s="92"/>
      <c r="M802" s="92"/>
    </row>
    <row r="803" spans="1:13">
      <c r="A803" s="134"/>
      <c r="B803" s="135"/>
      <c r="C803" s="92"/>
      <c r="D803" s="92"/>
      <c r="E803" s="92"/>
      <c r="F803" s="92"/>
      <c r="G803" s="92"/>
      <c r="H803" s="92"/>
      <c r="I803" s="91"/>
      <c r="J803" s="92"/>
      <c r="K803" s="92"/>
      <c r="L803" s="92"/>
      <c r="M803" s="92"/>
    </row>
    <row r="804" spans="1:13">
      <c r="A804" s="134"/>
      <c r="B804" s="135"/>
      <c r="C804" s="92"/>
      <c r="D804" s="92"/>
      <c r="E804" s="92"/>
      <c r="F804" s="92"/>
      <c r="G804" s="92"/>
      <c r="H804" s="92"/>
      <c r="I804" s="91"/>
      <c r="J804" s="92"/>
      <c r="K804" s="92"/>
      <c r="L804" s="92"/>
      <c r="M804" s="92"/>
    </row>
    <row r="805" spans="1:13">
      <c r="A805" s="134"/>
      <c r="B805" s="135"/>
      <c r="C805" s="92"/>
      <c r="D805" s="92"/>
      <c r="E805" s="92"/>
      <c r="F805" s="92"/>
      <c r="G805" s="92"/>
      <c r="H805" s="92"/>
      <c r="I805" s="91"/>
      <c r="J805" s="92"/>
      <c r="K805" s="92"/>
      <c r="L805" s="92"/>
      <c r="M805" s="92"/>
    </row>
    <row r="806" spans="1:13">
      <c r="A806" s="134"/>
      <c r="B806" s="135"/>
      <c r="C806" s="92"/>
      <c r="D806" s="92"/>
      <c r="E806" s="92"/>
      <c r="F806" s="92"/>
      <c r="G806" s="92"/>
      <c r="H806" s="92"/>
      <c r="I806" s="91"/>
      <c r="J806" s="92"/>
      <c r="K806" s="92"/>
      <c r="L806" s="92"/>
      <c r="M806" s="92"/>
    </row>
    <row r="807" spans="1:13">
      <c r="A807" s="134"/>
      <c r="B807" s="135"/>
      <c r="C807" s="92"/>
      <c r="D807" s="92"/>
      <c r="E807" s="92"/>
      <c r="F807" s="92"/>
      <c r="G807" s="92"/>
      <c r="H807" s="92"/>
      <c r="I807" s="91"/>
      <c r="J807" s="92"/>
      <c r="K807" s="92"/>
      <c r="L807" s="92"/>
      <c r="M807" s="92"/>
    </row>
    <row r="808" spans="1:13">
      <c r="A808" s="134"/>
      <c r="B808" s="135"/>
      <c r="C808" s="92"/>
      <c r="D808" s="92"/>
      <c r="E808" s="92"/>
      <c r="F808" s="92"/>
      <c r="G808" s="92"/>
      <c r="H808" s="92"/>
      <c r="I808" s="91"/>
      <c r="J808" s="92"/>
      <c r="K808" s="92"/>
      <c r="L808" s="92"/>
      <c r="M808" s="92"/>
    </row>
    <row r="809" spans="1:13">
      <c r="A809" s="134"/>
      <c r="B809" s="135"/>
      <c r="C809" s="92"/>
      <c r="D809" s="92"/>
      <c r="E809" s="92"/>
      <c r="F809" s="92"/>
      <c r="G809" s="92"/>
      <c r="H809" s="92"/>
      <c r="I809" s="91"/>
      <c r="J809" s="92"/>
      <c r="K809" s="92"/>
      <c r="L809" s="92"/>
      <c r="M809" s="92"/>
    </row>
    <row r="810" spans="1:13">
      <c r="A810" s="134"/>
      <c r="B810" s="135"/>
      <c r="C810" s="92"/>
      <c r="D810" s="92"/>
      <c r="E810" s="92"/>
      <c r="F810" s="92"/>
      <c r="G810" s="92"/>
      <c r="H810" s="92"/>
      <c r="I810" s="91"/>
      <c r="J810" s="92"/>
      <c r="K810" s="92"/>
      <c r="L810" s="92"/>
      <c r="M810" s="92"/>
    </row>
    <row r="811" spans="1:13">
      <c r="A811" s="134"/>
      <c r="B811" s="135"/>
      <c r="C811" s="92"/>
      <c r="D811" s="92"/>
      <c r="E811" s="92"/>
      <c r="F811" s="92"/>
      <c r="G811" s="92"/>
      <c r="H811" s="92"/>
      <c r="I811" s="91"/>
      <c r="J811" s="92"/>
      <c r="K811" s="92"/>
      <c r="L811" s="92"/>
      <c r="M811" s="92"/>
    </row>
    <row r="812" spans="1:13">
      <c r="A812" s="134"/>
      <c r="B812" s="135"/>
      <c r="C812" s="92"/>
      <c r="D812" s="92"/>
      <c r="E812" s="92"/>
      <c r="F812" s="92"/>
      <c r="G812" s="92"/>
      <c r="H812" s="92"/>
      <c r="I812" s="91"/>
      <c r="J812" s="92"/>
      <c r="K812" s="92"/>
      <c r="L812" s="92"/>
      <c r="M812" s="92"/>
    </row>
    <row r="813" spans="1:13">
      <c r="A813" s="134"/>
      <c r="B813" s="135"/>
      <c r="C813" s="92"/>
      <c r="D813" s="92"/>
      <c r="E813" s="92"/>
      <c r="F813" s="92"/>
      <c r="G813" s="92"/>
      <c r="H813" s="92"/>
      <c r="I813" s="91"/>
      <c r="J813" s="92"/>
      <c r="K813" s="92"/>
      <c r="L813" s="92"/>
      <c r="M813" s="92"/>
    </row>
    <row r="814" spans="1:13">
      <c r="A814" s="134"/>
      <c r="B814" s="135"/>
      <c r="C814" s="92"/>
      <c r="D814" s="92"/>
      <c r="E814" s="92"/>
      <c r="F814" s="92"/>
      <c r="G814" s="92"/>
      <c r="H814" s="92"/>
      <c r="I814" s="91"/>
      <c r="J814" s="92"/>
      <c r="K814" s="92"/>
      <c r="L814" s="92"/>
      <c r="M814" s="92"/>
    </row>
    <row r="815" spans="1:13">
      <c r="A815" s="134"/>
      <c r="B815" s="135"/>
      <c r="C815" s="92"/>
      <c r="D815" s="92"/>
      <c r="E815" s="92"/>
      <c r="F815" s="92"/>
      <c r="G815" s="92"/>
      <c r="H815" s="92"/>
      <c r="I815" s="91"/>
      <c r="J815" s="92"/>
      <c r="K815" s="92"/>
      <c r="L815" s="92"/>
      <c r="M815" s="92"/>
    </row>
    <row r="816" spans="1:13">
      <c r="A816" s="134"/>
      <c r="B816" s="135"/>
      <c r="C816" s="92"/>
      <c r="D816" s="92"/>
      <c r="E816" s="92"/>
      <c r="F816" s="92"/>
      <c r="G816" s="92"/>
      <c r="H816" s="92"/>
      <c r="I816" s="91"/>
      <c r="J816" s="92"/>
      <c r="K816" s="92"/>
      <c r="L816" s="92"/>
      <c r="M816" s="92"/>
    </row>
    <row r="817" spans="1:13">
      <c r="A817" s="134"/>
      <c r="B817" s="135"/>
      <c r="C817" s="92"/>
      <c r="D817" s="92"/>
      <c r="E817" s="92"/>
      <c r="F817" s="92"/>
      <c r="G817" s="92"/>
      <c r="H817" s="92"/>
      <c r="I817" s="91"/>
      <c r="J817" s="92"/>
      <c r="K817" s="92"/>
      <c r="L817" s="92"/>
      <c r="M817" s="92"/>
    </row>
    <row r="818" spans="1:13">
      <c r="A818" s="134"/>
      <c r="B818" s="135"/>
      <c r="C818" s="92"/>
      <c r="D818" s="92"/>
      <c r="E818" s="92"/>
      <c r="F818" s="92"/>
      <c r="G818" s="92"/>
      <c r="H818" s="92"/>
      <c r="I818" s="91"/>
      <c r="J818" s="92"/>
      <c r="K818" s="92"/>
      <c r="L818" s="92"/>
      <c r="M818" s="92"/>
    </row>
    <row r="819" spans="1:13">
      <c r="A819" s="134"/>
      <c r="B819" s="135"/>
      <c r="C819" s="92"/>
      <c r="D819" s="92"/>
      <c r="E819" s="92"/>
      <c r="F819" s="92"/>
      <c r="G819" s="92"/>
      <c r="H819" s="92"/>
      <c r="I819" s="91"/>
      <c r="J819" s="92"/>
      <c r="K819" s="92"/>
      <c r="L819" s="92"/>
      <c r="M819" s="92"/>
    </row>
    <row r="820" spans="1:13">
      <c r="A820" s="134"/>
      <c r="B820" s="135"/>
      <c r="C820" s="92"/>
      <c r="D820" s="92"/>
      <c r="E820" s="92"/>
      <c r="F820" s="92"/>
      <c r="G820" s="92"/>
      <c r="H820" s="92"/>
      <c r="I820" s="91"/>
      <c r="J820" s="92"/>
      <c r="K820" s="92"/>
      <c r="L820" s="92"/>
      <c r="M820" s="92"/>
    </row>
    <row r="821" spans="1:13">
      <c r="A821" s="134"/>
      <c r="B821" s="135"/>
      <c r="C821" s="92"/>
      <c r="D821" s="92"/>
      <c r="E821" s="92"/>
      <c r="F821" s="92"/>
      <c r="G821" s="92"/>
      <c r="H821" s="92"/>
      <c r="I821" s="91"/>
      <c r="J821" s="92"/>
      <c r="K821" s="92"/>
      <c r="L821" s="92"/>
      <c r="M821" s="92"/>
    </row>
    <row r="822" spans="1:13">
      <c r="A822" s="134"/>
      <c r="B822" s="135"/>
      <c r="C822" s="92"/>
      <c r="D822" s="92"/>
      <c r="E822" s="92"/>
      <c r="F822" s="92"/>
      <c r="G822" s="92"/>
      <c r="H822" s="92"/>
      <c r="I822" s="91"/>
      <c r="J822" s="92"/>
      <c r="K822" s="92"/>
      <c r="L822" s="92"/>
      <c r="M822" s="92"/>
    </row>
    <row r="823" spans="1:13">
      <c r="A823" s="134"/>
      <c r="B823" s="135"/>
      <c r="C823" s="92"/>
      <c r="D823" s="92"/>
      <c r="E823" s="92"/>
      <c r="F823" s="92"/>
      <c r="G823" s="92"/>
      <c r="H823" s="92"/>
      <c r="I823" s="91"/>
      <c r="J823" s="92"/>
      <c r="K823" s="92"/>
      <c r="L823" s="92"/>
      <c r="M823" s="92"/>
    </row>
    <row r="824" spans="1:13">
      <c r="A824" s="134"/>
      <c r="B824" s="135"/>
      <c r="C824" s="92"/>
      <c r="D824" s="92"/>
      <c r="E824" s="92"/>
      <c r="F824" s="92"/>
      <c r="G824" s="92"/>
      <c r="H824" s="92"/>
      <c r="I824" s="91"/>
      <c r="J824" s="92"/>
      <c r="K824" s="92"/>
      <c r="L824" s="92"/>
      <c r="M824" s="92"/>
    </row>
    <row r="825" spans="1:13">
      <c r="A825" s="134"/>
      <c r="B825" s="135"/>
      <c r="C825" s="92"/>
      <c r="D825" s="92"/>
      <c r="E825" s="92"/>
      <c r="F825" s="92"/>
      <c r="G825" s="92"/>
      <c r="H825" s="92"/>
      <c r="I825" s="91"/>
      <c r="J825" s="92"/>
      <c r="K825" s="92"/>
      <c r="L825" s="92"/>
      <c r="M825" s="92"/>
    </row>
    <row r="826" spans="1:13">
      <c r="A826" s="134"/>
      <c r="B826" s="135"/>
      <c r="C826" s="92"/>
      <c r="D826" s="92"/>
      <c r="E826" s="92"/>
      <c r="F826" s="92"/>
      <c r="G826" s="92"/>
      <c r="H826" s="92"/>
      <c r="I826" s="91"/>
      <c r="J826" s="92"/>
      <c r="K826" s="92"/>
      <c r="L826" s="92"/>
      <c r="M826" s="92"/>
    </row>
    <row r="827" spans="1:13">
      <c r="A827" s="134"/>
      <c r="B827" s="135"/>
      <c r="C827" s="92"/>
      <c r="D827" s="92"/>
      <c r="E827" s="92"/>
      <c r="F827" s="92"/>
      <c r="G827" s="92"/>
      <c r="H827" s="92"/>
      <c r="I827" s="91"/>
      <c r="J827" s="92"/>
      <c r="K827" s="92"/>
      <c r="L827" s="92"/>
      <c r="M827" s="92"/>
    </row>
    <row r="828" spans="1:13">
      <c r="A828" s="134"/>
      <c r="B828" s="135"/>
      <c r="C828" s="92"/>
      <c r="D828" s="92"/>
      <c r="E828" s="92"/>
      <c r="F828" s="92"/>
      <c r="G828" s="92"/>
      <c r="H828" s="92"/>
      <c r="I828" s="91"/>
      <c r="J828" s="92"/>
      <c r="K828" s="92"/>
      <c r="L828" s="92"/>
      <c r="M828" s="92"/>
    </row>
    <row r="829" spans="1:13">
      <c r="A829" s="134"/>
      <c r="B829" s="135"/>
      <c r="C829" s="92"/>
      <c r="D829" s="92"/>
      <c r="E829" s="92"/>
      <c r="F829" s="92"/>
      <c r="G829" s="92"/>
      <c r="H829" s="92"/>
      <c r="I829" s="91"/>
      <c r="J829" s="92"/>
      <c r="K829" s="92"/>
      <c r="L829" s="92"/>
      <c r="M829" s="92"/>
    </row>
    <row r="830" spans="1:13">
      <c r="A830" s="134"/>
      <c r="B830" s="135"/>
      <c r="C830" s="92"/>
      <c r="D830" s="92"/>
      <c r="E830" s="92"/>
      <c r="F830" s="92"/>
      <c r="G830" s="92"/>
      <c r="H830" s="92"/>
      <c r="I830" s="91"/>
      <c r="J830" s="92"/>
      <c r="K830" s="92"/>
      <c r="L830" s="92"/>
      <c r="M830" s="92"/>
    </row>
    <row r="831" spans="1:13">
      <c r="A831" s="134"/>
      <c r="B831" s="135"/>
      <c r="C831" s="92"/>
      <c r="D831" s="92"/>
      <c r="E831" s="92"/>
      <c r="F831" s="92"/>
      <c r="G831" s="92"/>
      <c r="H831" s="92"/>
      <c r="I831" s="91"/>
      <c r="J831" s="92"/>
      <c r="K831" s="92"/>
      <c r="L831" s="92"/>
      <c r="M831" s="92"/>
    </row>
    <row r="832" spans="1:13">
      <c r="A832" s="134"/>
      <c r="B832" s="135"/>
      <c r="C832" s="92"/>
      <c r="D832" s="92"/>
      <c r="E832" s="92"/>
      <c r="F832" s="92"/>
      <c r="G832" s="92"/>
      <c r="H832" s="92"/>
      <c r="I832" s="91"/>
      <c r="J832" s="92"/>
      <c r="K832" s="92"/>
      <c r="L832" s="92"/>
      <c r="M832" s="92"/>
    </row>
    <row r="833" spans="1:13">
      <c r="A833" s="134"/>
      <c r="B833" s="135"/>
      <c r="C833" s="92"/>
      <c r="D833" s="92"/>
      <c r="E833" s="92"/>
      <c r="F833" s="92"/>
      <c r="G833" s="92"/>
      <c r="H833" s="92"/>
      <c r="I833" s="91"/>
      <c r="J833" s="92"/>
      <c r="K833" s="92"/>
      <c r="L833" s="92"/>
      <c r="M833" s="92"/>
    </row>
    <row r="834" spans="1:13">
      <c r="A834" s="134"/>
      <c r="B834" s="135"/>
      <c r="C834" s="92"/>
      <c r="D834" s="92"/>
      <c r="E834" s="92"/>
      <c r="F834" s="92"/>
      <c r="G834" s="92"/>
      <c r="H834" s="92"/>
      <c r="I834" s="91"/>
      <c r="J834" s="92"/>
      <c r="K834" s="92"/>
      <c r="L834" s="92"/>
      <c r="M834" s="92"/>
    </row>
    <row r="835" spans="1:13">
      <c r="A835" s="134"/>
      <c r="B835" s="135"/>
      <c r="C835" s="92"/>
      <c r="D835" s="92"/>
      <c r="E835" s="92"/>
      <c r="F835" s="92"/>
      <c r="G835" s="92"/>
      <c r="H835" s="92"/>
      <c r="I835" s="91"/>
      <c r="J835" s="92"/>
      <c r="K835" s="92"/>
      <c r="L835" s="92"/>
      <c r="M835" s="92"/>
    </row>
    <row r="836" spans="1:13">
      <c r="A836" s="134"/>
      <c r="B836" s="135"/>
      <c r="C836" s="92"/>
      <c r="D836" s="92"/>
      <c r="E836" s="92"/>
      <c r="F836" s="92"/>
      <c r="G836" s="92"/>
      <c r="H836" s="92"/>
      <c r="I836" s="91"/>
      <c r="J836" s="92"/>
      <c r="K836" s="92"/>
      <c r="L836" s="92"/>
      <c r="M836" s="92"/>
    </row>
    <row r="837" spans="1:13">
      <c r="A837" s="134"/>
      <c r="B837" s="135"/>
      <c r="C837" s="92"/>
      <c r="D837" s="92"/>
      <c r="E837" s="92"/>
      <c r="F837" s="92"/>
      <c r="G837" s="92"/>
      <c r="H837" s="92"/>
      <c r="I837" s="91"/>
      <c r="J837" s="92"/>
      <c r="K837" s="92"/>
      <c r="L837" s="92"/>
      <c r="M837" s="92"/>
    </row>
    <row r="838" spans="1:13">
      <c r="A838" s="134"/>
      <c r="B838" s="135"/>
      <c r="C838" s="92"/>
      <c r="D838" s="92"/>
      <c r="E838" s="92"/>
      <c r="F838" s="92"/>
      <c r="G838" s="92"/>
      <c r="H838" s="92"/>
      <c r="I838" s="91"/>
      <c r="J838" s="92"/>
      <c r="K838" s="92"/>
      <c r="L838" s="92"/>
      <c r="M838" s="92"/>
    </row>
    <row r="839" spans="1:13">
      <c r="A839" s="134"/>
      <c r="B839" s="135"/>
      <c r="C839" s="92"/>
      <c r="D839" s="92"/>
      <c r="E839" s="92"/>
      <c r="F839" s="92"/>
      <c r="G839" s="92"/>
      <c r="H839" s="92"/>
      <c r="I839" s="91"/>
      <c r="J839" s="92"/>
      <c r="K839" s="92"/>
      <c r="L839" s="92"/>
      <c r="M839" s="92"/>
    </row>
    <row r="840" spans="1:13">
      <c r="A840" s="134"/>
      <c r="B840" s="135"/>
      <c r="C840" s="92"/>
      <c r="D840" s="92"/>
      <c r="E840" s="92"/>
      <c r="F840" s="92"/>
      <c r="G840" s="92"/>
      <c r="H840" s="92"/>
      <c r="I840" s="91"/>
      <c r="J840" s="92"/>
      <c r="K840" s="92"/>
      <c r="L840" s="92"/>
      <c r="M840" s="92"/>
    </row>
    <row r="841" spans="1:13">
      <c r="A841" s="134"/>
      <c r="B841" s="135"/>
      <c r="C841" s="92"/>
      <c r="D841" s="92"/>
      <c r="E841" s="92"/>
      <c r="F841" s="92"/>
      <c r="G841" s="92"/>
      <c r="H841" s="92"/>
      <c r="I841" s="91"/>
      <c r="J841" s="92"/>
      <c r="K841" s="92"/>
      <c r="L841" s="92"/>
      <c r="M841" s="92"/>
    </row>
    <row r="842" spans="1:13">
      <c r="A842" s="134"/>
      <c r="B842" s="135"/>
      <c r="C842" s="92"/>
      <c r="D842" s="92"/>
      <c r="E842" s="92"/>
      <c r="F842" s="92"/>
      <c r="G842" s="92"/>
      <c r="H842" s="92"/>
      <c r="I842" s="91"/>
      <c r="J842" s="92"/>
      <c r="K842" s="92"/>
      <c r="L842" s="92"/>
      <c r="M842" s="92"/>
    </row>
    <row r="843" spans="1:13">
      <c r="A843" s="134"/>
      <c r="B843" s="135"/>
      <c r="C843" s="92"/>
      <c r="D843" s="92"/>
      <c r="E843" s="92"/>
      <c r="F843" s="92"/>
      <c r="G843" s="92"/>
      <c r="H843" s="92"/>
      <c r="I843" s="91"/>
      <c r="J843" s="92"/>
      <c r="K843" s="92"/>
      <c r="L843" s="92"/>
      <c r="M843" s="92"/>
    </row>
    <row r="844" spans="1:13">
      <c r="A844" s="134"/>
      <c r="B844" s="135"/>
      <c r="C844" s="92"/>
      <c r="D844" s="92"/>
      <c r="E844" s="92"/>
      <c r="F844" s="92"/>
      <c r="G844" s="92"/>
      <c r="H844" s="92"/>
      <c r="I844" s="91"/>
      <c r="J844" s="92"/>
      <c r="K844" s="92"/>
      <c r="L844" s="92"/>
      <c r="M844" s="92"/>
    </row>
    <row r="845" spans="1:13">
      <c r="A845" s="134"/>
      <c r="B845" s="135"/>
      <c r="C845" s="92"/>
      <c r="D845" s="92"/>
      <c r="E845" s="92"/>
      <c r="F845" s="92"/>
      <c r="G845" s="92"/>
      <c r="H845" s="92"/>
      <c r="I845" s="91"/>
      <c r="J845" s="92"/>
      <c r="K845" s="92"/>
      <c r="L845" s="92"/>
      <c r="M845" s="92"/>
    </row>
    <row r="846" spans="1:13">
      <c r="A846" s="134"/>
      <c r="B846" s="135"/>
      <c r="C846" s="92"/>
      <c r="D846" s="92"/>
      <c r="E846" s="92"/>
      <c r="F846" s="92"/>
      <c r="G846" s="92"/>
      <c r="H846" s="92"/>
      <c r="I846" s="91"/>
      <c r="J846" s="92"/>
      <c r="K846" s="92"/>
      <c r="L846" s="92"/>
      <c r="M846" s="92"/>
    </row>
    <row r="847" spans="1:13">
      <c r="A847" s="134"/>
      <c r="B847" s="135"/>
      <c r="C847" s="92"/>
      <c r="D847" s="92"/>
      <c r="E847" s="92"/>
      <c r="F847" s="92"/>
      <c r="G847" s="92"/>
      <c r="H847" s="92"/>
      <c r="I847" s="91"/>
      <c r="J847" s="92"/>
      <c r="K847" s="92"/>
      <c r="L847" s="92"/>
      <c r="M847" s="92"/>
    </row>
    <row r="848" spans="1:13">
      <c r="A848" s="134"/>
      <c r="B848" s="135"/>
      <c r="C848" s="92"/>
      <c r="D848" s="92"/>
      <c r="E848" s="92"/>
      <c r="F848" s="92"/>
      <c r="G848" s="92"/>
      <c r="H848" s="92"/>
      <c r="I848" s="91"/>
      <c r="J848" s="92"/>
      <c r="K848" s="92"/>
      <c r="L848" s="92"/>
      <c r="M848" s="92"/>
    </row>
    <row r="849" spans="1:13">
      <c r="A849" s="134"/>
      <c r="B849" s="135"/>
      <c r="C849" s="92"/>
      <c r="D849" s="92"/>
      <c r="E849" s="92"/>
      <c r="F849" s="92"/>
      <c r="G849" s="92"/>
      <c r="H849" s="92"/>
      <c r="I849" s="91"/>
      <c r="J849" s="92"/>
      <c r="K849" s="92"/>
      <c r="L849" s="92"/>
      <c r="M849" s="92"/>
    </row>
    <row r="850" spans="1:13">
      <c r="A850" s="134"/>
      <c r="B850" s="135"/>
      <c r="C850" s="92"/>
      <c r="D850" s="92"/>
      <c r="E850" s="92"/>
      <c r="F850" s="92"/>
      <c r="G850" s="92"/>
      <c r="H850" s="92"/>
      <c r="I850" s="91"/>
      <c r="J850" s="92"/>
      <c r="K850" s="92"/>
      <c r="L850" s="92"/>
      <c r="M850" s="92"/>
    </row>
    <row r="851" spans="1:13">
      <c r="A851" s="134"/>
      <c r="B851" s="135"/>
      <c r="C851" s="92"/>
      <c r="D851" s="92"/>
      <c r="E851" s="92"/>
      <c r="F851" s="92"/>
      <c r="G851" s="92"/>
      <c r="H851" s="92"/>
      <c r="I851" s="91"/>
      <c r="J851" s="92"/>
      <c r="K851" s="92"/>
      <c r="L851" s="92"/>
      <c r="M851" s="92"/>
    </row>
    <row r="852" spans="1:13">
      <c r="A852" s="134"/>
      <c r="B852" s="135"/>
      <c r="C852" s="92"/>
      <c r="D852" s="92"/>
      <c r="E852" s="92"/>
      <c r="F852" s="92"/>
      <c r="G852" s="92"/>
      <c r="H852" s="92"/>
      <c r="I852" s="91"/>
      <c r="J852" s="92"/>
      <c r="K852" s="92"/>
      <c r="L852" s="92"/>
      <c r="M852" s="92"/>
    </row>
    <row r="853" spans="1:13">
      <c r="A853" s="134"/>
      <c r="B853" s="135"/>
      <c r="C853" s="92"/>
      <c r="D853" s="92"/>
      <c r="E853" s="92"/>
      <c r="F853" s="92"/>
      <c r="G853" s="92"/>
      <c r="H853" s="92"/>
      <c r="I853" s="91"/>
      <c r="J853" s="92"/>
      <c r="K853" s="92"/>
      <c r="L853" s="92"/>
      <c r="M853" s="92"/>
    </row>
    <row r="854" spans="1:13">
      <c r="A854" s="134"/>
      <c r="B854" s="135"/>
      <c r="C854" s="92"/>
      <c r="D854" s="92"/>
      <c r="E854" s="92"/>
      <c r="F854" s="92"/>
      <c r="G854" s="92"/>
      <c r="H854" s="92"/>
      <c r="I854" s="91"/>
      <c r="J854" s="92"/>
      <c r="K854" s="92"/>
      <c r="L854" s="92"/>
      <c r="M854" s="92"/>
    </row>
    <row r="855" spans="1:13">
      <c r="A855" s="134"/>
      <c r="B855" s="135"/>
      <c r="C855" s="92"/>
      <c r="D855" s="92"/>
      <c r="E855" s="92"/>
      <c r="F855" s="92"/>
      <c r="G855" s="92"/>
      <c r="H855" s="92"/>
      <c r="I855" s="91"/>
      <c r="J855" s="92"/>
      <c r="K855" s="92"/>
      <c r="L855" s="92"/>
      <c r="M855" s="92"/>
    </row>
    <row r="856" spans="1:13">
      <c r="A856" s="134"/>
      <c r="B856" s="135"/>
      <c r="C856" s="92"/>
      <c r="D856" s="92"/>
      <c r="E856" s="92"/>
      <c r="F856" s="92"/>
      <c r="G856" s="92"/>
      <c r="H856" s="92"/>
      <c r="I856" s="91"/>
      <c r="J856" s="92"/>
      <c r="K856" s="92"/>
      <c r="L856" s="92"/>
      <c r="M856" s="92"/>
    </row>
    <row r="857" spans="1:13">
      <c r="A857" s="134"/>
      <c r="B857" s="135"/>
      <c r="C857" s="92"/>
      <c r="D857" s="92"/>
      <c r="E857" s="92"/>
      <c r="F857" s="92"/>
      <c r="G857" s="92"/>
      <c r="H857" s="92"/>
      <c r="I857" s="91"/>
      <c r="J857" s="92"/>
      <c r="K857" s="92"/>
      <c r="L857" s="92"/>
      <c r="M857" s="92"/>
    </row>
    <row r="858" spans="1:13">
      <c r="A858" s="134"/>
      <c r="B858" s="135"/>
      <c r="C858" s="92"/>
      <c r="D858" s="92"/>
      <c r="E858" s="92"/>
      <c r="F858" s="92"/>
      <c r="G858" s="92"/>
      <c r="H858" s="92"/>
      <c r="I858" s="91"/>
      <c r="J858" s="92"/>
      <c r="K858" s="92"/>
      <c r="L858" s="92"/>
      <c r="M858" s="92"/>
    </row>
    <row r="859" spans="1:13">
      <c r="A859" s="134"/>
      <c r="B859" s="135"/>
      <c r="C859" s="92"/>
      <c r="D859" s="92"/>
      <c r="E859" s="92"/>
      <c r="F859" s="92"/>
      <c r="G859" s="92"/>
      <c r="H859" s="92"/>
      <c r="I859" s="91"/>
      <c r="J859" s="92"/>
      <c r="K859" s="92"/>
      <c r="L859" s="92"/>
      <c r="M859" s="92"/>
    </row>
    <row r="860" spans="1:13">
      <c r="A860" s="134"/>
      <c r="B860" s="135"/>
      <c r="C860" s="92"/>
      <c r="D860" s="92"/>
      <c r="E860" s="92"/>
      <c r="F860" s="92"/>
      <c r="G860" s="92"/>
      <c r="H860" s="92"/>
      <c r="I860" s="91"/>
      <c r="J860" s="92"/>
      <c r="K860" s="92"/>
      <c r="L860" s="92"/>
      <c r="M860" s="92"/>
    </row>
    <row r="861" spans="1:13">
      <c r="A861" s="134"/>
      <c r="B861" s="135"/>
      <c r="C861" s="92"/>
      <c r="D861" s="92"/>
      <c r="E861" s="92"/>
      <c r="F861" s="92"/>
      <c r="G861" s="92"/>
      <c r="H861" s="92"/>
      <c r="I861" s="91"/>
      <c r="J861" s="92"/>
      <c r="K861" s="92"/>
      <c r="L861" s="92"/>
      <c r="M861" s="92"/>
    </row>
    <row r="862" spans="1:13">
      <c r="A862" s="134"/>
      <c r="B862" s="135"/>
      <c r="C862" s="92"/>
      <c r="D862" s="92"/>
      <c r="E862" s="92"/>
      <c r="F862" s="92"/>
      <c r="G862" s="92"/>
      <c r="H862" s="92"/>
      <c r="I862" s="91"/>
      <c r="J862" s="92"/>
      <c r="K862" s="92"/>
      <c r="L862" s="92"/>
      <c r="M862" s="92"/>
    </row>
    <row r="863" spans="1:13">
      <c r="A863" s="134"/>
      <c r="B863" s="135"/>
      <c r="C863" s="92"/>
      <c r="D863" s="92"/>
      <c r="E863" s="92"/>
      <c r="F863" s="92"/>
      <c r="G863" s="92"/>
      <c r="H863" s="92"/>
      <c r="I863" s="91"/>
      <c r="J863" s="92"/>
      <c r="K863" s="92"/>
      <c r="L863" s="92"/>
      <c r="M863" s="92"/>
    </row>
    <row r="864" spans="1:13">
      <c r="A864" s="134"/>
      <c r="B864" s="135"/>
      <c r="C864" s="92"/>
      <c r="D864" s="92"/>
      <c r="E864" s="92"/>
      <c r="F864" s="92"/>
      <c r="G864" s="92"/>
      <c r="H864" s="92"/>
      <c r="I864" s="91"/>
      <c r="J864" s="92"/>
      <c r="K864" s="92"/>
      <c r="L864" s="92"/>
      <c r="M864" s="92"/>
    </row>
    <row r="865" spans="1:13">
      <c r="A865" s="134"/>
      <c r="B865" s="135"/>
      <c r="C865" s="92"/>
      <c r="D865" s="92"/>
      <c r="E865" s="92"/>
      <c r="F865" s="92"/>
      <c r="G865" s="92"/>
      <c r="H865" s="92"/>
      <c r="I865" s="91"/>
      <c r="J865" s="92"/>
      <c r="K865" s="92"/>
      <c r="L865" s="92"/>
      <c r="M865" s="92"/>
    </row>
    <row r="866" spans="1:13">
      <c r="A866" s="134"/>
      <c r="B866" s="135"/>
      <c r="C866" s="92"/>
      <c r="D866" s="92"/>
      <c r="E866" s="92"/>
      <c r="F866" s="92"/>
      <c r="G866" s="92"/>
      <c r="H866" s="92"/>
      <c r="I866" s="91"/>
      <c r="J866" s="92"/>
      <c r="K866" s="92"/>
      <c r="L866" s="92"/>
      <c r="M866" s="92"/>
    </row>
    <row r="867" spans="1:13">
      <c r="A867" s="134"/>
      <c r="B867" s="135"/>
      <c r="C867" s="92"/>
      <c r="D867" s="92"/>
      <c r="E867" s="92"/>
      <c r="F867" s="92"/>
      <c r="G867" s="92"/>
      <c r="H867" s="92"/>
      <c r="I867" s="91"/>
      <c r="J867" s="92"/>
      <c r="K867" s="92"/>
      <c r="L867" s="92"/>
      <c r="M867" s="92"/>
    </row>
    <row r="868" spans="1:13">
      <c r="A868" s="134"/>
      <c r="B868" s="135"/>
      <c r="C868" s="92"/>
      <c r="D868" s="92"/>
      <c r="E868" s="92"/>
      <c r="F868" s="92"/>
      <c r="G868" s="92"/>
      <c r="H868" s="92"/>
      <c r="I868" s="91"/>
      <c r="J868" s="92"/>
      <c r="K868" s="92"/>
      <c r="L868" s="92"/>
      <c r="M868" s="92"/>
    </row>
    <row r="869" spans="1:13">
      <c r="A869" s="134"/>
      <c r="B869" s="135"/>
      <c r="C869" s="92"/>
      <c r="D869" s="92"/>
      <c r="E869" s="92"/>
      <c r="F869" s="92"/>
      <c r="G869" s="92"/>
      <c r="H869" s="92"/>
      <c r="I869" s="91"/>
      <c r="J869" s="92"/>
      <c r="K869" s="92"/>
      <c r="L869" s="92"/>
      <c r="M869" s="92"/>
    </row>
    <row r="870" spans="1:13">
      <c r="A870" s="134"/>
      <c r="B870" s="135"/>
      <c r="C870" s="92"/>
      <c r="D870" s="92"/>
      <c r="E870" s="92"/>
      <c r="F870" s="92"/>
      <c r="G870" s="92"/>
      <c r="H870" s="92"/>
      <c r="I870" s="91"/>
      <c r="J870" s="92"/>
      <c r="K870" s="92"/>
      <c r="L870" s="92"/>
      <c r="M870" s="92"/>
    </row>
    <row r="871" spans="1:13">
      <c r="A871" s="134"/>
      <c r="B871" s="135"/>
      <c r="C871" s="92"/>
      <c r="D871" s="92"/>
      <c r="E871" s="92"/>
      <c r="F871" s="92"/>
      <c r="G871" s="92"/>
      <c r="H871" s="92"/>
      <c r="I871" s="91"/>
      <c r="J871" s="92"/>
      <c r="K871" s="92"/>
      <c r="L871" s="92"/>
      <c r="M871" s="92"/>
    </row>
    <row r="872" spans="1:13">
      <c r="A872" s="134"/>
      <c r="B872" s="135"/>
      <c r="C872" s="92"/>
      <c r="D872" s="92"/>
      <c r="E872" s="92"/>
      <c r="F872" s="92"/>
      <c r="G872" s="92"/>
      <c r="H872" s="92"/>
      <c r="I872" s="91"/>
      <c r="J872" s="92"/>
      <c r="K872" s="92"/>
      <c r="L872" s="92"/>
      <c r="M872" s="92"/>
    </row>
    <row r="873" spans="1:13">
      <c r="A873" s="134"/>
      <c r="B873" s="135"/>
      <c r="C873" s="92"/>
      <c r="D873" s="92"/>
      <c r="E873" s="92"/>
      <c r="F873" s="92"/>
      <c r="G873" s="92"/>
      <c r="H873" s="92"/>
      <c r="I873" s="91"/>
      <c r="J873" s="92"/>
      <c r="K873" s="92"/>
      <c r="L873" s="92"/>
      <c r="M873" s="92"/>
    </row>
    <row r="874" spans="1:13">
      <c r="A874" s="134"/>
      <c r="B874" s="135"/>
      <c r="C874" s="92"/>
      <c r="D874" s="92"/>
      <c r="E874" s="92"/>
      <c r="F874" s="92"/>
      <c r="G874" s="92"/>
      <c r="H874" s="92"/>
      <c r="I874" s="91"/>
      <c r="J874" s="92"/>
      <c r="K874" s="92"/>
      <c r="L874" s="92"/>
      <c r="M874" s="92"/>
    </row>
    <row r="875" spans="1:13">
      <c r="A875" s="134"/>
      <c r="B875" s="135"/>
      <c r="C875" s="92"/>
      <c r="D875" s="92"/>
      <c r="E875" s="92"/>
      <c r="F875" s="92"/>
      <c r="G875" s="92"/>
      <c r="H875" s="92"/>
      <c r="I875" s="91"/>
      <c r="J875" s="92"/>
      <c r="K875" s="92"/>
      <c r="L875" s="92"/>
      <c r="M875" s="92"/>
    </row>
    <row r="876" spans="1:13">
      <c r="A876" s="134"/>
      <c r="B876" s="135"/>
      <c r="C876" s="92"/>
      <c r="D876" s="92"/>
      <c r="E876" s="92"/>
      <c r="F876" s="92"/>
      <c r="G876" s="92"/>
      <c r="H876" s="92"/>
      <c r="I876" s="91"/>
      <c r="J876" s="92"/>
      <c r="K876" s="92"/>
      <c r="L876" s="92"/>
      <c r="M876" s="92"/>
    </row>
    <row r="877" spans="1:13">
      <c r="A877" s="134"/>
      <c r="B877" s="135"/>
      <c r="C877" s="92"/>
      <c r="D877" s="92"/>
      <c r="E877" s="92"/>
      <c r="F877" s="92"/>
      <c r="G877" s="92"/>
      <c r="H877" s="92"/>
      <c r="I877" s="91"/>
      <c r="J877" s="92"/>
      <c r="K877" s="92"/>
      <c r="L877" s="92"/>
      <c r="M877" s="92"/>
    </row>
    <row r="878" spans="1:13">
      <c r="A878" s="134"/>
      <c r="B878" s="135"/>
      <c r="C878" s="92"/>
      <c r="D878" s="92"/>
      <c r="E878" s="92"/>
      <c r="F878" s="92"/>
      <c r="G878" s="92"/>
      <c r="H878" s="92"/>
      <c r="I878" s="91"/>
      <c r="J878" s="92"/>
      <c r="K878" s="92"/>
      <c r="L878" s="92"/>
      <c r="M878" s="92"/>
    </row>
    <row r="879" spans="1:13">
      <c r="A879" s="134"/>
      <c r="B879" s="135"/>
      <c r="C879" s="92"/>
      <c r="D879" s="92"/>
      <c r="E879" s="92"/>
      <c r="F879" s="92"/>
      <c r="G879" s="92"/>
      <c r="H879" s="92"/>
      <c r="I879" s="91"/>
      <c r="J879" s="92"/>
      <c r="K879" s="92"/>
      <c r="L879" s="92"/>
      <c r="M879" s="92"/>
    </row>
    <row r="880" spans="1:13">
      <c r="A880" s="134"/>
      <c r="B880" s="135"/>
      <c r="C880" s="92"/>
      <c r="D880" s="92"/>
      <c r="E880" s="92"/>
      <c r="F880" s="92"/>
      <c r="G880" s="92"/>
      <c r="H880" s="92"/>
      <c r="I880" s="91"/>
      <c r="J880" s="92"/>
      <c r="K880" s="92"/>
      <c r="L880" s="92"/>
      <c r="M880" s="92"/>
    </row>
    <row r="881" spans="1:13">
      <c r="A881" s="134"/>
      <c r="B881" s="135"/>
      <c r="C881" s="92"/>
      <c r="D881" s="92"/>
      <c r="E881" s="92"/>
      <c r="F881" s="92"/>
      <c r="G881" s="92"/>
      <c r="H881" s="92"/>
      <c r="I881" s="91"/>
      <c r="J881" s="92"/>
      <c r="K881" s="92"/>
      <c r="L881" s="92"/>
      <c r="M881" s="92"/>
    </row>
    <row r="882" spans="1:13">
      <c r="A882" s="134"/>
      <c r="B882" s="135"/>
      <c r="C882" s="92"/>
      <c r="D882" s="92"/>
      <c r="E882" s="92"/>
      <c r="F882" s="92"/>
      <c r="G882" s="92"/>
      <c r="H882" s="92"/>
      <c r="I882" s="91"/>
      <c r="J882" s="92"/>
      <c r="K882" s="92"/>
      <c r="L882" s="92"/>
      <c r="M882" s="92"/>
    </row>
    <row r="883" spans="1:13">
      <c r="A883" s="134"/>
      <c r="B883" s="135"/>
      <c r="C883" s="92"/>
      <c r="D883" s="92"/>
      <c r="E883" s="92"/>
      <c r="F883" s="92"/>
      <c r="G883" s="92"/>
      <c r="H883" s="92"/>
      <c r="I883" s="91"/>
      <c r="J883" s="92"/>
      <c r="K883" s="92"/>
      <c r="L883" s="92"/>
      <c r="M883" s="92"/>
    </row>
    <row r="884" spans="1:13">
      <c r="A884" s="134"/>
      <c r="B884" s="135"/>
      <c r="C884" s="92"/>
      <c r="D884" s="92"/>
      <c r="E884" s="92"/>
      <c r="F884" s="92"/>
      <c r="G884" s="92"/>
      <c r="H884" s="92"/>
      <c r="I884" s="91"/>
      <c r="J884" s="92"/>
      <c r="K884" s="92"/>
      <c r="L884" s="92"/>
      <c r="M884" s="92"/>
    </row>
    <row r="885" spans="1:13">
      <c r="A885" s="134"/>
      <c r="B885" s="135"/>
      <c r="C885" s="92"/>
      <c r="D885" s="92"/>
      <c r="E885" s="92"/>
      <c r="F885" s="92"/>
      <c r="G885" s="92"/>
      <c r="H885" s="92"/>
      <c r="I885" s="91"/>
      <c r="J885" s="92"/>
      <c r="K885" s="92"/>
      <c r="L885" s="92"/>
      <c r="M885" s="92"/>
    </row>
    <row r="886" spans="1:13">
      <c r="A886" s="134"/>
      <c r="B886" s="135"/>
      <c r="C886" s="92"/>
      <c r="D886" s="92"/>
      <c r="E886" s="92"/>
      <c r="F886" s="92"/>
      <c r="G886" s="92"/>
      <c r="H886" s="92"/>
      <c r="I886" s="91"/>
      <c r="J886" s="92"/>
      <c r="K886" s="92"/>
      <c r="L886" s="92"/>
      <c r="M886" s="92"/>
    </row>
    <row r="887" spans="1:13">
      <c r="A887" s="134"/>
      <c r="B887" s="135"/>
      <c r="C887" s="92"/>
      <c r="D887" s="92"/>
      <c r="E887" s="92"/>
      <c r="F887" s="92"/>
      <c r="G887" s="92"/>
      <c r="H887" s="92"/>
      <c r="I887" s="91"/>
      <c r="J887" s="92"/>
      <c r="K887" s="92"/>
      <c r="L887" s="92"/>
      <c r="M887" s="92"/>
    </row>
    <row r="888" spans="1:13">
      <c r="A888" s="134"/>
      <c r="B888" s="135"/>
      <c r="C888" s="92"/>
      <c r="D888" s="92"/>
      <c r="E888" s="92"/>
      <c r="F888" s="92"/>
      <c r="G888" s="92"/>
      <c r="H888" s="92"/>
      <c r="I888" s="91"/>
      <c r="J888" s="92"/>
      <c r="K888" s="92"/>
      <c r="L888" s="92"/>
      <c r="M888" s="92"/>
    </row>
    <row r="889" spans="1:13">
      <c r="A889" s="134"/>
      <c r="B889" s="135"/>
      <c r="C889" s="92"/>
      <c r="D889" s="92"/>
      <c r="E889" s="92"/>
      <c r="F889" s="92"/>
      <c r="G889" s="92"/>
      <c r="H889" s="92"/>
      <c r="I889" s="91"/>
      <c r="J889" s="92"/>
      <c r="K889" s="92"/>
      <c r="L889" s="92"/>
      <c r="M889" s="92"/>
    </row>
    <row r="890" spans="1:13">
      <c r="A890" s="134"/>
      <c r="B890" s="135"/>
      <c r="C890" s="92"/>
      <c r="D890" s="92"/>
      <c r="E890" s="92"/>
      <c r="F890" s="92"/>
      <c r="G890" s="92"/>
      <c r="H890" s="92"/>
      <c r="I890" s="91"/>
      <c r="J890" s="92"/>
      <c r="K890" s="92"/>
      <c r="L890" s="92"/>
      <c r="M890" s="92"/>
    </row>
    <row r="891" spans="1:13">
      <c r="A891" s="134"/>
      <c r="B891" s="135"/>
      <c r="C891" s="92"/>
      <c r="D891" s="92"/>
      <c r="E891" s="92"/>
      <c r="F891" s="92"/>
      <c r="G891" s="92"/>
      <c r="H891" s="92"/>
      <c r="I891" s="91"/>
      <c r="J891" s="92"/>
      <c r="K891" s="92"/>
      <c r="L891" s="92"/>
      <c r="M891" s="92"/>
    </row>
    <row r="892" spans="1:13">
      <c r="A892" s="134"/>
      <c r="B892" s="135"/>
      <c r="C892" s="92"/>
      <c r="D892" s="92"/>
      <c r="E892" s="92"/>
      <c r="F892" s="92"/>
      <c r="G892" s="92"/>
      <c r="H892" s="92"/>
      <c r="I892" s="91"/>
      <c r="J892" s="92"/>
      <c r="K892" s="92"/>
      <c r="L892" s="92"/>
      <c r="M892" s="92"/>
    </row>
    <row r="893" spans="1:13">
      <c r="A893" s="134"/>
      <c r="B893" s="135"/>
      <c r="C893" s="92"/>
      <c r="D893" s="92"/>
      <c r="E893" s="92"/>
      <c r="F893" s="92"/>
      <c r="G893" s="92"/>
      <c r="H893" s="92"/>
      <c r="I893" s="91"/>
      <c r="J893" s="92"/>
      <c r="K893" s="92"/>
      <c r="L893" s="92"/>
      <c r="M893" s="92"/>
    </row>
    <row r="894" spans="1:13">
      <c r="A894" s="134"/>
      <c r="B894" s="135"/>
      <c r="C894" s="92"/>
      <c r="D894" s="92"/>
      <c r="E894" s="92"/>
      <c r="F894" s="92"/>
      <c r="G894" s="92"/>
      <c r="H894" s="92"/>
      <c r="I894" s="91"/>
      <c r="J894" s="92"/>
      <c r="K894" s="92"/>
      <c r="L894" s="92"/>
      <c r="M894" s="92"/>
    </row>
    <row r="895" spans="1:13">
      <c r="A895" s="134"/>
      <c r="B895" s="135"/>
      <c r="C895" s="92"/>
      <c r="D895" s="92"/>
      <c r="E895" s="92"/>
      <c r="F895" s="92"/>
      <c r="G895" s="92"/>
      <c r="H895" s="92"/>
      <c r="I895" s="91"/>
      <c r="J895" s="92"/>
      <c r="K895" s="92"/>
      <c r="L895" s="92"/>
      <c r="M895" s="92"/>
    </row>
    <row r="896" spans="1:13">
      <c r="A896" s="134"/>
      <c r="B896" s="135"/>
      <c r="C896" s="92"/>
      <c r="D896" s="92"/>
      <c r="E896" s="92"/>
      <c r="F896" s="92"/>
      <c r="G896" s="92"/>
      <c r="H896" s="92"/>
      <c r="I896" s="91"/>
      <c r="J896" s="92"/>
      <c r="K896" s="92"/>
      <c r="L896" s="92"/>
      <c r="M896" s="92"/>
    </row>
    <row r="897" spans="1:13">
      <c r="A897" s="134"/>
      <c r="B897" s="135"/>
      <c r="C897" s="92"/>
      <c r="D897" s="92"/>
      <c r="E897" s="92"/>
      <c r="F897" s="92"/>
      <c r="G897" s="92"/>
      <c r="H897" s="92"/>
      <c r="I897" s="91"/>
      <c r="J897" s="92"/>
      <c r="K897" s="92"/>
      <c r="L897" s="92"/>
      <c r="M897" s="92"/>
    </row>
    <row r="898" spans="1:13">
      <c r="A898" s="134"/>
      <c r="B898" s="135"/>
      <c r="C898" s="92"/>
      <c r="D898" s="92"/>
      <c r="E898" s="92"/>
      <c r="F898" s="92"/>
      <c r="G898" s="92"/>
      <c r="H898" s="92"/>
      <c r="I898" s="91"/>
      <c r="J898" s="92"/>
      <c r="K898" s="92"/>
      <c r="L898" s="92"/>
      <c r="M898" s="92"/>
    </row>
    <row r="899" spans="1:13">
      <c r="A899" s="134"/>
      <c r="B899" s="135"/>
      <c r="C899" s="92"/>
      <c r="D899" s="92"/>
      <c r="E899" s="92"/>
      <c r="F899" s="92"/>
      <c r="G899" s="92"/>
      <c r="H899" s="92"/>
      <c r="I899" s="91"/>
      <c r="J899" s="92"/>
      <c r="K899" s="92"/>
      <c r="L899" s="92"/>
      <c r="M899" s="92"/>
    </row>
    <row r="900" spans="1:13">
      <c r="A900" s="134"/>
      <c r="B900" s="135"/>
      <c r="C900" s="92"/>
      <c r="D900" s="92"/>
      <c r="E900" s="92"/>
      <c r="F900" s="92"/>
      <c r="G900" s="92"/>
      <c r="H900" s="92"/>
      <c r="I900" s="91"/>
      <c r="J900" s="92"/>
      <c r="K900" s="92"/>
      <c r="L900" s="92"/>
      <c r="M900" s="92"/>
    </row>
    <row r="901" spans="1:13">
      <c r="A901" s="134"/>
      <c r="B901" s="135"/>
      <c r="C901" s="92"/>
      <c r="D901" s="92"/>
      <c r="E901" s="92"/>
      <c r="F901" s="92"/>
      <c r="G901" s="92"/>
      <c r="H901" s="92"/>
      <c r="I901" s="91"/>
      <c r="J901" s="92"/>
      <c r="K901" s="92"/>
      <c r="L901" s="92"/>
      <c r="M901" s="92"/>
    </row>
    <row r="902" spans="1:13">
      <c r="A902" s="134"/>
      <c r="B902" s="135"/>
      <c r="C902" s="92"/>
      <c r="D902" s="92"/>
      <c r="E902" s="92"/>
      <c r="F902" s="92"/>
      <c r="G902" s="92"/>
      <c r="H902" s="92"/>
      <c r="I902" s="91"/>
      <c r="J902" s="92"/>
      <c r="K902" s="92"/>
      <c r="L902" s="92"/>
      <c r="M902" s="92"/>
    </row>
    <row r="903" spans="1:13">
      <c r="A903" s="134"/>
      <c r="B903" s="135"/>
      <c r="C903" s="92"/>
      <c r="D903" s="92"/>
      <c r="E903" s="92"/>
      <c r="F903" s="92"/>
      <c r="G903" s="92"/>
      <c r="H903" s="92"/>
      <c r="I903" s="91"/>
      <c r="J903" s="92"/>
      <c r="K903" s="92"/>
      <c r="L903" s="92"/>
      <c r="M903" s="92"/>
    </row>
    <row r="904" spans="1:13">
      <c r="A904" s="134"/>
      <c r="B904" s="135"/>
      <c r="C904" s="92"/>
      <c r="D904" s="92"/>
      <c r="E904" s="92"/>
      <c r="F904" s="92"/>
      <c r="G904" s="92"/>
      <c r="H904" s="92"/>
      <c r="I904" s="91"/>
      <c r="J904" s="92"/>
      <c r="K904" s="92"/>
      <c r="L904" s="92"/>
      <c r="M904" s="92"/>
    </row>
    <row r="905" spans="1:13">
      <c r="A905" s="134"/>
      <c r="B905" s="135"/>
      <c r="C905" s="92"/>
      <c r="D905" s="92"/>
      <c r="E905" s="92"/>
      <c r="F905" s="92"/>
      <c r="G905" s="92"/>
      <c r="H905" s="92"/>
      <c r="I905" s="91"/>
      <c r="J905" s="92"/>
      <c r="K905" s="92"/>
      <c r="L905" s="92"/>
      <c r="M905" s="92"/>
    </row>
    <row r="906" spans="1:13">
      <c r="A906" s="134"/>
      <c r="B906" s="135"/>
      <c r="C906" s="92"/>
      <c r="D906" s="92"/>
      <c r="E906" s="92"/>
      <c r="F906" s="92"/>
      <c r="G906" s="92"/>
      <c r="H906" s="92"/>
      <c r="I906" s="91"/>
      <c r="J906" s="92"/>
      <c r="K906" s="92"/>
      <c r="L906" s="92"/>
      <c r="M906" s="92"/>
    </row>
    <row r="907" spans="1:13">
      <c r="A907" s="134"/>
      <c r="B907" s="135"/>
      <c r="C907" s="92"/>
      <c r="D907" s="92"/>
      <c r="E907" s="92"/>
      <c r="F907" s="92"/>
      <c r="G907" s="92"/>
      <c r="H907" s="92"/>
      <c r="I907" s="91"/>
      <c r="J907" s="92"/>
      <c r="K907" s="92"/>
      <c r="L907" s="92"/>
      <c r="M907" s="92"/>
    </row>
    <row r="908" spans="1:13">
      <c r="A908" s="134"/>
      <c r="B908" s="135"/>
      <c r="C908" s="92"/>
      <c r="D908" s="92"/>
      <c r="E908" s="92"/>
      <c r="F908" s="92"/>
      <c r="G908" s="92"/>
      <c r="H908" s="92"/>
      <c r="I908" s="91"/>
      <c r="J908" s="92"/>
      <c r="K908" s="92"/>
      <c r="L908" s="92"/>
      <c r="M908" s="92"/>
    </row>
    <row r="909" spans="1:13">
      <c r="A909" s="134"/>
      <c r="B909" s="135"/>
      <c r="C909" s="92"/>
      <c r="D909" s="92"/>
      <c r="E909" s="92"/>
      <c r="F909" s="92"/>
      <c r="G909" s="92"/>
      <c r="H909" s="92"/>
      <c r="I909" s="91"/>
      <c r="J909" s="92"/>
      <c r="K909" s="92"/>
      <c r="L909" s="92"/>
      <c r="M909" s="92"/>
    </row>
    <row r="910" spans="1:13">
      <c r="A910" s="134"/>
      <c r="B910" s="135"/>
      <c r="C910" s="92"/>
      <c r="D910" s="92"/>
      <c r="E910" s="92"/>
      <c r="F910" s="92"/>
      <c r="G910" s="92"/>
      <c r="H910" s="92"/>
      <c r="I910" s="91"/>
      <c r="J910" s="92"/>
      <c r="K910" s="92"/>
      <c r="L910" s="92"/>
      <c r="M910" s="92"/>
    </row>
    <row r="911" spans="1:13">
      <c r="A911" s="134"/>
      <c r="B911" s="135"/>
      <c r="C911" s="92"/>
      <c r="D911" s="92"/>
      <c r="E911" s="92"/>
      <c r="F911" s="92"/>
      <c r="G911" s="92"/>
      <c r="H911" s="92"/>
      <c r="I911" s="91"/>
      <c r="J911" s="92"/>
      <c r="K911" s="92"/>
      <c r="L911" s="92"/>
      <c r="M911" s="92"/>
    </row>
    <row r="912" spans="1:13">
      <c r="A912" s="134"/>
      <c r="B912" s="135"/>
      <c r="C912" s="92"/>
      <c r="D912" s="92"/>
      <c r="E912" s="92"/>
      <c r="F912" s="92"/>
      <c r="G912" s="92"/>
      <c r="H912" s="92"/>
      <c r="I912" s="91"/>
      <c r="J912" s="92"/>
      <c r="K912" s="92"/>
      <c r="L912" s="92"/>
      <c r="M912" s="92"/>
    </row>
    <row r="913" spans="1:13">
      <c r="A913" s="134"/>
      <c r="B913" s="135"/>
      <c r="C913" s="92"/>
      <c r="D913" s="92"/>
      <c r="E913" s="92"/>
      <c r="F913" s="92"/>
      <c r="G913" s="92"/>
      <c r="H913" s="92"/>
      <c r="I913" s="91"/>
      <c r="J913" s="92"/>
      <c r="K913" s="92"/>
      <c r="L913" s="92"/>
      <c r="M913" s="92"/>
    </row>
    <row r="914" spans="1:13">
      <c r="A914" s="134"/>
      <c r="B914" s="135"/>
      <c r="C914" s="92"/>
      <c r="D914" s="92"/>
      <c r="E914" s="92"/>
      <c r="F914" s="92"/>
      <c r="G914" s="92"/>
      <c r="H914" s="92"/>
      <c r="I914" s="91"/>
      <c r="J914" s="92"/>
      <c r="K914" s="92"/>
      <c r="L914" s="92"/>
      <c r="M914" s="92"/>
    </row>
    <row r="915" spans="1:13">
      <c r="A915" s="134"/>
      <c r="B915" s="135"/>
      <c r="C915" s="92"/>
      <c r="D915" s="92"/>
      <c r="E915" s="92"/>
      <c r="F915" s="92"/>
      <c r="G915" s="92"/>
      <c r="H915" s="92"/>
      <c r="I915" s="91"/>
      <c r="J915" s="92"/>
      <c r="K915" s="92"/>
      <c r="L915" s="92"/>
      <c r="M915" s="92"/>
    </row>
    <row r="916" spans="1:13">
      <c r="A916" s="134"/>
      <c r="B916" s="135"/>
      <c r="C916" s="92"/>
      <c r="D916" s="92"/>
      <c r="E916" s="92"/>
      <c r="F916" s="92"/>
      <c r="G916" s="92"/>
      <c r="H916" s="92"/>
      <c r="I916" s="91"/>
      <c r="J916" s="92"/>
      <c r="K916" s="92"/>
      <c r="L916" s="92"/>
      <c r="M916" s="92"/>
    </row>
    <row r="917" spans="1:13">
      <c r="A917" s="134"/>
      <c r="B917" s="135"/>
      <c r="C917" s="92"/>
      <c r="D917" s="92"/>
      <c r="E917" s="92"/>
      <c r="F917" s="92"/>
      <c r="G917" s="92"/>
      <c r="H917" s="92"/>
      <c r="I917" s="91"/>
      <c r="J917" s="92"/>
      <c r="K917" s="92"/>
      <c r="L917" s="92"/>
      <c r="M917" s="92"/>
    </row>
    <row r="918" spans="1:13">
      <c r="A918" s="134"/>
      <c r="B918" s="135"/>
      <c r="C918" s="92"/>
      <c r="D918" s="92"/>
      <c r="E918" s="92"/>
      <c r="F918" s="92"/>
      <c r="G918" s="92"/>
      <c r="H918" s="92"/>
      <c r="I918" s="91"/>
      <c r="J918" s="92"/>
      <c r="K918" s="92"/>
      <c r="L918" s="92"/>
      <c r="M918" s="92"/>
    </row>
    <row r="919" spans="1:13">
      <c r="A919" s="134"/>
      <c r="B919" s="135"/>
      <c r="C919" s="92"/>
      <c r="D919" s="92"/>
      <c r="E919" s="92"/>
      <c r="F919" s="92"/>
      <c r="G919" s="92"/>
      <c r="H919" s="92"/>
      <c r="I919" s="91"/>
      <c r="J919" s="92"/>
      <c r="K919" s="92"/>
      <c r="L919" s="92"/>
      <c r="M919" s="92"/>
    </row>
    <row r="920" spans="1:13">
      <c r="A920" s="134"/>
      <c r="B920" s="135"/>
      <c r="C920" s="92"/>
      <c r="D920" s="92"/>
      <c r="E920" s="92"/>
      <c r="F920" s="92"/>
      <c r="G920" s="92"/>
      <c r="H920" s="92"/>
      <c r="I920" s="91"/>
      <c r="J920" s="92"/>
      <c r="K920" s="92"/>
      <c r="L920" s="92"/>
      <c r="M920" s="92"/>
    </row>
    <row r="921" spans="1:13">
      <c r="A921" s="134"/>
      <c r="B921" s="135"/>
      <c r="C921" s="92"/>
      <c r="D921" s="92"/>
      <c r="E921" s="92"/>
      <c r="F921" s="92"/>
      <c r="G921" s="92"/>
      <c r="H921" s="92"/>
      <c r="I921" s="91"/>
      <c r="J921" s="92"/>
      <c r="K921" s="92"/>
      <c r="L921" s="92"/>
      <c r="M921" s="92"/>
    </row>
    <row r="922" spans="1:13">
      <c r="A922" s="134"/>
      <c r="B922" s="135"/>
      <c r="C922" s="92"/>
      <c r="D922" s="92"/>
      <c r="E922" s="92"/>
      <c r="F922" s="92"/>
      <c r="G922" s="92"/>
      <c r="H922" s="92"/>
      <c r="I922" s="91"/>
      <c r="J922" s="92"/>
      <c r="K922" s="92"/>
      <c r="L922" s="92"/>
      <c r="M922" s="92"/>
    </row>
    <row r="923" spans="1:13">
      <c r="A923" s="134"/>
      <c r="B923" s="135"/>
      <c r="C923" s="92"/>
      <c r="D923" s="92"/>
      <c r="E923" s="92"/>
      <c r="F923" s="92"/>
      <c r="G923" s="92"/>
      <c r="H923" s="92"/>
      <c r="I923" s="91"/>
      <c r="J923" s="92"/>
      <c r="K923" s="92"/>
      <c r="L923" s="92"/>
      <c r="M923" s="92"/>
    </row>
    <row r="924" spans="1:13">
      <c r="A924" s="134"/>
      <c r="B924" s="135"/>
      <c r="C924" s="92"/>
      <c r="D924" s="92"/>
      <c r="E924" s="92"/>
      <c r="F924" s="92"/>
      <c r="G924" s="92"/>
      <c r="H924" s="92"/>
      <c r="I924" s="91"/>
      <c r="J924" s="92"/>
      <c r="K924" s="92"/>
      <c r="L924" s="92"/>
      <c r="M924" s="92"/>
    </row>
    <row r="925" spans="1:13">
      <c r="A925" s="134"/>
      <c r="B925" s="135"/>
      <c r="C925" s="92"/>
      <c r="D925" s="92"/>
      <c r="E925" s="92"/>
      <c r="F925" s="92"/>
      <c r="G925" s="92"/>
      <c r="H925" s="92"/>
      <c r="I925" s="91"/>
      <c r="J925" s="92"/>
      <c r="K925" s="92"/>
      <c r="L925" s="92"/>
      <c r="M925" s="92"/>
    </row>
    <row r="926" spans="1:13">
      <c r="A926" s="134"/>
      <c r="B926" s="135"/>
      <c r="C926" s="92"/>
      <c r="D926" s="92"/>
      <c r="E926" s="92"/>
      <c r="F926" s="92"/>
      <c r="G926" s="92"/>
      <c r="H926" s="92"/>
      <c r="I926" s="91"/>
      <c r="J926" s="92"/>
      <c r="K926" s="92"/>
      <c r="L926" s="92"/>
      <c r="M926" s="92"/>
    </row>
    <row r="927" spans="1:13">
      <c r="A927" s="134"/>
      <c r="B927" s="135"/>
      <c r="C927" s="92"/>
      <c r="D927" s="92"/>
      <c r="E927" s="92"/>
      <c r="F927" s="92"/>
      <c r="G927" s="92"/>
      <c r="H927" s="92"/>
      <c r="I927" s="91"/>
      <c r="J927" s="92"/>
      <c r="K927" s="92"/>
      <c r="L927" s="92"/>
      <c r="M927" s="92"/>
    </row>
    <row r="928" spans="1:13">
      <c r="A928" s="134"/>
      <c r="B928" s="135"/>
      <c r="C928" s="92"/>
      <c r="D928" s="92"/>
      <c r="E928" s="92"/>
      <c r="F928" s="92"/>
      <c r="G928" s="92"/>
      <c r="H928" s="92"/>
      <c r="I928" s="91"/>
      <c r="J928" s="92"/>
      <c r="K928" s="92"/>
      <c r="L928" s="92"/>
      <c r="M928" s="92"/>
    </row>
    <row r="929" spans="1:13">
      <c r="A929" s="134"/>
      <c r="B929" s="135"/>
      <c r="C929" s="92"/>
      <c r="D929" s="92"/>
      <c r="E929" s="92"/>
      <c r="F929" s="92"/>
      <c r="G929" s="92"/>
      <c r="H929" s="92"/>
      <c r="I929" s="91"/>
      <c r="J929" s="92"/>
      <c r="K929" s="92"/>
      <c r="L929" s="92"/>
      <c r="M929" s="92"/>
    </row>
    <row r="930" spans="1:13">
      <c r="A930" s="134"/>
      <c r="B930" s="135"/>
      <c r="C930" s="92"/>
      <c r="D930" s="92"/>
      <c r="E930" s="92"/>
      <c r="F930" s="92"/>
      <c r="G930" s="92"/>
      <c r="H930" s="92"/>
      <c r="I930" s="91"/>
      <c r="J930" s="92"/>
      <c r="K930" s="92"/>
      <c r="L930" s="92"/>
      <c r="M930" s="92"/>
    </row>
    <row r="931" spans="1:13">
      <c r="A931" s="134"/>
      <c r="B931" s="135"/>
      <c r="C931" s="92"/>
      <c r="D931" s="92"/>
      <c r="E931" s="92"/>
      <c r="F931" s="92"/>
      <c r="G931" s="92"/>
      <c r="H931" s="92"/>
      <c r="I931" s="91"/>
      <c r="J931" s="92"/>
      <c r="K931" s="92"/>
      <c r="L931" s="92"/>
      <c r="M931" s="92"/>
    </row>
    <row r="932" spans="1:13">
      <c r="A932" s="134"/>
      <c r="B932" s="135"/>
      <c r="C932" s="92"/>
      <c r="D932" s="92"/>
      <c r="E932" s="92"/>
      <c r="F932" s="92"/>
      <c r="G932" s="92"/>
      <c r="H932" s="92"/>
      <c r="I932" s="91"/>
      <c r="J932" s="92"/>
      <c r="K932" s="92"/>
      <c r="L932" s="92"/>
      <c r="M932" s="92"/>
    </row>
    <row r="933" spans="1:13">
      <c r="A933" s="134"/>
      <c r="B933" s="135"/>
      <c r="C933" s="92"/>
      <c r="D933" s="92"/>
      <c r="E933" s="92"/>
      <c r="F933" s="92"/>
      <c r="G933" s="92"/>
      <c r="H933" s="92"/>
      <c r="I933" s="91"/>
      <c r="J933" s="92"/>
      <c r="K933" s="92"/>
      <c r="L933" s="92"/>
      <c r="M933" s="92"/>
    </row>
    <row r="934" spans="1:13">
      <c r="A934" s="134"/>
      <c r="B934" s="135"/>
      <c r="C934" s="92"/>
      <c r="D934" s="92"/>
      <c r="E934" s="92"/>
      <c r="F934" s="92"/>
      <c r="G934" s="92"/>
      <c r="H934" s="92"/>
      <c r="I934" s="91"/>
      <c r="J934" s="92"/>
      <c r="K934" s="92"/>
      <c r="L934" s="92"/>
      <c r="M934" s="92"/>
    </row>
    <row r="935" spans="1:13">
      <c r="A935" s="134"/>
      <c r="B935" s="135"/>
      <c r="C935" s="92"/>
      <c r="D935" s="92"/>
      <c r="E935" s="92"/>
      <c r="F935" s="92"/>
      <c r="G935" s="92"/>
      <c r="H935" s="92"/>
      <c r="I935" s="91"/>
      <c r="J935" s="92"/>
      <c r="K935" s="92"/>
      <c r="L935" s="92"/>
      <c r="M935" s="92"/>
    </row>
    <row r="936" spans="1:13">
      <c r="A936" s="134"/>
      <c r="B936" s="135"/>
      <c r="C936" s="92"/>
      <c r="D936" s="92"/>
      <c r="E936" s="92"/>
      <c r="F936" s="92"/>
      <c r="G936" s="92"/>
      <c r="H936" s="92"/>
      <c r="I936" s="91"/>
      <c r="J936" s="92"/>
      <c r="K936" s="92"/>
      <c r="L936" s="92"/>
      <c r="M936" s="92"/>
    </row>
    <row r="937" spans="1:13">
      <c r="A937" s="134"/>
      <c r="B937" s="135"/>
      <c r="C937" s="92"/>
      <c r="D937" s="92"/>
      <c r="E937" s="92"/>
      <c r="F937" s="92"/>
      <c r="G937" s="92"/>
      <c r="H937" s="92"/>
      <c r="I937" s="91"/>
      <c r="J937" s="92"/>
      <c r="K937" s="92"/>
      <c r="L937" s="92"/>
      <c r="M937" s="92"/>
    </row>
    <row r="938" spans="1:13">
      <c r="A938" s="134"/>
      <c r="B938" s="135"/>
      <c r="C938" s="92"/>
      <c r="D938" s="92"/>
      <c r="E938" s="92"/>
      <c r="F938" s="92"/>
      <c r="G938" s="92"/>
      <c r="H938" s="92"/>
      <c r="I938" s="91"/>
      <c r="J938" s="92"/>
      <c r="K938" s="92"/>
      <c r="L938" s="92"/>
      <c r="M938" s="92"/>
    </row>
    <row r="939" spans="1:13">
      <c r="A939" s="134"/>
      <c r="B939" s="135"/>
      <c r="C939" s="92"/>
      <c r="D939" s="92"/>
      <c r="E939" s="92"/>
      <c r="F939" s="92"/>
      <c r="G939" s="92"/>
      <c r="H939" s="92"/>
      <c r="I939" s="91"/>
      <c r="J939" s="92"/>
      <c r="K939" s="92"/>
      <c r="L939" s="92"/>
      <c r="M939" s="92"/>
    </row>
    <row r="940" spans="1:13">
      <c r="A940" s="134"/>
      <c r="B940" s="135"/>
      <c r="C940" s="92"/>
      <c r="D940" s="92"/>
      <c r="E940" s="92"/>
      <c r="F940" s="92"/>
      <c r="G940" s="92"/>
      <c r="H940" s="92"/>
      <c r="I940" s="91"/>
      <c r="J940" s="92"/>
      <c r="K940" s="92"/>
      <c r="L940" s="92"/>
      <c r="M940" s="92"/>
    </row>
    <row r="941" spans="1:13">
      <c r="A941" s="134"/>
      <c r="B941" s="135"/>
      <c r="C941" s="92"/>
      <c r="D941" s="92"/>
      <c r="E941" s="92"/>
      <c r="F941" s="92"/>
      <c r="G941" s="92"/>
      <c r="H941" s="92"/>
      <c r="I941" s="91"/>
      <c r="J941" s="92"/>
      <c r="K941" s="92"/>
      <c r="L941" s="92"/>
      <c r="M941" s="92"/>
    </row>
    <row r="942" spans="1:13">
      <c r="A942" s="134"/>
      <c r="B942" s="135"/>
      <c r="C942" s="92"/>
      <c r="D942" s="92"/>
      <c r="E942" s="92"/>
      <c r="F942" s="92"/>
      <c r="G942" s="92"/>
      <c r="H942" s="92"/>
      <c r="I942" s="91"/>
      <c r="J942" s="92"/>
      <c r="K942" s="92"/>
      <c r="L942" s="92"/>
      <c r="M942" s="92"/>
    </row>
    <row r="943" spans="1:13">
      <c r="A943" s="134"/>
      <c r="B943" s="135"/>
      <c r="C943" s="92"/>
      <c r="D943" s="92"/>
      <c r="E943" s="92"/>
      <c r="F943" s="92"/>
      <c r="G943" s="92"/>
      <c r="H943" s="92"/>
      <c r="I943" s="91"/>
      <c r="J943" s="92"/>
      <c r="K943" s="92"/>
      <c r="L943" s="92"/>
      <c r="M943" s="92"/>
    </row>
    <row r="944" spans="1:13">
      <c r="A944" s="134"/>
      <c r="B944" s="135"/>
      <c r="C944" s="92"/>
      <c r="D944" s="92"/>
      <c r="E944" s="92"/>
      <c r="F944" s="92"/>
      <c r="G944" s="92"/>
      <c r="H944" s="92"/>
      <c r="I944" s="91"/>
      <c r="J944" s="92"/>
      <c r="K944" s="92"/>
      <c r="L944" s="92"/>
      <c r="M944" s="92"/>
    </row>
    <row r="945" spans="1:13">
      <c r="A945" s="134"/>
      <c r="B945" s="135"/>
      <c r="C945" s="92"/>
      <c r="D945" s="92"/>
      <c r="E945" s="92"/>
      <c r="F945" s="92"/>
      <c r="G945" s="92"/>
      <c r="H945" s="92"/>
      <c r="I945" s="91"/>
      <c r="J945" s="92"/>
      <c r="K945" s="92"/>
      <c r="L945" s="92"/>
      <c r="M945" s="92"/>
    </row>
    <row r="946" spans="1:13">
      <c r="A946" s="134"/>
      <c r="B946" s="135"/>
      <c r="C946" s="92"/>
      <c r="D946" s="92"/>
      <c r="E946" s="92"/>
      <c r="F946" s="92"/>
      <c r="G946" s="92"/>
      <c r="H946" s="92"/>
      <c r="I946" s="91"/>
      <c r="J946" s="92"/>
      <c r="K946" s="92"/>
      <c r="L946" s="92"/>
      <c r="M946" s="92"/>
    </row>
    <row r="947" spans="1:13">
      <c r="A947" s="134"/>
      <c r="B947" s="135"/>
      <c r="C947" s="92"/>
      <c r="D947" s="92"/>
      <c r="E947" s="92"/>
      <c r="F947" s="92"/>
      <c r="G947" s="92"/>
      <c r="H947" s="92"/>
      <c r="I947" s="91"/>
      <c r="J947" s="92"/>
      <c r="K947" s="92"/>
      <c r="L947" s="92"/>
      <c r="M947" s="92"/>
    </row>
    <row r="948" spans="1:13">
      <c r="A948" s="134"/>
      <c r="B948" s="135"/>
      <c r="C948" s="92"/>
      <c r="D948" s="92"/>
      <c r="E948" s="92"/>
      <c r="F948" s="92"/>
      <c r="G948" s="92"/>
      <c r="H948" s="92"/>
      <c r="I948" s="91"/>
      <c r="J948" s="92"/>
      <c r="K948" s="92"/>
      <c r="L948" s="92"/>
      <c r="M948" s="92"/>
    </row>
    <row r="949" spans="1:13">
      <c r="A949" s="134"/>
      <c r="B949" s="135"/>
      <c r="C949" s="92"/>
      <c r="D949" s="92"/>
      <c r="E949" s="92"/>
      <c r="F949" s="92"/>
      <c r="G949" s="92"/>
      <c r="H949" s="92"/>
      <c r="I949" s="91"/>
      <c r="J949" s="92"/>
      <c r="K949" s="92"/>
      <c r="L949" s="92"/>
      <c r="M949" s="92"/>
    </row>
    <row r="950" spans="1:13">
      <c r="A950" s="134"/>
      <c r="B950" s="135"/>
      <c r="C950" s="92"/>
      <c r="D950" s="92"/>
      <c r="E950" s="92"/>
      <c r="F950" s="92"/>
      <c r="G950" s="92"/>
      <c r="H950" s="92"/>
      <c r="I950" s="91"/>
      <c r="J950" s="92"/>
      <c r="K950" s="92"/>
      <c r="L950" s="92"/>
      <c r="M950" s="92"/>
    </row>
    <row r="951" spans="1:13">
      <c r="A951" s="134"/>
      <c r="B951" s="135"/>
      <c r="C951" s="92"/>
      <c r="D951" s="92"/>
      <c r="E951" s="92"/>
      <c r="F951" s="92"/>
      <c r="G951" s="92"/>
      <c r="H951" s="92"/>
      <c r="I951" s="91"/>
      <c r="J951" s="92"/>
      <c r="K951" s="92"/>
      <c r="L951" s="92"/>
      <c r="M951" s="92"/>
    </row>
    <row r="952" spans="1:13">
      <c r="A952" s="134"/>
      <c r="B952" s="135"/>
      <c r="C952" s="92"/>
      <c r="D952" s="92"/>
      <c r="E952" s="92"/>
      <c r="F952" s="92"/>
      <c r="G952" s="92"/>
      <c r="H952" s="92"/>
      <c r="I952" s="91"/>
      <c r="J952" s="92"/>
      <c r="K952" s="92"/>
      <c r="L952" s="92"/>
      <c r="M952" s="92"/>
    </row>
    <row r="953" spans="1:13">
      <c r="A953" s="134"/>
      <c r="B953" s="135"/>
      <c r="C953" s="92"/>
      <c r="D953" s="92"/>
      <c r="E953" s="92"/>
      <c r="F953" s="92"/>
      <c r="G953" s="92"/>
      <c r="H953" s="92"/>
      <c r="I953" s="91"/>
      <c r="J953" s="92"/>
      <c r="K953" s="92"/>
      <c r="L953" s="92"/>
      <c r="M953" s="92"/>
    </row>
    <row r="954" spans="1:13">
      <c r="A954" s="134"/>
      <c r="B954" s="135"/>
      <c r="C954" s="92"/>
      <c r="D954" s="92"/>
      <c r="E954" s="92"/>
      <c r="F954" s="92"/>
      <c r="G954" s="92"/>
      <c r="H954" s="92"/>
      <c r="I954" s="91"/>
      <c r="J954" s="92"/>
      <c r="K954" s="92"/>
      <c r="L954" s="92"/>
      <c r="M954" s="92"/>
    </row>
    <row r="955" spans="1:13">
      <c r="A955" s="134"/>
      <c r="B955" s="135"/>
      <c r="C955" s="92"/>
      <c r="D955" s="92"/>
      <c r="E955" s="92"/>
      <c r="F955" s="92"/>
      <c r="G955" s="92"/>
      <c r="H955" s="92"/>
      <c r="I955" s="91"/>
      <c r="J955" s="92"/>
      <c r="K955" s="92"/>
      <c r="L955" s="92"/>
      <c r="M955" s="92"/>
    </row>
    <row r="956" spans="1:13">
      <c r="A956" s="134"/>
      <c r="B956" s="135"/>
      <c r="C956" s="92"/>
      <c r="D956" s="92"/>
      <c r="E956" s="92"/>
      <c r="F956" s="92"/>
      <c r="G956" s="92"/>
      <c r="H956" s="92"/>
      <c r="I956" s="91"/>
      <c r="J956" s="92"/>
      <c r="K956" s="92"/>
      <c r="L956" s="92"/>
      <c r="M956" s="92"/>
    </row>
    <row r="957" spans="1:13">
      <c r="A957" s="134"/>
      <c r="B957" s="135"/>
      <c r="C957" s="92"/>
      <c r="D957" s="92"/>
      <c r="E957" s="92"/>
      <c r="F957" s="92"/>
      <c r="G957" s="92"/>
      <c r="H957" s="92"/>
      <c r="I957" s="91"/>
      <c r="J957" s="92"/>
      <c r="K957" s="92"/>
      <c r="L957" s="92"/>
      <c r="M957" s="92"/>
    </row>
    <row r="958" spans="1:13">
      <c r="A958" s="134"/>
      <c r="B958" s="135"/>
      <c r="C958" s="92"/>
      <c r="D958" s="92"/>
      <c r="E958" s="92"/>
      <c r="F958" s="92"/>
      <c r="G958" s="92"/>
      <c r="H958" s="92"/>
      <c r="I958" s="91"/>
      <c r="J958" s="92"/>
      <c r="K958" s="92"/>
      <c r="L958" s="92"/>
      <c r="M958" s="92"/>
    </row>
    <row r="959" spans="1:13">
      <c r="A959" s="134"/>
      <c r="B959" s="135"/>
      <c r="C959" s="92"/>
      <c r="D959" s="92"/>
      <c r="E959" s="92"/>
      <c r="F959" s="92"/>
      <c r="G959" s="92"/>
      <c r="H959" s="92"/>
      <c r="I959" s="91"/>
      <c r="J959" s="92"/>
      <c r="K959" s="92"/>
      <c r="L959" s="92"/>
      <c r="M959" s="92"/>
    </row>
    <row r="960" spans="1:13">
      <c r="A960" s="134"/>
      <c r="B960" s="135"/>
      <c r="C960" s="92"/>
      <c r="D960" s="92"/>
      <c r="E960" s="92"/>
      <c r="F960" s="92"/>
      <c r="G960" s="92"/>
      <c r="H960" s="92"/>
      <c r="I960" s="91"/>
      <c r="J960" s="92"/>
      <c r="K960" s="92"/>
      <c r="L960" s="92"/>
      <c r="M960" s="92"/>
    </row>
    <row r="961" spans="1:13">
      <c r="A961" s="134"/>
      <c r="B961" s="135"/>
      <c r="C961" s="92"/>
      <c r="D961" s="92"/>
      <c r="E961" s="92"/>
      <c r="F961" s="92"/>
      <c r="G961" s="92"/>
      <c r="H961" s="92"/>
      <c r="I961" s="91"/>
      <c r="J961" s="92"/>
      <c r="K961" s="92"/>
      <c r="L961" s="92"/>
      <c r="M961" s="92"/>
    </row>
    <row r="962" spans="1:13">
      <c r="A962" s="134"/>
      <c r="B962" s="135"/>
      <c r="C962" s="92"/>
      <c r="D962" s="92"/>
      <c r="E962" s="92"/>
      <c r="F962" s="92"/>
      <c r="G962" s="92"/>
      <c r="H962" s="92"/>
      <c r="I962" s="91"/>
      <c r="J962" s="92"/>
      <c r="K962" s="92"/>
      <c r="L962" s="92"/>
      <c r="M962" s="92"/>
    </row>
    <row r="963" spans="1:13">
      <c r="A963" s="134"/>
      <c r="B963" s="135"/>
      <c r="C963" s="92"/>
      <c r="D963" s="92"/>
      <c r="E963" s="92"/>
      <c r="F963" s="92"/>
      <c r="G963" s="92"/>
      <c r="H963" s="92"/>
      <c r="I963" s="91"/>
      <c r="J963" s="92"/>
      <c r="K963" s="92"/>
      <c r="L963" s="92"/>
      <c r="M963" s="92"/>
    </row>
    <row r="964" spans="1:13">
      <c r="A964" s="134"/>
      <c r="B964" s="135"/>
      <c r="C964" s="92"/>
      <c r="D964" s="92"/>
      <c r="E964" s="92"/>
      <c r="F964" s="92"/>
      <c r="G964" s="92"/>
      <c r="H964" s="92"/>
      <c r="I964" s="91"/>
      <c r="J964" s="92"/>
      <c r="K964" s="92"/>
      <c r="L964" s="92"/>
      <c r="M964" s="92"/>
    </row>
    <row r="965" spans="1:13">
      <c r="A965" s="134"/>
      <c r="B965" s="135"/>
      <c r="C965" s="92"/>
      <c r="D965" s="92"/>
      <c r="E965" s="92"/>
      <c r="F965" s="92"/>
      <c r="G965" s="92"/>
      <c r="H965" s="92"/>
      <c r="I965" s="91"/>
      <c r="J965" s="92"/>
      <c r="K965" s="92"/>
      <c r="L965" s="92"/>
      <c r="M965" s="92"/>
    </row>
    <row r="966" spans="1:13">
      <c r="A966" s="134"/>
      <c r="B966" s="135"/>
      <c r="C966" s="92"/>
      <c r="D966" s="92"/>
      <c r="E966" s="92"/>
      <c r="F966" s="92"/>
      <c r="G966" s="92"/>
      <c r="H966" s="92"/>
      <c r="I966" s="91"/>
      <c r="J966" s="92"/>
      <c r="K966" s="92"/>
      <c r="L966" s="92"/>
      <c r="M966" s="92"/>
    </row>
    <row r="967" spans="1:13">
      <c r="A967" s="134"/>
      <c r="B967" s="135"/>
      <c r="C967" s="92"/>
      <c r="D967" s="92"/>
      <c r="E967" s="92"/>
      <c r="F967" s="92"/>
      <c r="G967" s="92"/>
      <c r="H967" s="92"/>
      <c r="I967" s="91"/>
      <c r="J967" s="92"/>
      <c r="K967" s="92"/>
      <c r="L967" s="92"/>
      <c r="M967" s="92"/>
    </row>
    <row r="968" spans="1:13">
      <c r="A968" s="134"/>
      <c r="B968" s="135"/>
      <c r="C968" s="92"/>
      <c r="D968" s="92"/>
      <c r="E968" s="92"/>
      <c r="F968" s="92"/>
      <c r="G968" s="92"/>
      <c r="H968" s="92"/>
      <c r="I968" s="91"/>
      <c r="J968" s="92"/>
      <c r="K968" s="92"/>
      <c r="L968" s="92"/>
      <c r="M968" s="92"/>
    </row>
    <row r="969" spans="1:13">
      <c r="A969" s="134"/>
      <c r="B969" s="135"/>
      <c r="C969" s="92"/>
      <c r="D969" s="92"/>
      <c r="E969" s="92"/>
      <c r="F969" s="92"/>
      <c r="G969" s="92"/>
      <c r="H969" s="92"/>
      <c r="I969" s="91"/>
      <c r="J969" s="92"/>
      <c r="K969" s="92"/>
      <c r="L969" s="92"/>
      <c r="M969" s="92"/>
    </row>
    <row r="970" spans="1:13">
      <c r="A970" s="134"/>
      <c r="B970" s="135"/>
      <c r="C970" s="92"/>
      <c r="D970" s="92"/>
      <c r="E970" s="92"/>
      <c r="F970" s="92"/>
      <c r="G970" s="92"/>
      <c r="H970" s="92"/>
      <c r="I970" s="91"/>
      <c r="J970" s="92"/>
      <c r="K970" s="92"/>
      <c r="L970" s="92"/>
      <c r="M970" s="92"/>
    </row>
    <row r="971" spans="1:13">
      <c r="A971" s="134"/>
      <c r="B971" s="135"/>
      <c r="C971" s="92"/>
      <c r="D971" s="92"/>
      <c r="E971" s="92"/>
      <c r="F971" s="92"/>
      <c r="G971" s="92"/>
      <c r="H971" s="92"/>
      <c r="I971" s="91"/>
      <c r="J971" s="92"/>
      <c r="K971" s="92"/>
      <c r="L971" s="92"/>
      <c r="M971" s="92"/>
    </row>
    <row r="972" spans="1:13">
      <c r="A972" s="134"/>
      <c r="B972" s="135"/>
      <c r="C972" s="92"/>
      <c r="D972" s="92"/>
      <c r="E972" s="92"/>
      <c r="F972" s="92"/>
      <c r="G972" s="92"/>
      <c r="H972" s="92"/>
      <c r="I972" s="91"/>
      <c r="J972" s="92"/>
      <c r="K972" s="92"/>
      <c r="L972" s="92"/>
      <c r="M972" s="92"/>
    </row>
    <row r="973" spans="1:13">
      <c r="A973" s="134"/>
      <c r="B973" s="135"/>
      <c r="C973" s="92"/>
      <c r="D973" s="92"/>
      <c r="E973" s="92"/>
      <c r="F973" s="92"/>
      <c r="G973" s="92"/>
      <c r="H973" s="92"/>
      <c r="I973" s="91"/>
      <c r="J973" s="92"/>
      <c r="K973" s="92"/>
      <c r="L973" s="92"/>
      <c r="M973" s="92"/>
    </row>
    <row r="974" spans="1:13">
      <c r="A974" s="134"/>
      <c r="B974" s="135"/>
      <c r="C974" s="92"/>
      <c r="D974" s="92"/>
      <c r="E974" s="92"/>
      <c r="F974" s="92"/>
      <c r="G974" s="92"/>
      <c r="H974" s="92"/>
      <c r="I974" s="91"/>
      <c r="J974" s="92"/>
      <c r="K974" s="92"/>
      <c r="L974" s="92"/>
      <c r="M974" s="92"/>
    </row>
    <row r="975" spans="1:13">
      <c r="A975" s="134"/>
      <c r="B975" s="135"/>
      <c r="C975" s="92"/>
      <c r="D975" s="92"/>
      <c r="E975" s="92"/>
      <c r="F975" s="92"/>
      <c r="G975" s="92"/>
      <c r="H975" s="92"/>
      <c r="I975" s="91"/>
      <c r="J975" s="92"/>
      <c r="K975" s="92"/>
      <c r="L975" s="92"/>
      <c r="M975" s="92"/>
    </row>
    <row r="976" spans="1:13">
      <c r="A976" s="134"/>
      <c r="B976" s="135"/>
      <c r="C976" s="92"/>
      <c r="D976" s="92"/>
      <c r="E976" s="92"/>
      <c r="F976" s="92"/>
      <c r="G976" s="92"/>
      <c r="H976" s="92"/>
      <c r="I976" s="91"/>
      <c r="J976" s="92"/>
      <c r="K976" s="92"/>
      <c r="L976" s="92"/>
      <c r="M976" s="92"/>
    </row>
    <row r="977" spans="1:13">
      <c r="A977" s="134"/>
      <c r="B977" s="135"/>
      <c r="C977" s="92"/>
      <c r="D977" s="92"/>
      <c r="E977" s="92"/>
      <c r="F977" s="92"/>
      <c r="G977" s="92"/>
      <c r="H977" s="92"/>
      <c r="I977" s="91"/>
      <c r="J977" s="92"/>
      <c r="K977" s="92"/>
      <c r="L977" s="92"/>
      <c r="M977" s="92"/>
    </row>
    <row r="978" spans="1:13">
      <c r="A978" s="134"/>
      <c r="B978" s="135"/>
      <c r="C978" s="92"/>
      <c r="D978" s="92"/>
      <c r="E978" s="92"/>
      <c r="F978" s="92"/>
      <c r="G978" s="92"/>
      <c r="H978" s="92"/>
      <c r="I978" s="91"/>
      <c r="J978" s="92"/>
      <c r="K978" s="92"/>
      <c r="L978" s="92"/>
      <c r="M978" s="92"/>
    </row>
    <row r="979" spans="1:13">
      <c r="A979" s="134"/>
      <c r="B979" s="135"/>
      <c r="C979" s="92"/>
      <c r="D979" s="92"/>
      <c r="E979" s="92"/>
      <c r="F979" s="92"/>
      <c r="G979" s="92"/>
      <c r="H979" s="92"/>
      <c r="I979" s="91"/>
      <c r="J979" s="92"/>
      <c r="K979" s="92"/>
      <c r="L979" s="92"/>
      <c r="M979" s="92"/>
    </row>
    <row r="980" spans="1:13">
      <c r="A980" s="134"/>
      <c r="B980" s="135"/>
      <c r="C980" s="92"/>
      <c r="D980" s="92"/>
      <c r="E980" s="92"/>
      <c r="F980" s="92"/>
      <c r="G980" s="92"/>
      <c r="H980" s="92"/>
      <c r="I980" s="91"/>
      <c r="J980" s="92"/>
      <c r="K980" s="92"/>
      <c r="L980" s="92"/>
      <c r="M980" s="92"/>
    </row>
    <row r="981" spans="1:13">
      <c r="A981" s="134"/>
      <c r="B981" s="135"/>
      <c r="C981" s="92"/>
      <c r="D981" s="92"/>
      <c r="E981" s="92"/>
      <c r="F981" s="92"/>
      <c r="G981" s="92"/>
      <c r="H981" s="92"/>
      <c r="I981" s="91"/>
      <c r="J981" s="92"/>
      <c r="K981" s="92"/>
      <c r="L981" s="92"/>
      <c r="M981" s="92"/>
    </row>
    <row r="982" spans="1:13">
      <c r="A982" s="134"/>
      <c r="B982" s="135"/>
      <c r="C982" s="92"/>
      <c r="D982" s="92"/>
      <c r="E982" s="92"/>
      <c r="F982" s="92"/>
      <c r="G982" s="92"/>
      <c r="H982" s="92"/>
      <c r="I982" s="91"/>
      <c r="J982" s="92"/>
      <c r="K982" s="92"/>
      <c r="L982" s="92"/>
      <c r="M982" s="92"/>
    </row>
    <row r="983" spans="1:13">
      <c r="A983" s="134"/>
      <c r="B983" s="135"/>
      <c r="C983" s="92"/>
      <c r="D983" s="92"/>
      <c r="E983" s="92"/>
      <c r="F983" s="92"/>
      <c r="G983" s="92"/>
      <c r="H983" s="92"/>
      <c r="I983" s="91"/>
      <c r="J983" s="92"/>
      <c r="K983" s="92"/>
      <c r="L983" s="92"/>
      <c r="M983" s="92"/>
    </row>
    <row r="984" spans="1:13">
      <c r="A984" s="134"/>
      <c r="B984" s="135"/>
      <c r="C984" s="92"/>
      <c r="D984" s="92"/>
      <c r="E984" s="92"/>
      <c r="F984" s="92"/>
      <c r="G984" s="92"/>
      <c r="H984" s="92"/>
      <c r="I984" s="91"/>
      <c r="J984" s="92"/>
      <c r="K984" s="92"/>
      <c r="L984" s="92"/>
      <c r="M984" s="92"/>
    </row>
    <row r="985" spans="1:13">
      <c r="A985" s="134"/>
      <c r="B985" s="135"/>
      <c r="C985" s="92"/>
      <c r="D985" s="92"/>
      <c r="E985" s="92"/>
      <c r="F985" s="92"/>
      <c r="G985" s="92"/>
      <c r="H985" s="92"/>
      <c r="I985" s="91"/>
      <c r="J985" s="92"/>
      <c r="K985" s="92"/>
      <c r="L985" s="92"/>
      <c r="M985" s="92"/>
    </row>
    <row r="986" spans="1:13">
      <c r="A986" s="134"/>
      <c r="B986" s="135"/>
      <c r="C986" s="92"/>
      <c r="D986" s="92"/>
      <c r="E986" s="92"/>
      <c r="F986" s="92"/>
      <c r="G986" s="92"/>
      <c r="H986" s="92"/>
      <c r="I986" s="91"/>
      <c r="J986" s="92"/>
      <c r="K986" s="92"/>
      <c r="L986" s="92"/>
      <c r="M986" s="92"/>
    </row>
    <row r="987" spans="1:13">
      <c r="A987" s="134"/>
      <c r="B987" s="135"/>
      <c r="C987" s="92"/>
      <c r="D987" s="92"/>
      <c r="E987" s="92"/>
      <c r="F987" s="92"/>
      <c r="G987" s="92"/>
      <c r="H987" s="92"/>
      <c r="I987" s="91"/>
      <c r="J987" s="92"/>
      <c r="K987" s="92"/>
      <c r="L987" s="92"/>
      <c r="M987" s="92"/>
    </row>
    <row r="988" spans="1:13">
      <c r="A988" s="134"/>
      <c r="B988" s="135"/>
      <c r="C988" s="92"/>
      <c r="D988" s="92"/>
      <c r="E988" s="92"/>
      <c r="F988" s="92"/>
      <c r="G988" s="92"/>
      <c r="H988" s="92"/>
      <c r="I988" s="91"/>
      <c r="J988" s="92"/>
      <c r="K988" s="92"/>
      <c r="L988" s="92"/>
      <c r="M988" s="92"/>
    </row>
    <row r="989" spans="1:13">
      <c r="A989" s="134"/>
      <c r="B989" s="135"/>
      <c r="C989" s="92"/>
      <c r="D989" s="92"/>
      <c r="E989" s="92"/>
      <c r="F989" s="92"/>
      <c r="G989" s="92"/>
      <c r="H989" s="92"/>
      <c r="I989" s="91"/>
      <c r="J989" s="92"/>
      <c r="K989" s="92"/>
      <c r="L989" s="92"/>
      <c r="M989" s="92"/>
    </row>
    <row r="990" spans="1:13">
      <c r="A990" s="134"/>
      <c r="B990" s="135"/>
      <c r="C990" s="92"/>
      <c r="D990" s="92"/>
      <c r="E990" s="92"/>
      <c r="F990" s="92"/>
      <c r="G990" s="92"/>
      <c r="H990" s="92"/>
      <c r="I990" s="91"/>
      <c r="J990" s="92"/>
      <c r="K990" s="92"/>
      <c r="L990" s="92"/>
      <c r="M990" s="92"/>
    </row>
    <row r="991" spans="1:13">
      <c r="A991" s="134"/>
      <c r="B991" s="135"/>
      <c r="C991" s="92"/>
      <c r="D991" s="92"/>
      <c r="E991" s="92"/>
      <c r="F991" s="92"/>
      <c r="G991" s="92"/>
      <c r="H991" s="92"/>
      <c r="I991" s="91"/>
      <c r="J991" s="92"/>
      <c r="K991" s="92"/>
      <c r="L991" s="92"/>
      <c r="M991" s="92"/>
    </row>
    <row r="992" spans="1:13">
      <c r="A992" s="134"/>
      <c r="B992" s="135"/>
      <c r="C992" s="92"/>
      <c r="D992" s="92"/>
      <c r="E992" s="92"/>
      <c r="F992" s="92"/>
      <c r="G992" s="92"/>
      <c r="H992" s="92"/>
      <c r="I992" s="91"/>
      <c r="J992" s="92"/>
      <c r="K992" s="92"/>
      <c r="L992" s="92"/>
      <c r="M992" s="92"/>
    </row>
    <row r="993" spans="1:13">
      <c r="A993" s="134"/>
      <c r="B993" s="135"/>
      <c r="C993" s="92"/>
      <c r="D993" s="92"/>
      <c r="E993" s="92"/>
      <c r="F993" s="92"/>
      <c r="G993" s="92"/>
      <c r="H993" s="92"/>
      <c r="I993" s="91"/>
      <c r="J993" s="92"/>
      <c r="K993" s="92"/>
      <c r="L993" s="92"/>
      <c r="M993" s="92"/>
    </row>
    <row r="994" spans="1:13">
      <c r="A994" s="134"/>
      <c r="B994" s="135"/>
      <c r="C994" s="92"/>
      <c r="D994" s="92"/>
      <c r="E994" s="92"/>
      <c r="F994" s="92"/>
      <c r="G994" s="92"/>
      <c r="H994" s="92"/>
      <c r="I994" s="91"/>
      <c r="J994" s="92"/>
      <c r="K994" s="92"/>
      <c r="L994" s="92"/>
      <c r="M994" s="92"/>
    </row>
    <row r="995" spans="1:13">
      <c r="A995" s="134"/>
      <c r="B995" s="135"/>
      <c r="C995" s="92"/>
      <c r="D995" s="92"/>
      <c r="E995" s="92"/>
      <c r="F995" s="92"/>
      <c r="G995" s="92"/>
      <c r="H995" s="92"/>
      <c r="I995" s="91"/>
      <c r="J995" s="92"/>
      <c r="K995" s="92"/>
      <c r="L995" s="92"/>
      <c r="M995" s="92"/>
    </row>
    <row r="996" spans="1:13">
      <c r="A996" s="134"/>
      <c r="B996" s="135"/>
      <c r="C996" s="92"/>
      <c r="D996" s="92"/>
      <c r="E996" s="92"/>
      <c r="F996" s="92"/>
      <c r="G996" s="92"/>
      <c r="H996" s="92"/>
      <c r="I996" s="91"/>
      <c r="J996" s="92"/>
      <c r="K996" s="92"/>
      <c r="L996" s="92"/>
      <c r="M996" s="92"/>
    </row>
    <row r="997" spans="1:13">
      <c r="A997" s="134"/>
      <c r="B997" s="135"/>
      <c r="C997" s="92"/>
      <c r="D997" s="92"/>
      <c r="E997" s="92"/>
      <c r="F997" s="92"/>
      <c r="G997" s="92"/>
      <c r="H997" s="92"/>
      <c r="I997" s="91"/>
      <c r="J997" s="92"/>
      <c r="K997" s="92"/>
      <c r="L997" s="92"/>
      <c r="M997" s="92"/>
    </row>
    <row r="998" spans="1:13">
      <c r="A998" s="134"/>
      <c r="B998" s="135"/>
      <c r="C998" s="92"/>
      <c r="D998" s="92"/>
      <c r="E998" s="92"/>
      <c r="F998" s="92"/>
      <c r="G998" s="92"/>
      <c r="H998" s="92"/>
      <c r="I998" s="91"/>
      <c r="J998" s="92"/>
      <c r="K998" s="92"/>
      <c r="L998" s="92"/>
      <c r="M998" s="92"/>
    </row>
    <row r="999" spans="1:13">
      <c r="A999" s="134"/>
      <c r="B999" s="135"/>
      <c r="C999" s="92"/>
      <c r="D999" s="92"/>
      <c r="E999" s="92"/>
      <c r="F999" s="92"/>
      <c r="G999" s="92"/>
      <c r="H999" s="92"/>
      <c r="I999" s="91"/>
      <c r="J999" s="92"/>
      <c r="K999" s="92"/>
      <c r="L999" s="92"/>
      <c r="M999" s="92"/>
    </row>
    <row r="1000" spans="1:13">
      <c r="A1000" s="134"/>
      <c r="B1000" s="135"/>
      <c r="C1000" s="92"/>
      <c r="D1000" s="92"/>
      <c r="E1000" s="92"/>
      <c r="F1000" s="92"/>
      <c r="G1000" s="92"/>
      <c r="H1000" s="92"/>
      <c r="I1000" s="91"/>
      <c r="J1000" s="92"/>
      <c r="K1000" s="92"/>
      <c r="L1000" s="92"/>
      <c r="M1000" s="92"/>
    </row>
    <row r="1001" spans="1:13">
      <c r="A1001" s="134"/>
      <c r="B1001" s="135"/>
      <c r="C1001" s="92"/>
      <c r="D1001" s="92"/>
      <c r="E1001" s="92"/>
      <c r="F1001" s="92"/>
      <c r="G1001" s="92"/>
      <c r="H1001" s="92"/>
      <c r="I1001" s="91"/>
      <c r="J1001" s="92"/>
      <c r="K1001" s="92"/>
      <c r="L1001" s="92"/>
      <c r="M1001" s="92"/>
    </row>
    <row r="1002" spans="1:13">
      <c r="A1002" s="134"/>
      <c r="B1002" s="135"/>
      <c r="C1002" s="92"/>
      <c r="D1002" s="92"/>
      <c r="E1002" s="92"/>
      <c r="F1002" s="92"/>
      <c r="G1002" s="92"/>
      <c r="H1002" s="92"/>
      <c r="I1002" s="91"/>
      <c r="J1002" s="92"/>
      <c r="K1002" s="92"/>
      <c r="L1002" s="92"/>
      <c r="M1002" s="92"/>
    </row>
    <row r="1003" spans="1:13">
      <c r="A1003" s="134"/>
      <c r="B1003" s="135"/>
      <c r="C1003" s="92"/>
      <c r="D1003" s="92"/>
      <c r="E1003" s="92"/>
      <c r="F1003" s="92"/>
      <c r="G1003" s="92"/>
      <c r="H1003" s="92"/>
      <c r="I1003" s="91"/>
      <c r="J1003" s="92"/>
      <c r="K1003" s="92"/>
      <c r="L1003" s="92"/>
      <c r="M1003" s="92"/>
    </row>
    <row r="1004" spans="1:13">
      <c r="A1004" s="134"/>
      <c r="B1004" s="135"/>
      <c r="C1004" s="92"/>
      <c r="D1004" s="92"/>
      <c r="E1004" s="92"/>
      <c r="F1004" s="92"/>
      <c r="G1004" s="92"/>
      <c r="H1004" s="92"/>
      <c r="I1004" s="91"/>
      <c r="J1004" s="92"/>
      <c r="K1004" s="92"/>
      <c r="L1004" s="92"/>
      <c r="M1004" s="92"/>
    </row>
    <row r="1005" spans="1:13">
      <c r="A1005" s="134"/>
      <c r="B1005" s="135"/>
      <c r="C1005" s="92"/>
      <c r="D1005" s="92"/>
      <c r="E1005" s="92"/>
      <c r="F1005" s="92"/>
      <c r="G1005" s="92"/>
      <c r="H1005" s="92"/>
      <c r="I1005" s="91"/>
      <c r="J1005" s="92"/>
      <c r="K1005" s="92"/>
      <c r="L1005" s="92"/>
      <c r="M1005" s="92"/>
    </row>
    <row r="1006" spans="1:13">
      <c r="A1006" s="134"/>
      <c r="B1006" s="135"/>
      <c r="C1006" s="92"/>
      <c r="D1006" s="92"/>
      <c r="E1006" s="92"/>
      <c r="F1006" s="92"/>
      <c r="G1006" s="92"/>
      <c r="H1006" s="92"/>
      <c r="I1006" s="91"/>
      <c r="J1006" s="92"/>
      <c r="K1006" s="92"/>
      <c r="L1006" s="92"/>
      <c r="M1006" s="92"/>
    </row>
    <row r="1007" spans="1:13">
      <c r="A1007" s="134"/>
      <c r="B1007" s="135"/>
      <c r="C1007" s="92"/>
      <c r="D1007" s="92"/>
      <c r="E1007" s="92"/>
      <c r="F1007" s="92"/>
      <c r="G1007" s="92"/>
      <c r="H1007" s="92"/>
      <c r="I1007" s="91"/>
      <c r="J1007" s="92"/>
      <c r="K1007" s="92"/>
      <c r="L1007" s="92"/>
      <c r="M1007" s="92"/>
    </row>
    <row r="1008" spans="1:13">
      <c r="A1008" s="134"/>
      <c r="B1008" s="135"/>
      <c r="C1008" s="92"/>
      <c r="D1008" s="92"/>
      <c r="E1008" s="92"/>
      <c r="F1008" s="92"/>
      <c r="G1008" s="92"/>
      <c r="H1008" s="92"/>
      <c r="I1008" s="91"/>
      <c r="J1008" s="92"/>
      <c r="K1008" s="92"/>
      <c r="L1008" s="92"/>
      <c r="M1008" s="92"/>
    </row>
    <row r="1009" spans="1:13">
      <c r="A1009" s="134"/>
      <c r="B1009" s="135"/>
      <c r="C1009" s="92"/>
      <c r="D1009" s="92"/>
      <c r="E1009" s="92"/>
      <c r="F1009" s="92"/>
      <c r="G1009" s="92"/>
      <c r="H1009" s="92"/>
      <c r="I1009" s="91"/>
      <c r="J1009" s="92"/>
      <c r="K1009" s="92"/>
      <c r="L1009" s="92"/>
      <c r="M1009" s="92"/>
    </row>
    <row r="1010" spans="1:13">
      <c r="A1010" s="134"/>
      <c r="B1010" s="135"/>
      <c r="C1010" s="92"/>
      <c r="D1010" s="92"/>
      <c r="E1010" s="92"/>
      <c r="F1010" s="92"/>
      <c r="G1010" s="92"/>
      <c r="H1010" s="92"/>
      <c r="I1010" s="91"/>
      <c r="J1010" s="92"/>
      <c r="K1010" s="92"/>
      <c r="L1010" s="92"/>
      <c r="M1010" s="92"/>
    </row>
    <row r="1011" spans="1:13">
      <c r="A1011" s="134"/>
      <c r="B1011" s="135"/>
      <c r="C1011" s="92"/>
      <c r="D1011" s="92"/>
      <c r="E1011" s="92"/>
      <c r="F1011" s="92"/>
      <c r="G1011" s="92"/>
      <c r="H1011" s="92"/>
      <c r="I1011" s="91"/>
      <c r="J1011" s="92"/>
      <c r="K1011" s="92"/>
      <c r="L1011" s="92"/>
      <c r="M1011" s="92"/>
    </row>
    <row r="1012" spans="1:13">
      <c r="A1012" s="134"/>
      <c r="B1012" s="135"/>
      <c r="C1012" s="92"/>
      <c r="D1012" s="92"/>
      <c r="E1012" s="92"/>
      <c r="F1012" s="92"/>
      <c r="G1012" s="92"/>
      <c r="H1012" s="92"/>
      <c r="I1012" s="91"/>
      <c r="J1012" s="92"/>
      <c r="K1012" s="92"/>
      <c r="L1012" s="92"/>
      <c r="M1012" s="92"/>
    </row>
    <row r="1013" spans="1:13">
      <c r="A1013" s="134"/>
      <c r="B1013" s="135"/>
      <c r="C1013" s="92"/>
      <c r="D1013" s="92"/>
      <c r="E1013" s="92"/>
      <c r="F1013" s="92"/>
      <c r="G1013" s="92"/>
      <c r="H1013" s="92"/>
      <c r="I1013" s="91"/>
      <c r="J1013" s="92"/>
      <c r="K1013" s="92"/>
      <c r="L1013" s="92"/>
      <c r="M1013" s="92"/>
    </row>
    <row r="1014" spans="1:13">
      <c r="A1014" s="134"/>
      <c r="B1014" s="135"/>
      <c r="C1014" s="92"/>
      <c r="D1014" s="92"/>
      <c r="E1014" s="92"/>
      <c r="F1014" s="92"/>
      <c r="G1014" s="92"/>
      <c r="H1014" s="92"/>
      <c r="I1014" s="91"/>
      <c r="J1014" s="92"/>
      <c r="K1014" s="92"/>
      <c r="L1014" s="92"/>
      <c r="M1014" s="92"/>
    </row>
    <row r="1015" spans="1:13">
      <c r="A1015" s="134"/>
      <c r="B1015" s="135"/>
      <c r="C1015" s="92"/>
      <c r="D1015" s="92"/>
      <c r="E1015" s="92"/>
      <c r="F1015" s="92"/>
      <c r="G1015" s="92"/>
      <c r="H1015" s="92"/>
      <c r="I1015" s="91"/>
      <c r="J1015" s="92"/>
      <c r="K1015" s="92"/>
      <c r="L1015" s="92"/>
      <c r="M1015" s="92"/>
    </row>
    <row r="1016" spans="1:13">
      <c r="A1016" s="134"/>
      <c r="B1016" s="135"/>
      <c r="C1016" s="92"/>
      <c r="D1016" s="92"/>
      <c r="E1016" s="92"/>
      <c r="F1016" s="92"/>
      <c r="G1016" s="92"/>
      <c r="H1016" s="92"/>
      <c r="I1016" s="91"/>
      <c r="J1016" s="92"/>
      <c r="K1016" s="92"/>
      <c r="L1016" s="92"/>
      <c r="M1016" s="92"/>
    </row>
    <row r="1017" spans="1:13">
      <c r="A1017" s="134"/>
      <c r="B1017" s="135"/>
      <c r="C1017" s="92"/>
      <c r="D1017" s="92"/>
      <c r="E1017" s="92"/>
      <c r="F1017" s="92"/>
      <c r="G1017" s="92"/>
      <c r="H1017" s="92"/>
      <c r="I1017" s="91"/>
      <c r="J1017" s="92"/>
      <c r="K1017" s="92"/>
      <c r="L1017" s="92"/>
      <c r="M1017" s="92"/>
    </row>
    <row r="1018" spans="1:13">
      <c r="A1018" s="134"/>
      <c r="B1018" s="135"/>
      <c r="C1018" s="92"/>
      <c r="D1018" s="92"/>
      <c r="E1018" s="92"/>
      <c r="F1018" s="92"/>
      <c r="G1018" s="92"/>
      <c r="H1018" s="92"/>
      <c r="I1018" s="91"/>
      <c r="J1018" s="92"/>
      <c r="K1018" s="92"/>
      <c r="L1018" s="92"/>
      <c r="M1018" s="92"/>
    </row>
    <row r="1019" spans="1:13">
      <c r="A1019" s="134"/>
      <c r="B1019" s="135"/>
      <c r="C1019" s="92"/>
      <c r="D1019" s="92"/>
      <c r="E1019" s="92"/>
      <c r="F1019" s="92"/>
      <c r="G1019" s="92"/>
      <c r="H1019" s="92"/>
      <c r="I1019" s="91"/>
      <c r="J1019" s="92"/>
      <c r="K1019" s="92"/>
      <c r="L1019" s="92"/>
      <c r="M1019" s="92"/>
    </row>
    <row r="1020" spans="1:13">
      <c r="A1020" s="134"/>
      <c r="B1020" s="135"/>
      <c r="C1020" s="92"/>
      <c r="D1020" s="92"/>
      <c r="E1020" s="92"/>
      <c r="F1020" s="92"/>
      <c r="G1020" s="92"/>
      <c r="H1020" s="92"/>
      <c r="I1020" s="91"/>
      <c r="J1020" s="92"/>
      <c r="K1020" s="92"/>
      <c r="L1020" s="92"/>
      <c r="M1020" s="92"/>
    </row>
    <row r="1021" spans="1:13">
      <c r="A1021" s="134"/>
      <c r="B1021" s="135"/>
      <c r="C1021" s="92"/>
      <c r="D1021" s="92"/>
      <c r="E1021" s="92"/>
      <c r="F1021" s="92"/>
      <c r="G1021" s="92"/>
      <c r="H1021" s="92"/>
      <c r="I1021" s="91"/>
      <c r="J1021" s="92"/>
      <c r="K1021" s="92"/>
      <c r="L1021" s="92"/>
      <c r="M1021" s="92"/>
    </row>
    <row r="1022" spans="1:13">
      <c r="A1022" s="134"/>
      <c r="B1022" s="135"/>
      <c r="C1022" s="92"/>
      <c r="D1022" s="92"/>
      <c r="E1022" s="92"/>
      <c r="F1022" s="92"/>
      <c r="G1022" s="92"/>
      <c r="H1022" s="92"/>
      <c r="I1022" s="91"/>
      <c r="J1022" s="92"/>
      <c r="K1022" s="92"/>
      <c r="L1022" s="92"/>
      <c r="M1022" s="92"/>
    </row>
    <row r="1023" spans="1:13">
      <c r="A1023" s="134"/>
      <c r="B1023" s="135"/>
      <c r="C1023" s="92"/>
      <c r="D1023" s="92"/>
      <c r="E1023" s="92"/>
      <c r="F1023" s="92"/>
      <c r="G1023" s="92"/>
      <c r="H1023" s="92"/>
      <c r="I1023" s="91"/>
      <c r="J1023" s="92"/>
      <c r="K1023" s="92"/>
      <c r="L1023" s="92"/>
      <c r="M1023" s="92"/>
    </row>
    <row r="1024" spans="1:13">
      <c r="A1024" s="134"/>
      <c r="B1024" s="135"/>
      <c r="C1024" s="92"/>
      <c r="D1024" s="92"/>
      <c r="E1024" s="92"/>
      <c r="F1024" s="92"/>
      <c r="G1024" s="92"/>
      <c r="H1024" s="92"/>
      <c r="I1024" s="91"/>
      <c r="J1024" s="92"/>
      <c r="K1024" s="92"/>
      <c r="L1024" s="92"/>
      <c r="M1024" s="92"/>
    </row>
    <row r="1025" spans="1:13">
      <c r="A1025" s="134"/>
      <c r="B1025" s="135"/>
      <c r="C1025" s="92"/>
      <c r="D1025" s="92"/>
      <c r="E1025" s="92"/>
      <c r="F1025" s="92"/>
      <c r="G1025" s="92"/>
      <c r="H1025" s="92"/>
      <c r="I1025" s="91"/>
      <c r="J1025" s="92"/>
      <c r="K1025" s="92"/>
      <c r="L1025" s="92"/>
      <c r="M1025" s="92"/>
    </row>
    <row r="1026" spans="1:13">
      <c r="A1026" s="134"/>
      <c r="B1026" s="135"/>
      <c r="C1026" s="92"/>
      <c r="D1026" s="92"/>
      <c r="E1026" s="92"/>
      <c r="F1026" s="92"/>
      <c r="G1026" s="92"/>
      <c r="H1026" s="92"/>
      <c r="I1026" s="91"/>
      <c r="J1026" s="92"/>
      <c r="K1026" s="92"/>
      <c r="L1026" s="92"/>
      <c r="M1026" s="92"/>
    </row>
    <row r="1027" spans="1:13">
      <c r="A1027" s="134"/>
      <c r="B1027" s="135"/>
      <c r="C1027" s="92"/>
      <c r="D1027" s="92"/>
      <c r="E1027" s="92"/>
      <c r="F1027" s="92"/>
      <c r="G1027" s="92"/>
      <c r="H1027" s="92"/>
      <c r="I1027" s="91"/>
      <c r="J1027" s="92"/>
      <c r="K1027" s="92"/>
      <c r="L1027" s="92"/>
      <c r="M1027" s="92"/>
    </row>
    <row r="1028" spans="1:13">
      <c r="A1028" s="134"/>
      <c r="B1028" s="135"/>
      <c r="C1028" s="92"/>
      <c r="D1028" s="92"/>
      <c r="E1028" s="92"/>
      <c r="F1028" s="92"/>
      <c r="G1028" s="92"/>
      <c r="H1028" s="92"/>
      <c r="I1028" s="91"/>
      <c r="J1028" s="92"/>
      <c r="K1028" s="92"/>
      <c r="L1028" s="92"/>
      <c r="M1028" s="92"/>
    </row>
    <row r="1029" spans="1:13">
      <c r="A1029" s="134"/>
      <c r="B1029" s="135"/>
      <c r="C1029" s="92"/>
      <c r="D1029" s="92"/>
      <c r="E1029" s="92"/>
      <c r="F1029" s="92"/>
      <c r="G1029" s="92"/>
      <c r="H1029" s="92"/>
      <c r="I1029" s="91"/>
      <c r="J1029" s="92"/>
      <c r="K1029" s="92"/>
      <c r="L1029" s="92"/>
      <c r="M1029" s="92"/>
    </row>
    <row r="1030" spans="1:13">
      <c r="A1030" s="134"/>
      <c r="B1030" s="135"/>
      <c r="C1030" s="92"/>
      <c r="D1030" s="92"/>
      <c r="E1030" s="92"/>
      <c r="F1030" s="92"/>
      <c r="G1030" s="92"/>
      <c r="H1030" s="92"/>
      <c r="I1030" s="91"/>
      <c r="J1030" s="92"/>
      <c r="K1030" s="92"/>
      <c r="L1030" s="92"/>
      <c r="M1030" s="92"/>
    </row>
    <row r="1031" spans="1:13">
      <c r="A1031" s="134"/>
      <c r="B1031" s="135"/>
      <c r="C1031" s="92"/>
      <c r="D1031" s="92"/>
      <c r="E1031" s="92"/>
      <c r="F1031" s="92"/>
      <c r="G1031" s="92"/>
      <c r="H1031" s="92"/>
      <c r="I1031" s="91"/>
      <c r="J1031" s="92"/>
      <c r="K1031" s="92"/>
      <c r="L1031" s="92"/>
      <c r="M1031" s="92"/>
    </row>
    <row r="1032" spans="1:13">
      <c r="A1032" s="134"/>
      <c r="B1032" s="135"/>
      <c r="C1032" s="92"/>
      <c r="D1032" s="92"/>
      <c r="E1032" s="92"/>
      <c r="F1032" s="92"/>
      <c r="G1032" s="92"/>
      <c r="H1032" s="92"/>
      <c r="I1032" s="91"/>
      <c r="J1032" s="92"/>
      <c r="K1032" s="92"/>
      <c r="L1032" s="92"/>
      <c r="M1032" s="92"/>
    </row>
    <row r="1033" spans="1:13">
      <c r="A1033" s="134"/>
      <c r="B1033" s="135"/>
      <c r="C1033" s="92"/>
      <c r="D1033" s="92"/>
      <c r="E1033" s="92"/>
      <c r="F1033" s="92"/>
      <c r="G1033" s="92"/>
      <c r="H1033" s="92"/>
      <c r="I1033" s="91"/>
      <c r="J1033" s="92"/>
      <c r="K1033" s="92"/>
      <c r="L1033" s="92"/>
      <c r="M1033" s="92"/>
    </row>
    <row r="1034" spans="1:13">
      <c r="A1034" s="134"/>
      <c r="B1034" s="135"/>
      <c r="C1034" s="92"/>
      <c r="D1034" s="92"/>
      <c r="E1034" s="92"/>
      <c r="F1034" s="92"/>
      <c r="G1034" s="92"/>
      <c r="H1034" s="92"/>
      <c r="I1034" s="91"/>
      <c r="J1034" s="92"/>
      <c r="K1034" s="92"/>
      <c r="L1034" s="92"/>
      <c r="M1034" s="92"/>
    </row>
    <row r="1035" spans="1:13">
      <c r="A1035" s="134"/>
      <c r="B1035" s="135"/>
      <c r="C1035" s="92"/>
      <c r="D1035" s="92"/>
      <c r="E1035" s="92"/>
      <c r="F1035" s="92"/>
      <c r="G1035" s="92"/>
      <c r="H1035" s="92"/>
      <c r="I1035" s="91"/>
      <c r="J1035" s="92"/>
      <c r="K1035" s="92"/>
      <c r="L1035" s="92"/>
      <c r="M1035" s="92"/>
    </row>
    <row r="1036" spans="1:13">
      <c r="A1036" s="134"/>
      <c r="B1036" s="135"/>
      <c r="C1036" s="92"/>
      <c r="D1036" s="92"/>
      <c r="E1036" s="92"/>
      <c r="F1036" s="92"/>
      <c r="G1036" s="92"/>
      <c r="H1036" s="92"/>
      <c r="I1036" s="91"/>
      <c r="J1036" s="92"/>
      <c r="K1036" s="92"/>
      <c r="L1036" s="92"/>
      <c r="M1036" s="92"/>
    </row>
    <row r="1037" spans="1:13">
      <c r="A1037" s="134"/>
      <c r="B1037" s="135"/>
      <c r="C1037" s="92"/>
      <c r="D1037" s="92"/>
      <c r="E1037" s="92"/>
      <c r="F1037" s="92"/>
      <c r="G1037" s="92"/>
      <c r="H1037" s="92"/>
      <c r="I1037" s="91"/>
      <c r="J1037" s="92"/>
      <c r="K1037" s="92"/>
      <c r="L1037" s="92"/>
      <c r="M1037" s="92"/>
    </row>
    <row r="1038" spans="1:13">
      <c r="A1038" s="134"/>
      <c r="B1038" s="135"/>
      <c r="C1038" s="92"/>
      <c r="D1038" s="92"/>
      <c r="E1038" s="92"/>
      <c r="F1038" s="92"/>
      <c r="G1038" s="92"/>
      <c r="H1038" s="92"/>
      <c r="I1038" s="91"/>
      <c r="J1038" s="92"/>
      <c r="K1038" s="92"/>
      <c r="L1038" s="92"/>
      <c r="M1038" s="92"/>
    </row>
    <row r="1039" spans="1:13">
      <c r="A1039" s="134"/>
      <c r="B1039" s="135"/>
      <c r="C1039" s="92"/>
      <c r="D1039" s="92"/>
      <c r="E1039" s="92"/>
      <c r="F1039" s="92"/>
      <c r="G1039" s="92"/>
      <c r="H1039" s="92"/>
      <c r="I1039" s="91"/>
      <c r="J1039" s="92"/>
      <c r="K1039" s="92"/>
      <c r="L1039" s="92"/>
      <c r="M1039" s="92"/>
    </row>
    <row r="1040" spans="1:13">
      <c r="A1040" s="134"/>
      <c r="B1040" s="135"/>
      <c r="C1040" s="92"/>
      <c r="D1040" s="92"/>
      <c r="E1040" s="92"/>
      <c r="F1040" s="92"/>
      <c r="G1040" s="92"/>
      <c r="H1040" s="92"/>
      <c r="I1040" s="91"/>
      <c r="J1040" s="92"/>
      <c r="K1040" s="92"/>
      <c r="L1040" s="92"/>
      <c r="M1040" s="92"/>
    </row>
    <row r="1041" spans="1:13">
      <c r="A1041" s="134"/>
      <c r="B1041" s="135"/>
      <c r="C1041" s="92"/>
      <c r="D1041" s="92"/>
      <c r="E1041" s="92"/>
      <c r="F1041" s="92"/>
      <c r="G1041" s="92"/>
      <c r="H1041" s="92"/>
      <c r="I1041" s="91"/>
      <c r="J1041" s="92"/>
      <c r="K1041" s="92"/>
      <c r="L1041" s="92"/>
      <c r="M1041" s="92"/>
    </row>
    <row r="1042" spans="1:13">
      <c r="A1042" s="134"/>
      <c r="B1042" s="135"/>
      <c r="C1042" s="92"/>
      <c r="D1042" s="92"/>
      <c r="E1042" s="92"/>
      <c r="F1042" s="92"/>
      <c r="G1042" s="92"/>
      <c r="H1042" s="92"/>
      <c r="I1042" s="91"/>
      <c r="J1042" s="92"/>
      <c r="K1042" s="92"/>
      <c r="L1042" s="92"/>
      <c r="M1042" s="92"/>
    </row>
    <row r="1043" spans="1:13">
      <c r="A1043" s="134"/>
      <c r="B1043" s="135"/>
      <c r="C1043" s="92"/>
      <c r="D1043" s="92"/>
      <c r="E1043" s="92"/>
      <c r="F1043" s="92"/>
      <c r="G1043" s="92"/>
      <c r="H1043" s="92"/>
      <c r="I1043" s="91"/>
      <c r="J1043" s="92"/>
      <c r="K1043" s="92"/>
      <c r="L1043" s="92"/>
      <c r="M1043" s="92"/>
    </row>
    <row r="1044" spans="1:13">
      <c r="A1044" s="134"/>
      <c r="B1044" s="135"/>
      <c r="C1044" s="92"/>
      <c r="D1044" s="92"/>
      <c r="E1044" s="92"/>
      <c r="F1044" s="92"/>
      <c r="G1044" s="92"/>
      <c r="H1044" s="92"/>
      <c r="I1044" s="91"/>
      <c r="J1044" s="92"/>
      <c r="K1044" s="92"/>
      <c r="L1044" s="92"/>
      <c r="M1044" s="92"/>
    </row>
    <row r="1045" spans="1:13">
      <c r="A1045" s="134"/>
      <c r="B1045" s="135"/>
      <c r="C1045" s="92"/>
      <c r="D1045" s="92"/>
      <c r="E1045" s="92"/>
      <c r="F1045" s="92"/>
      <c r="G1045" s="92"/>
      <c r="H1045" s="92"/>
      <c r="I1045" s="91"/>
      <c r="J1045" s="92"/>
      <c r="K1045" s="92"/>
      <c r="L1045" s="92"/>
      <c r="M1045" s="92"/>
    </row>
    <row r="1046" spans="1:13">
      <c r="A1046" s="134"/>
      <c r="B1046" s="135"/>
      <c r="C1046" s="92"/>
      <c r="D1046" s="92"/>
      <c r="E1046" s="92"/>
      <c r="F1046" s="92"/>
      <c r="G1046" s="92"/>
      <c r="H1046" s="92"/>
      <c r="I1046" s="91"/>
      <c r="J1046" s="92"/>
      <c r="K1046" s="92"/>
      <c r="L1046" s="92"/>
      <c r="M1046" s="92"/>
    </row>
    <row r="1047" spans="1:13">
      <c r="A1047" s="134"/>
      <c r="B1047" s="135"/>
      <c r="C1047" s="92"/>
      <c r="D1047" s="92"/>
      <c r="E1047" s="92"/>
      <c r="F1047" s="92"/>
      <c r="G1047" s="92"/>
      <c r="H1047" s="92"/>
      <c r="I1047" s="91"/>
      <c r="J1047" s="92"/>
      <c r="K1047" s="92"/>
      <c r="L1047" s="92"/>
      <c r="M1047" s="92"/>
    </row>
    <row r="1048" spans="1:13">
      <c r="A1048" s="134"/>
      <c r="B1048" s="135"/>
      <c r="C1048" s="92"/>
      <c r="D1048" s="92"/>
      <c r="E1048" s="92"/>
      <c r="F1048" s="92"/>
      <c r="G1048" s="92"/>
      <c r="H1048" s="92"/>
      <c r="I1048" s="91"/>
      <c r="J1048" s="92"/>
      <c r="K1048" s="92"/>
      <c r="L1048" s="92"/>
      <c r="M1048" s="92"/>
    </row>
    <row r="1049" spans="1:13">
      <c r="A1049" s="134"/>
      <c r="B1049" s="135"/>
      <c r="C1049" s="92"/>
      <c r="D1049" s="92"/>
      <c r="E1049" s="92"/>
      <c r="F1049" s="92"/>
      <c r="G1049" s="92"/>
      <c r="H1049" s="92"/>
      <c r="I1049" s="91"/>
      <c r="J1049" s="92"/>
      <c r="K1049" s="92"/>
      <c r="L1049" s="92"/>
      <c r="M1049" s="92"/>
    </row>
    <row r="1050" spans="1:13">
      <c r="A1050" s="134"/>
      <c r="B1050" s="135"/>
      <c r="C1050" s="92"/>
      <c r="D1050" s="92"/>
      <c r="E1050" s="92"/>
      <c r="F1050" s="92"/>
      <c r="G1050" s="92"/>
      <c r="H1050" s="92"/>
      <c r="I1050" s="91"/>
      <c r="J1050" s="92"/>
      <c r="K1050" s="92"/>
      <c r="L1050" s="92"/>
      <c r="M1050" s="92"/>
    </row>
    <row r="1051" spans="1:13">
      <c r="A1051" s="134"/>
      <c r="B1051" s="135"/>
      <c r="C1051" s="92"/>
      <c r="D1051" s="92"/>
      <c r="E1051" s="92"/>
      <c r="F1051" s="92"/>
      <c r="G1051" s="92"/>
      <c r="H1051" s="92"/>
      <c r="I1051" s="91"/>
      <c r="J1051" s="92"/>
      <c r="K1051" s="92"/>
      <c r="L1051" s="92"/>
      <c r="M1051" s="92"/>
    </row>
    <row r="1052" spans="1:13">
      <c r="A1052" s="134"/>
      <c r="B1052" s="135"/>
      <c r="C1052" s="92"/>
      <c r="D1052" s="92"/>
      <c r="E1052" s="92"/>
      <c r="F1052" s="92"/>
      <c r="G1052" s="92"/>
      <c r="H1052" s="92"/>
      <c r="I1052" s="91"/>
      <c r="J1052" s="92"/>
      <c r="K1052" s="92"/>
      <c r="L1052" s="92"/>
      <c r="M1052" s="92"/>
    </row>
    <row r="1053" spans="1:13">
      <c r="A1053" s="134"/>
      <c r="B1053" s="135"/>
      <c r="C1053" s="92"/>
      <c r="D1053" s="92"/>
      <c r="E1053" s="92"/>
      <c r="F1053" s="92"/>
      <c r="G1053" s="92"/>
      <c r="H1053" s="92"/>
      <c r="I1053" s="91"/>
      <c r="J1053" s="92"/>
      <c r="K1053" s="92"/>
      <c r="L1053" s="92"/>
      <c r="M1053" s="92"/>
    </row>
    <row r="1054" spans="1:13">
      <c r="A1054" s="134"/>
      <c r="B1054" s="135"/>
      <c r="C1054" s="92"/>
      <c r="D1054" s="92"/>
      <c r="E1054" s="92"/>
      <c r="F1054" s="92"/>
      <c r="G1054" s="92"/>
      <c r="H1054" s="92"/>
      <c r="I1054" s="91"/>
      <c r="J1054" s="92"/>
      <c r="K1054" s="92"/>
      <c r="L1054" s="92"/>
      <c r="M1054" s="92"/>
    </row>
    <row r="1055" spans="1:13">
      <c r="A1055" s="134"/>
      <c r="B1055" s="135"/>
      <c r="C1055" s="92"/>
      <c r="D1055" s="92"/>
      <c r="E1055" s="92"/>
      <c r="F1055" s="92"/>
      <c r="G1055" s="92"/>
      <c r="H1055" s="92"/>
      <c r="I1055" s="91"/>
      <c r="J1055" s="92"/>
      <c r="K1055" s="92"/>
      <c r="L1055" s="92"/>
      <c r="M1055" s="92"/>
    </row>
    <row r="1056" spans="1:13">
      <c r="A1056" s="134"/>
      <c r="B1056" s="135"/>
      <c r="C1056" s="92"/>
      <c r="D1056" s="92"/>
      <c r="E1056" s="92"/>
      <c r="F1056" s="92"/>
      <c r="G1056" s="92"/>
      <c r="H1056" s="92"/>
      <c r="I1056" s="91"/>
      <c r="J1056" s="92"/>
      <c r="K1056" s="92"/>
      <c r="L1056" s="92"/>
      <c r="M1056" s="92"/>
    </row>
    <row r="1057" spans="1:13">
      <c r="A1057" s="134"/>
      <c r="B1057" s="135"/>
      <c r="C1057" s="92"/>
      <c r="D1057" s="92"/>
      <c r="E1057" s="92"/>
      <c r="F1057" s="92"/>
      <c r="G1057" s="92"/>
      <c r="H1057" s="92"/>
      <c r="I1057" s="91"/>
      <c r="J1057" s="92"/>
      <c r="K1057" s="92"/>
      <c r="L1057" s="92"/>
      <c r="M1057" s="92"/>
    </row>
    <row r="1058" spans="1:13">
      <c r="A1058" s="134"/>
      <c r="B1058" s="135"/>
      <c r="C1058" s="92"/>
      <c r="D1058" s="92"/>
      <c r="E1058" s="92"/>
      <c r="F1058" s="92"/>
      <c r="G1058" s="92"/>
      <c r="H1058" s="92"/>
      <c r="I1058" s="91"/>
      <c r="J1058" s="92"/>
      <c r="K1058" s="92"/>
      <c r="L1058" s="92"/>
      <c r="M1058" s="92"/>
    </row>
    <row r="1059" spans="1:13">
      <c r="A1059" s="134"/>
      <c r="B1059" s="135"/>
      <c r="C1059" s="92"/>
      <c r="D1059" s="92"/>
      <c r="E1059" s="92"/>
      <c r="F1059" s="92"/>
      <c r="G1059" s="92"/>
      <c r="H1059" s="92"/>
      <c r="I1059" s="91"/>
      <c r="J1059" s="92"/>
      <c r="K1059" s="92"/>
      <c r="L1059" s="92"/>
      <c r="M1059" s="92"/>
    </row>
    <row r="1060" spans="1:13">
      <c r="A1060" s="134"/>
      <c r="B1060" s="135"/>
      <c r="C1060" s="92"/>
      <c r="D1060" s="92"/>
      <c r="E1060" s="92"/>
      <c r="F1060" s="92"/>
      <c r="G1060" s="92"/>
      <c r="H1060" s="92"/>
      <c r="I1060" s="91"/>
      <c r="J1060" s="92"/>
      <c r="K1060" s="92"/>
      <c r="L1060" s="92"/>
      <c r="M1060" s="92"/>
    </row>
    <row r="1061" spans="1:13">
      <c r="A1061" s="134"/>
      <c r="B1061" s="135"/>
      <c r="C1061" s="92"/>
      <c r="D1061" s="92"/>
      <c r="E1061" s="92"/>
      <c r="F1061" s="92"/>
      <c r="G1061" s="92"/>
      <c r="H1061" s="92"/>
      <c r="I1061" s="91"/>
      <c r="J1061" s="92"/>
      <c r="K1061" s="92"/>
      <c r="L1061" s="92"/>
      <c r="M1061" s="92"/>
    </row>
    <row r="1062" spans="1:13">
      <c r="A1062" s="134"/>
      <c r="B1062" s="135"/>
      <c r="C1062" s="92"/>
      <c r="D1062" s="92"/>
      <c r="E1062" s="92"/>
      <c r="F1062" s="92"/>
      <c r="G1062" s="92"/>
      <c r="H1062" s="92"/>
      <c r="I1062" s="91"/>
      <c r="J1062" s="92"/>
      <c r="K1062" s="92"/>
      <c r="L1062" s="92"/>
      <c r="M1062" s="92"/>
    </row>
    <row r="1063" spans="1:13">
      <c r="A1063" s="134"/>
      <c r="B1063" s="135"/>
      <c r="C1063" s="92"/>
      <c r="D1063" s="92"/>
      <c r="E1063" s="92"/>
      <c r="F1063" s="92"/>
      <c r="G1063" s="92"/>
      <c r="H1063" s="92"/>
      <c r="I1063" s="91"/>
      <c r="J1063" s="92"/>
      <c r="K1063" s="92"/>
      <c r="L1063" s="92"/>
      <c r="M1063" s="92"/>
    </row>
    <row r="1064" spans="1:13">
      <c r="A1064" s="134"/>
      <c r="B1064" s="135"/>
      <c r="C1064" s="92"/>
      <c r="D1064" s="92"/>
      <c r="E1064" s="92"/>
      <c r="F1064" s="92"/>
      <c r="G1064" s="92"/>
      <c r="H1064" s="92"/>
      <c r="I1064" s="91"/>
      <c r="J1064" s="92"/>
      <c r="K1064" s="92"/>
      <c r="L1064" s="92"/>
      <c r="M1064" s="92"/>
    </row>
    <row r="1065" spans="1:13">
      <c r="A1065" s="134"/>
      <c r="B1065" s="135"/>
      <c r="C1065" s="92"/>
      <c r="D1065" s="92"/>
      <c r="E1065" s="92"/>
      <c r="F1065" s="92"/>
      <c r="G1065" s="92"/>
      <c r="H1065" s="92"/>
      <c r="I1065" s="91"/>
      <c r="J1065" s="92"/>
      <c r="K1065" s="92"/>
      <c r="L1065" s="92"/>
      <c r="M1065" s="92"/>
    </row>
    <row r="1066" spans="1:13">
      <c r="A1066" s="134"/>
      <c r="B1066" s="135"/>
      <c r="C1066" s="92"/>
      <c r="D1066" s="92"/>
      <c r="E1066" s="92"/>
      <c r="F1066" s="92"/>
      <c r="G1066" s="92"/>
      <c r="H1066" s="92"/>
      <c r="I1066" s="91"/>
      <c r="J1066" s="92"/>
      <c r="K1066" s="92"/>
      <c r="L1066" s="92"/>
      <c r="M1066" s="92"/>
    </row>
    <row r="1067" spans="1:13">
      <c r="A1067" s="134"/>
      <c r="B1067" s="135"/>
      <c r="C1067" s="92"/>
      <c r="D1067" s="92"/>
      <c r="E1067" s="92"/>
      <c r="F1067" s="92"/>
      <c r="G1067" s="92"/>
      <c r="H1067" s="92"/>
      <c r="I1067" s="91"/>
      <c r="J1067" s="92"/>
      <c r="K1067" s="92"/>
      <c r="L1067" s="92"/>
      <c r="M1067" s="92"/>
    </row>
    <row r="1068" spans="1:13">
      <c r="A1068" s="134"/>
      <c r="B1068" s="135"/>
      <c r="C1068" s="92"/>
      <c r="D1068" s="92"/>
      <c r="E1068" s="92"/>
      <c r="F1068" s="92"/>
      <c r="G1068" s="92"/>
      <c r="H1068" s="92"/>
      <c r="I1068" s="91"/>
      <c r="J1068" s="92"/>
      <c r="K1068" s="92"/>
      <c r="L1068" s="92"/>
      <c r="M1068" s="92"/>
    </row>
    <row r="1069" spans="1:13">
      <c r="A1069" s="134"/>
      <c r="B1069" s="135"/>
      <c r="C1069" s="92"/>
      <c r="D1069" s="92"/>
      <c r="E1069" s="92"/>
      <c r="F1069" s="92"/>
      <c r="G1069" s="92"/>
      <c r="H1069" s="92"/>
      <c r="I1069" s="91"/>
      <c r="J1069" s="92"/>
      <c r="K1069" s="92"/>
      <c r="L1069" s="92"/>
      <c r="M1069" s="92"/>
    </row>
    <row r="1070" spans="1:13">
      <c r="A1070" s="134"/>
      <c r="B1070" s="135"/>
      <c r="C1070" s="92"/>
      <c r="D1070" s="92"/>
      <c r="E1070" s="92"/>
      <c r="F1070" s="92"/>
      <c r="G1070" s="92"/>
      <c r="H1070" s="92"/>
      <c r="I1070" s="91"/>
      <c r="J1070" s="92"/>
      <c r="K1070" s="92"/>
      <c r="L1070" s="92"/>
      <c r="M1070" s="92"/>
    </row>
    <row r="1071" spans="1:13">
      <c r="A1071" s="134"/>
      <c r="B1071" s="135"/>
      <c r="C1071" s="92"/>
      <c r="D1071" s="92"/>
      <c r="E1071" s="92"/>
      <c r="F1071" s="92"/>
      <c r="G1071" s="92"/>
      <c r="H1071" s="92"/>
      <c r="I1071" s="91"/>
      <c r="J1071" s="92"/>
      <c r="K1071" s="92"/>
      <c r="L1071" s="92"/>
      <c r="M1071" s="92"/>
    </row>
    <row r="1072" spans="1:13">
      <c r="A1072" s="134"/>
      <c r="B1072" s="135"/>
      <c r="C1072" s="92"/>
      <c r="D1072" s="92"/>
      <c r="E1072" s="92"/>
      <c r="F1072" s="92"/>
      <c r="G1072" s="92"/>
      <c r="H1072" s="92"/>
      <c r="I1072" s="91"/>
      <c r="J1072" s="92"/>
      <c r="K1072" s="92"/>
      <c r="L1072" s="92"/>
      <c r="M1072" s="92"/>
    </row>
    <row r="1073" spans="1:13">
      <c r="A1073" s="134"/>
      <c r="B1073" s="135"/>
      <c r="C1073" s="92"/>
      <c r="D1073" s="92"/>
      <c r="E1073" s="92"/>
      <c r="F1073" s="92"/>
      <c r="G1073" s="92"/>
      <c r="H1073" s="92"/>
      <c r="I1073" s="91"/>
      <c r="J1073" s="92"/>
      <c r="K1073" s="92"/>
      <c r="L1073" s="92"/>
      <c r="M1073" s="92"/>
    </row>
    <row r="1074" spans="1:13">
      <c r="A1074" s="134"/>
      <c r="B1074" s="135"/>
      <c r="C1074" s="92"/>
      <c r="D1074" s="92"/>
      <c r="E1074" s="92"/>
      <c r="F1074" s="92"/>
      <c r="G1074" s="92"/>
      <c r="H1074" s="92"/>
      <c r="I1074" s="91"/>
      <c r="J1074" s="92"/>
      <c r="K1074" s="92"/>
      <c r="L1074" s="92"/>
      <c r="M1074" s="92"/>
    </row>
    <row r="1075" spans="1:13">
      <c r="A1075" s="134"/>
      <c r="B1075" s="135"/>
      <c r="C1075" s="92"/>
      <c r="D1075" s="92"/>
      <c r="E1075" s="92"/>
      <c r="F1075" s="92"/>
      <c r="G1075" s="92"/>
      <c r="H1075" s="92"/>
      <c r="I1075" s="91"/>
      <c r="J1075" s="92"/>
      <c r="K1075" s="92"/>
      <c r="L1075" s="92"/>
      <c r="M1075" s="92"/>
    </row>
    <row r="1076" spans="1:13">
      <c r="A1076" s="134"/>
      <c r="B1076" s="135"/>
      <c r="C1076" s="92"/>
      <c r="D1076" s="92"/>
      <c r="E1076" s="92"/>
      <c r="F1076" s="92"/>
      <c r="G1076" s="92"/>
      <c r="H1076" s="92"/>
      <c r="I1076" s="91"/>
      <c r="J1076" s="92"/>
      <c r="K1076" s="92"/>
      <c r="L1076" s="92"/>
      <c r="M1076" s="92"/>
    </row>
    <row r="1077" spans="1:13">
      <c r="A1077" s="134"/>
      <c r="B1077" s="135"/>
      <c r="C1077" s="92"/>
      <c r="D1077" s="92"/>
      <c r="E1077" s="92"/>
      <c r="F1077" s="92"/>
      <c r="G1077" s="92"/>
      <c r="H1077" s="92"/>
      <c r="I1077" s="91"/>
      <c r="J1077" s="92"/>
      <c r="K1077" s="92"/>
      <c r="L1077" s="92"/>
      <c r="M1077" s="92"/>
    </row>
    <row r="1078" spans="1:13">
      <c r="A1078" s="134"/>
      <c r="B1078" s="135"/>
      <c r="C1078" s="92"/>
      <c r="D1078" s="92"/>
      <c r="E1078" s="92"/>
      <c r="F1078" s="92"/>
      <c r="G1078" s="92"/>
      <c r="H1078" s="92"/>
      <c r="I1078" s="91"/>
      <c r="J1078" s="92"/>
      <c r="K1078" s="92"/>
      <c r="L1078" s="92"/>
      <c r="M1078" s="92"/>
    </row>
    <row r="1079" spans="1:13">
      <c r="A1079" s="134"/>
      <c r="B1079" s="135"/>
      <c r="C1079" s="92"/>
      <c r="D1079" s="92"/>
      <c r="E1079" s="92"/>
      <c r="F1079" s="92"/>
      <c r="G1079" s="92"/>
      <c r="H1079" s="92"/>
      <c r="I1079" s="91"/>
      <c r="J1079" s="92"/>
      <c r="K1079" s="92"/>
      <c r="L1079" s="92"/>
      <c r="M1079" s="92"/>
    </row>
    <row r="1080" spans="1:13">
      <c r="A1080" s="134"/>
      <c r="B1080" s="135"/>
      <c r="C1080" s="92"/>
      <c r="D1080" s="92"/>
      <c r="E1080" s="92"/>
      <c r="F1080" s="92"/>
      <c r="G1080" s="92"/>
      <c r="H1080" s="92"/>
      <c r="I1080" s="91"/>
      <c r="J1080" s="92"/>
      <c r="K1080" s="92"/>
      <c r="L1080" s="92"/>
      <c r="M1080" s="92"/>
    </row>
    <row r="1081" spans="1:13">
      <c r="A1081" s="134"/>
      <c r="B1081" s="135"/>
      <c r="C1081" s="92"/>
      <c r="D1081" s="92"/>
      <c r="E1081" s="92"/>
      <c r="F1081" s="92"/>
      <c r="G1081" s="92"/>
      <c r="H1081" s="92"/>
      <c r="I1081" s="91"/>
      <c r="J1081" s="92"/>
      <c r="K1081" s="92"/>
      <c r="L1081" s="92"/>
      <c r="M1081" s="92"/>
    </row>
    <row r="1082" spans="1:13">
      <c r="A1082" s="134"/>
      <c r="B1082" s="135"/>
      <c r="C1082" s="92"/>
      <c r="D1082" s="92"/>
      <c r="E1082" s="92"/>
      <c r="F1082" s="92"/>
      <c r="G1082" s="92"/>
      <c r="H1082" s="92"/>
      <c r="I1082" s="91"/>
      <c r="J1082" s="92"/>
      <c r="K1082" s="92"/>
      <c r="L1082" s="92"/>
      <c r="M1082" s="92"/>
    </row>
    <row r="1083" spans="1:13">
      <c r="A1083" s="134"/>
      <c r="B1083" s="135"/>
      <c r="C1083" s="92"/>
      <c r="D1083" s="92"/>
      <c r="E1083" s="92"/>
      <c r="F1083" s="92"/>
      <c r="G1083" s="92"/>
      <c r="H1083" s="92"/>
      <c r="I1083" s="91"/>
      <c r="J1083" s="92"/>
      <c r="K1083" s="92"/>
      <c r="L1083" s="92"/>
      <c r="M1083" s="92"/>
    </row>
    <row r="1084" spans="1:13">
      <c r="A1084" s="134"/>
      <c r="B1084" s="135"/>
      <c r="C1084" s="92"/>
      <c r="D1084" s="92"/>
      <c r="E1084" s="92"/>
      <c r="F1084" s="92"/>
      <c r="G1084" s="92"/>
      <c r="H1084" s="92"/>
      <c r="I1084" s="91"/>
      <c r="J1084" s="92"/>
      <c r="K1084" s="92"/>
      <c r="L1084" s="92"/>
      <c r="M1084" s="92"/>
    </row>
    <row r="1085" spans="1:13">
      <c r="A1085" s="134"/>
      <c r="B1085" s="135"/>
      <c r="C1085" s="92"/>
      <c r="D1085" s="92"/>
      <c r="E1085" s="92"/>
      <c r="F1085" s="92"/>
      <c r="G1085" s="92"/>
      <c r="H1085" s="92"/>
      <c r="I1085" s="91"/>
      <c r="J1085" s="92"/>
      <c r="K1085" s="92"/>
      <c r="L1085" s="92"/>
      <c r="M1085" s="92"/>
    </row>
    <row r="1086" spans="1:13">
      <c r="A1086" s="134"/>
      <c r="B1086" s="135"/>
      <c r="C1086" s="92"/>
      <c r="D1086" s="92"/>
      <c r="E1086" s="92"/>
      <c r="F1086" s="92"/>
      <c r="G1086" s="92"/>
      <c r="H1086" s="92"/>
      <c r="I1086" s="91"/>
      <c r="J1086" s="92"/>
      <c r="K1086" s="92"/>
      <c r="L1086" s="92"/>
      <c r="M1086" s="92"/>
    </row>
    <row r="1087" spans="1:13">
      <c r="A1087" s="134"/>
      <c r="B1087" s="135"/>
      <c r="C1087" s="92"/>
      <c r="D1087" s="92"/>
      <c r="E1087" s="92"/>
      <c r="F1087" s="92"/>
      <c r="G1087" s="92"/>
      <c r="H1087" s="92"/>
      <c r="I1087" s="91"/>
      <c r="J1087" s="92"/>
      <c r="K1087" s="92"/>
      <c r="L1087" s="92"/>
      <c r="M1087" s="92"/>
    </row>
    <row r="1088" spans="1:13">
      <c r="A1088" s="134"/>
      <c r="B1088" s="135"/>
      <c r="C1088" s="92"/>
      <c r="D1088" s="92"/>
      <c r="E1088" s="92"/>
      <c r="F1088" s="92"/>
      <c r="G1088" s="92"/>
      <c r="H1088" s="92"/>
      <c r="I1088" s="91"/>
      <c r="J1088" s="92"/>
      <c r="K1088" s="92"/>
      <c r="L1088" s="92"/>
      <c r="M1088" s="92"/>
    </row>
    <row r="1089" spans="1:13">
      <c r="A1089" s="134"/>
      <c r="B1089" s="135"/>
      <c r="C1089" s="92"/>
      <c r="D1089" s="92"/>
      <c r="E1089" s="92"/>
      <c r="F1089" s="92"/>
      <c r="G1089" s="92"/>
      <c r="H1089" s="92"/>
      <c r="I1089" s="91"/>
      <c r="J1089" s="92"/>
      <c r="K1089" s="92"/>
      <c r="L1089" s="92"/>
      <c r="M1089" s="92"/>
    </row>
    <row r="1090" spans="1:13">
      <c r="A1090" s="134"/>
      <c r="B1090" s="135"/>
      <c r="C1090" s="92"/>
      <c r="D1090" s="92"/>
      <c r="E1090" s="92"/>
      <c r="F1090" s="92"/>
      <c r="G1090" s="92"/>
      <c r="H1090" s="92"/>
      <c r="I1090" s="91"/>
      <c r="J1090" s="92"/>
      <c r="K1090" s="92"/>
      <c r="L1090" s="92"/>
      <c r="M1090" s="92"/>
    </row>
    <row r="1091" spans="1:13">
      <c r="A1091" s="134"/>
      <c r="B1091" s="135"/>
      <c r="C1091" s="92"/>
      <c r="D1091" s="92"/>
      <c r="E1091" s="92"/>
      <c r="F1091" s="92"/>
      <c r="G1091" s="92"/>
      <c r="H1091" s="92"/>
      <c r="I1091" s="91"/>
      <c r="J1091" s="92"/>
      <c r="K1091" s="92"/>
      <c r="L1091" s="92"/>
      <c r="M1091" s="92"/>
    </row>
    <row r="1092" spans="1:13">
      <c r="A1092" s="134"/>
      <c r="B1092" s="135"/>
      <c r="C1092" s="92"/>
      <c r="D1092" s="92"/>
      <c r="E1092" s="92"/>
      <c r="F1092" s="92"/>
      <c r="G1092" s="92"/>
      <c r="H1092" s="92"/>
      <c r="I1092" s="91"/>
      <c r="J1092" s="92"/>
      <c r="K1092" s="92"/>
      <c r="L1092" s="92"/>
      <c r="M1092" s="92"/>
    </row>
    <row r="1093" spans="1:13">
      <c r="A1093" s="134"/>
      <c r="B1093" s="135"/>
      <c r="C1093" s="92"/>
      <c r="D1093" s="92"/>
      <c r="E1093" s="92"/>
      <c r="F1093" s="92"/>
      <c r="G1093" s="92"/>
      <c r="H1093" s="92"/>
      <c r="I1093" s="91"/>
      <c r="J1093" s="92"/>
      <c r="K1093" s="92"/>
      <c r="L1093" s="92"/>
      <c r="M1093" s="92"/>
    </row>
    <row r="1094" spans="1:13">
      <c r="A1094" s="134"/>
      <c r="B1094" s="135"/>
      <c r="C1094" s="92"/>
      <c r="D1094" s="92"/>
      <c r="E1094" s="92"/>
      <c r="F1094" s="92"/>
      <c r="G1094" s="92"/>
      <c r="H1094" s="92"/>
      <c r="I1094" s="91"/>
      <c r="J1094" s="92"/>
      <c r="K1094" s="92"/>
      <c r="L1094" s="92"/>
      <c r="M1094" s="92"/>
    </row>
    <row r="1095" spans="1:13">
      <c r="A1095" s="134"/>
      <c r="B1095" s="135"/>
      <c r="C1095" s="92"/>
      <c r="D1095" s="92"/>
      <c r="E1095" s="92"/>
      <c r="F1095" s="92"/>
      <c r="G1095" s="92"/>
      <c r="H1095" s="92"/>
      <c r="I1095" s="91"/>
      <c r="J1095" s="92"/>
      <c r="K1095" s="92"/>
      <c r="L1095" s="92"/>
      <c r="M1095" s="92"/>
    </row>
    <row r="1096" spans="1:13">
      <c r="A1096" s="134"/>
      <c r="B1096" s="135"/>
      <c r="C1096" s="92"/>
      <c r="D1096" s="92"/>
      <c r="E1096" s="92"/>
      <c r="F1096" s="92"/>
      <c r="G1096" s="92"/>
      <c r="H1096" s="92"/>
      <c r="I1096" s="91"/>
      <c r="J1096" s="92"/>
      <c r="K1096" s="92"/>
      <c r="L1096" s="92"/>
      <c r="M1096" s="92"/>
    </row>
    <row r="1097" spans="1:13">
      <c r="A1097" s="134"/>
      <c r="B1097" s="135"/>
      <c r="C1097" s="92"/>
      <c r="D1097" s="92"/>
      <c r="E1097" s="92"/>
      <c r="F1097" s="92"/>
      <c r="G1097" s="92"/>
      <c r="H1097" s="92"/>
      <c r="I1097" s="91"/>
      <c r="J1097" s="92"/>
      <c r="K1097" s="92"/>
      <c r="L1097" s="92"/>
      <c r="M1097" s="92"/>
    </row>
    <row r="1098" spans="1:13">
      <c r="A1098" s="134"/>
      <c r="B1098" s="135"/>
      <c r="C1098" s="92"/>
      <c r="D1098" s="92"/>
      <c r="E1098" s="92"/>
      <c r="F1098" s="92"/>
      <c r="G1098" s="92"/>
      <c r="H1098" s="92"/>
      <c r="I1098" s="91"/>
      <c r="J1098" s="92"/>
      <c r="K1098" s="92"/>
      <c r="L1098" s="92"/>
      <c r="M1098" s="92"/>
    </row>
    <row r="1099" spans="1:13">
      <c r="A1099" s="134"/>
      <c r="B1099" s="135"/>
      <c r="C1099" s="92"/>
      <c r="D1099" s="92"/>
      <c r="E1099" s="92"/>
      <c r="F1099" s="92"/>
      <c r="G1099" s="92"/>
      <c r="H1099" s="92"/>
      <c r="I1099" s="91"/>
      <c r="J1099" s="92"/>
      <c r="K1099" s="92"/>
      <c r="L1099" s="92"/>
      <c r="M1099" s="92"/>
    </row>
    <row r="1100" spans="1:13">
      <c r="A1100" s="134"/>
      <c r="B1100" s="135"/>
      <c r="C1100" s="92"/>
      <c r="D1100" s="92"/>
      <c r="E1100" s="92"/>
      <c r="F1100" s="92"/>
      <c r="G1100" s="92"/>
      <c r="H1100" s="92"/>
      <c r="I1100" s="91"/>
      <c r="J1100" s="92"/>
      <c r="K1100" s="92"/>
      <c r="L1100" s="92"/>
      <c r="M1100" s="92"/>
    </row>
    <row r="1101" spans="1:13">
      <c r="A1101" s="134"/>
      <c r="B1101" s="135"/>
      <c r="C1101" s="92"/>
      <c r="D1101" s="92"/>
      <c r="E1101" s="92"/>
      <c r="F1101" s="92"/>
      <c r="G1101" s="92"/>
      <c r="H1101" s="92"/>
      <c r="I1101" s="91"/>
      <c r="J1101" s="92"/>
      <c r="K1101" s="92"/>
      <c r="L1101" s="92"/>
      <c r="M1101" s="92"/>
    </row>
    <row r="1102" spans="1:13">
      <c r="A1102" s="134"/>
      <c r="B1102" s="135"/>
      <c r="C1102" s="92"/>
      <c r="D1102" s="92"/>
      <c r="E1102" s="92"/>
      <c r="F1102" s="92"/>
      <c r="G1102" s="92"/>
      <c r="H1102" s="92"/>
      <c r="I1102" s="91"/>
      <c r="J1102" s="92"/>
      <c r="K1102" s="92"/>
      <c r="L1102" s="92"/>
      <c r="M1102" s="92"/>
    </row>
    <row r="1103" spans="1:13">
      <c r="A1103" s="134"/>
      <c r="B1103" s="135"/>
      <c r="C1103" s="92"/>
      <c r="D1103" s="92"/>
      <c r="E1103" s="92"/>
      <c r="F1103" s="92"/>
      <c r="G1103" s="92"/>
      <c r="H1103" s="92"/>
      <c r="I1103" s="91"/>
      <c r="J1103" s="92"/>
      <c r="K1103" s="92"/>
      <c r="L1103" s="92"/>
      <c r="M1103" s="92"/>
    </row>
    <row r="1104" spans="1:13">
      <c r="A1104" s="134"/>
      <c r="B1104" s="135"/>
      <c r="C1104" s="92"/>
      <c r="D1104" s="92"/>
      <c r="E1104" s="92"/>
      <c r="F1104" s="92"/>
      <c r="G1104" s="92"/>
      <c r="H1104" s="92"/>
      <c r="I1104" s="91"/>
      <c r="J1104" s="92"/>
      <c r="K1104" s="92"/>
      <c r="L1104" s="92"/>
      <c r="M1104" s="92"/>
    </row>
    <row r="1105" spans="1:13">
      <c r="A1105" s="134"/>
      <c r="B1105" s="135"/>
      <c r="C1105" s="92"/>
      <c r="D1105" s="92"/>
      <c r="E1105" s="92"/>
      <c r="F1105" s="92"/>
      <c r="G1105" s="92"/>
      <c r="H1105" s="92"/>
      <c r="I1105" s="91"/>
      <c r="J1105" s="92"/>
      <c r="K1105" s="92"/>
      <c r="L1105" s="92"/>
      <c r="M1105" s="92"/>
    </row>
    <row r="1106" spans="1:13">
      <c r="A1106" s="134"/>
      <c r="B1106" s="135"/>
      <c r="C1106" s="92"/>
      <c r="D1106" s="92"/>
      <c r="E1106" s="92"/>
      <c r="F1106" s="92"/>
      <c r="G1106" s="92"/>
      <c r="H1106" s="92"/>
      <c r="I1106" s="91"/>
      <c r="J1106" s="92"/>
      <c r="K1106" s="92"/>
      <c r="L1106" s="92"/>
      <c r="M1106" s="92"/>
    </row>
    <row r="1107" spans="1:13">
      <c r="A1107" s="134"/>
      <c r="B1107" s="135"/>
      <c r="C1107" s="92"/>
      <c r="D1107" s="92"/>
      <c r="E1107" s="92"/>
      <c r="F1107" s="92"/>
      <c r="G1107" s="92"/>
      <c r="H1107" s="92"/>
      <c r="I1107" s="91"/>
      <c r="J1107" s="92"/>
      <c r="K1107" s="92"/>
      <c r="L1107" s="92"/>
      <c r="M1107" s="92"/>
    </row>
    <row r="1108" spans="1:13">
      <c r="A1108" s="134"/>
      <c r="B1108" s="135"/>
      <c r="C1108" s="92"/>
      <c r="D1108" s="92"/>
      <c r="E1108" s="92"/>
      <c r="F1108" s="92"/>
      <c r="G1108" s="92"/>
      <c r="H1108" s="92"/>
      <c r="I1108" s="91"/>
      <c r="J1108" s="92"/>
      <c r="K1108" s="92"/>
      <c r="L1108" s="92"/>
      <c r="M1108" s="92"/>
    </row>
    <row r="1109" spans="1:13">
      <c r="A1109" s="134"/>
      <c r="B1109" s="135"/>
      <c r="C1109" s="92"/>
      <c r="D1109" s="92"/>
      <c r="E1109" s="92"/>
      <c r="F1109" s="92"/>
      <c r="G1109" s="92"/>
      <c r="H1109" s="92"/>
      <c r="I1109" s="91"/>
      <c r="J1109" s="92"/>
      <c r="K1109" s="92"/>
      <c r="L1109" s="92"/>
      <c r="M1109" s="92"/>
    </row>
    <row r="1110" spans="1:13">
      <c r="A1110" s="134"/>
      <c r="B1110" s="135"/>
      <c r="C1110" s="92"/>
      <c r="D1110" s="92"/>
      <c r="E1110" s="92"/>
      <c r="F1110" s="92"/>
      <c r="G1110" s="92"/>
      <c r="H1110" s="92"/>
      <c r="I1110" s="91"/>
      <c r="J1110" s="92"/>
      <c r="K1110" s="92"/>
      <c r="L1110" s="92"/>
      <c r="M1110" s="92"/>
    </row>
    <row r="1111" spans="1:13">
      <c r="A1111" s="134"/>
      <c r="B1111" s="135"/>
      <c r="C1111" s="92"/>
      <c r="D1111" s="92"/>
      <c r="E1111" s="92"/>
      <c r="F1111" s="92"/>
      <c r="G1111" s="92"/>
      <c r="H1111" s="92"/>
      <c r="I1111" s="91"/>
      <c r="J1111" s="92"/>
      <c r="K1111" s="92"/>
      <c r="L1111" s="92"/>
      <c r="M1111" s="92"/>
    </row>
    <row r="1112" spans="1:13">
      <c r="A1112" s="134"/>
      <c r="B1112" s="135"/>
      <c r="C1112" s="92"/>
      <c r="D1112" s="92"/>
      <c r="E1112" s="92"/>
      <c r="F1112" s="92"/>
      <c r="G1112" s="92"/>
      <c r="H1112" s="92"/>
      <c r="I1112" s="91"/>
      <c r="J1112" s="92"/>
      <c r="K1112" s="92"/>
      <c r="L1112" s="92"/>
      <c r="M1112" s="92"/>
    </row>
    <row r="1113" spans="1:13">
      <c r="A1113" s="134"/>
      <c r="B1113" s="135"/>
      <c r="C1113" s="92"/>
      <c r="D1113" s="92"/>
      <c r="E1113" s="92"/>
      <c r="F1113" s="92"/>
      <c r="G1113" s="92"/>
      <c r="H1113" s="92"/>
      <c r="I1113" s="91"/>
      <c r="J1113" s="92"/>
      <c r="K1113" s="92"/>
      <c r="L1113" s="92"/>
      <c r="M1113" s="92"/>
    </row>
    <row r="1114" spans="1:13">
      <c r="A1114" s="134"/>
      <c r="B1114" s="135"/>
      <c r="C1114" s="92"/>
      <c r="D1114" s="92"/>
      <c r="E1114" s="92"/>
      <c r="F1114" s="92"/>
      <c r="G1114" s="92"/>
      <c r="H1114" s="92"/>
      <c r="I1114" s="91"/>
      <c r="J1114" s="92"/>
      <c r="K1114" s="92"/>
      <c r="L1114" s="92"/>
      <c r="M1114" s="92"/>
    </row>
    <row r="1115" spans="1:13">
      <c r="A1115" s="134"/>
      <c r="B1115" s="135"/>
      <c r="C1115" s="92"/>
      <c r="D1115" s="92"/>
      <c r="E1115" s="92"/>
      <c r="F1115" s="92"/>
      <c r="G1115" s="92"/>
      <c r="H1115" s="92"/>
      <c r="I1115" s="91"/>
      <c r="J1115" s="92"/>
      <c r="K1115" s="92"/>
      <c r="L1115" s="92"/>
      <c r="M1115" s="92"/>
    </row>
    <row r="1116" spans="1:13">
      <c r="A1116" s="134"/>
      <c r="B1116" s="135"/>
      <c r="C1116" s="92"/>
      <c r="D1116" s="92"/>
      <c r="E1116" s="92"/>
      <c r="F1116" s="92"/>
      <c r="G1116" s="92"/>
      <c r="H1116" s="92"/>
      <c r="I1116" s="91"/>
      <c r="J1116" s="92"/>
      <c r="K1116" s="92"/>
      <c r="L1116" s="92"/>
      <c r="M1116" s="92"/>
    </row>
    <row r="1117" spans="1:13">
      <c r="A1117" s="134"/>
      <c r="B1117" s="135"/>
      <c r="C1117" s="92"/>
      <c r="D1117" s="92"/>
      <c r="E1117" s="92"/>
      <c r="F1117" s="92"/>
      <c r="G1117" s="92"/>
      <c r="H1117" s="92"/>
      <c r="I1117" s="91"/>
      <c r="J1117" s="92"/>
      <c r="K1117" s="92"/>
      <c r="L1117" s="92"/>
      <c r="M1117" s="92"/>
    </row>
    <row r="1118" spans="1:13">
      <c r="A1118" s="134"/>
      <c r="B1118" s="135"/>
      <c r="C1118" s="92"/>
      <c r="D1118" s="92"/>
      <c r="E1118" s="92"/>
      <c r="F1118" s="92"/>
      <c r="G1118" s="92"/>
      <c r="H1118" s="92"/>
      <c r="I1118" s="91"/>
      <c r="J1118" s="92"/>
      <c r="K1118" s="92"/>
      <c r="L1118" s="92"/>
      <c r="M1118" s="92"/>
    </row>
    <row r="1119" spans="1:13">
      <c r="A1119" s="134"/>
      <c r="B1119" s="135"/>
      <c r="C1119" s="92"/>
      <c r="D1119" s="92"/>
      <c r="E1119" s="92"/>
      <c r="F1119" s="92"/>
      <c r="G1119" s="92"/>
      <c r="H1119" s="92"/>
      <c r="I1119" s="91"/>
      <c r="J1119" s="92"/>
      <c r="K1119" s="92"/>
      <c r="L1119" s="92"/>
      <c r="M1119" s="92"/>
    </row>
    <row r="1120" spans="1:13">
      <c r="A1120" s="134"/>
      <c r="B1120" s="135"/>
      <c r="C1120" s="92"/>
      <c r="D1120" s="92"/>
      <c r="E1120" s="92"/>
      <c r="F1120" s="92"/>
      <c r="G1120" s="92"/>
      <c r="H1120" s="92"/>
      <c r="I1120" s="91"/>
      <c r="J1120" s="92"/>
      <c r="K1120" s="92"/>
      <c r="L1120" s="92"/>
      <c r="M1120" s="92"/>
    </row>
    <row r="1121" spans="1:13">
      <c r="A1121" s="134"/>
      <c r="B1121" s="135"/>
      <c r="C1121" s="92"/>
      <c r="D1121" s="92"/>
      <c r="E1121" s="92"/>
      <c r="F1121" s="92"/>
      <c r="G1121" s="92"/>
      <c r="H1121" s="92"/>
      <c r="I1121" s="91"/>
      <c r="J1121" s="92"/>
      <c r="K1121" s="92"/>
      <c r="L1121" s="92"/>
      <c r="M1121" s="92"/>
    </row>
    <row r="1122" spans="1:13">
      <c r="A1122" s="134"/>
      <c r="B1122" s="135"/>
      <c r="C1122" s="92"/>
      <c r="D1122" s="92"/>
      <c r="E1122" s="92"/>
      <c r="F1122" s="92"/>
      <c r="G1122" s="92"/>
      <c r="H1122" s="92"/>
      <c r="I1122" s="91"/>
      <c r="J1122" s="92"/>
      <c r="K1122" s="92"/>
      <c r="L1122" s="92"/>
      <c r="M1122" s="92"/>
    </row>
    <row r="1123" spans="1:13">
      <c r="A1123" s="134"/>
      <c r="B1123" s="135"/>
      <c r="C1123" s="92"/>
      <c r="D1123" s="92"/>
      <c r="E1123" s="92"/>
      <c r="F1123" s="92"/>
      <c r="G1123" s="92"/>
      <c r="H1123" s="92"/>
      <c r="I1123" s="91"/>
      <c r="J1123" s="92"/>
      <c r="K1123" s="92"/>
      <c r="L1123" s="92"/>
      <c r="M1123" s="92"/>
    </row>
    <row r="1124" spans="1:13">
      <c r="A1124" s="134"/>
      <c r="B1124" s="135"/>
      <c r="C1124" s="92"/>
      <c r="D1124" s="92"/>
      <c r="E1124" s="92"/>
      <c r="F1124" s="92"/>
      <c r="G1124" s="92"/>
      <c r="H1124" s="92"/>
      <c r="I1124" s="91"/>
      <c r="J1124" s="92"/>
      <c r="K1124" s="92"/>
      <c r="L1124" s="92"/>
      <c r="M1124" s="92"/>
    </row>
    <row r="1125" spans="1:13">
      <c r="A1125" s="134"/>
      <c r="B1125" s="135"/>
      <c r="C1125" s="92"/>
      <c r="D1125" s="92"/>
      <c r="E1125" s="92"/>
      <c r="F1125" s="92"/>
      <c r="G1125" s="92"/>
      <c r="H1125" s="92"/>
      <c r="I1125" s="91"/>
      <c r="J1125" s="92"/>
      <c r="K1125" s="92"/>
      <c r="L1125" s="92"/>
      <c r="M1125" s="92"/>
    </row>
    <row r="1126" spans="1:13">
      <c r="A1126" s="134"/>
      <c r="B1126" s="135"/>
      <c r="C1126" s="92"/>
      <c r="D1126" s="92"/>
      <c r="E1126" s="92"/>
      <c r="F1126" s="92"/>
      <c r="G1126" s="92"/>
      <c r="H1126" s="92"/>
      <c r="I1126" s="91"/>
      <c r="J1126" s="92"/>
      <c r="K1126" s="92"/>
      <c r="L1126" s="92"/>
      <c r="M1126" s="92"/>
    </row>
    <row r="1127" spans="1:13">
      <c r="A1127" s="134"/>
      <c r="B1127" s="135"/>
      <c r="C1127" s="92"/>
      <c r="D1127" s="92"/>
      <c r="E1127" s="92"/>
      <c r="F1127" s="92"/>
      <c r="G1127" s="92"/>
      <c r="H1127" s="92"/>
      <c r="I1127" s="91"/>
      <c r="J1127" s="92"/>
      <c r="K1127" s="92"/>
      <c r="L1127" s="92"/>
      <c r="M1127" s="92"/>
    </row>
    <row r="1128" spans="1:13">
      <c r="A1128" s="134"/>
      <c r="B1128" s="135"/>
      <c r="C1128" s="92"/>
      <c r="D1128" s="92"/>
      <c r="E1128" s="92"/>
      <c r="F1128" s="92"/>
      <c r="G1128" s="92"/>
      <c r="H1128" s="92"/>
      <c r="I1128" s="91"/>
      <c r="J1128" s="92"/>
      <c r="K1128" s="92"/>
      <c r="L1128" s="92"/>
      <c r="M1128" s="92"/>
    </row>
    <row r="1129" spans="1:13">
      <c r="A1129" s="134"/>
      <c r="B1129" s="135"/>
      <c r="C1129" s="92"/>
      <c r="D1129" s="92"/>
      <c r="E1129" s="92"/>
      <c r="F1129" s="92"/>
      <c r="G1129" s="92"/>
      <c r="H1129" s="92"/>
      <c r="I1129" s="91"/>
      <c r="J1129" s="92"/>
      <c r="K1129" s="92"/>
      <c r="L1129" s="92"/>
      <c r="M1129" s="92"/>
    </row>
    <row r="1130" spans="1:13">
      <c r="A1130" s="134"/>
      <c r="B1130" s="135"/>
      <c r="C1130" s="92"/>
      <c r="D1130" s="92"/>
      <c r="E1130" s="92"/>
      <c r="F1130" s="92"/>
      <c r="G1130" s="92"/>
      <c r="H1130" s="92"/>
      <c r="I1130" s="91"/>
      <c r="J1130" s="92"/>
      <c r="K1130" s="92"/>
      <c r="L1130" s="92"/>
      <c r="M1130" s="92"/>
    </row>
    <row r="1131" spans="1:13">
      <c r="A1131" s="134"/>
      <c r="B1131" s="135"/>
      <c r="C1131" s="92"/>
      <c r="D1131" s="92"/>
      <c r="E1131" s="92"/>
      <c r="F1131" s="92"/>
      <c r="G1131" s="92"/>
      <c r="H1131" s="92"/>
      <c r="I1131" s="91"/>
      <c r="J1131" s="92"/>
      <c r="K1131" s="92"/>
      <c r="L1131" s="92"/>
      <c r="M1131" s="92"/>
    </row>
    <row r="1132" spans="1:13">
      <c r="A1132" s="134"/>
      <c r="B1132" s="135"/>
      <c r="C1132" s="92"/>
      <c r="D1132" s="92"/>
      <c r="E1132" s="92"/>
      <c r="F1132" s="92"/>
      <c r="G1132" s="92"/>
      <c r="H1132" s="92"/>
      <c r="I1132" s="91"/>
      <c r="J1132" s="92"/>
      <c r="K1132" s="92"/>
      <c r="L1132" s="92"/>
      <c r="M1132" s="92"/>
    </row>
    <row r="1133" spans="1:13">
      <c r="A1133" s="134"/>
      <c r="B1133" s="135"/>
      <c r="C1133" s="92"/>
      <c r="D1133" s="92"/>
      <c r="E1133" s="92"/>
      <c r="F1133" s="92"/>
      <c r="G1133" s="92"/>
      <c r="H1133" s="92"/>
      <c r="I1133" s="91"/>
      <c r="J1133" s="92"/>
      <c r="K1133" s="92"/>
      <c r="L1133" s="92"/>
      <c r="M1133" s="92"/>
    </row>
    <row r="1134" spans="1:13">
      <c r="A1134" s="134"/>
      <c r="B1134" s="135"/>
      <c r="C1134" s="92"/>
      <c r="D1134" s="92"/>
      <c r="E1134" s="92"/>
      <c r="F1134" s="92"/>
      <c r="G1134" s="92"/>
      <c r="H1134" s="92"/>
      <c r="I1134" s="91"/>
      <c r="J1134" s="92"/>
      <c r="K1134" s="92"/>
      <c r="L1134" s="92"/>
      <c r="M1134" s="92"/>
    </row>
    <row r="1135" spans="1:13">
      <c r="A1135" s="134"/>
      <c r="B1135" s="135"/>
      <c r="C1135" s="92"/>
      <c r="D1135" s="92"/>
      <c r="E1135" s="92"/>
      <c r="F1135" s="92"/>
      <c r="G1135" s="92"/>
      <c r="H1135" s="92"/>
      <c r="I1135" s="91"/>
      <c r="J1135" s="92"/>
      <c r="K1135" s="92"/>
      <c r="L1135" s="92"/>
      <c r="M1135" s="92"/>
    </row>
    <row r="1136" spans="1:13">
      <c r="A1136" s="134"/>
      <c r="B1136" s="135"/>
      <c r="C1136" s="92"/>
      <c r="D1136" s="92"/>
      <c r="E1136" s="92"/>
      <c r="F1136" s="92"/>
      <c r="G1136" s="92"/>
      <c r="H1136" s="92"/>
      <c r="I1136" s="91"/>
      <c r="J1136" s="92"/>
      <c r="K1136" s="92"/>
      <c r="L1136" s="92"/>
      <c r="M1136" s="92"/>
    </row>
    <row r="1137" spans="1:13">
      <c r="A1137" s="134"/>
      <c r="B1137" s="135"/>
      <c r="C1137" s="92"/>
      <c r="D1137" s="92"/>
      <c r="E1137" s="92"/>
      <c r="F1137" s="92"/>
      <c r="G1137" s="92"/>
      <c r="H1137" s="92"/>
      <c r="I1137" s="91"/>
      <c r="J1137" s="92"/>
      <c r="K1137" s="92"/>
      <c r="L1137" s="92"/>
      <c r="M1137" s="92"/>
    </row>
    <row r="1138" spans="1:13">
      <c r="A1138" s="134"/>
      <c r="B1138" s="135"/>
      <c r="C1138" s="92"/>
      <c r="D1138" s="92"/>
      <c r="E1138" s="92"/>
      <c r="F1138" s="92"/>
      <c r="G1138" s="92"/>
      <c r="H1138" s="92"/>
      <c r="I1138" s="91"/>
      <c r="J1138" s="92"/>
      <c r="K1138" s="92"/>
      <c r="L1138" s="92"/>
      <c r="M1138" s="92"/>
    </row>
    <row r="1139" spans="1:13">
      <c r="A1139" s="134"/>
      <c r="B1139" s="135"/>
      <c r="C1139" s="92"/>
      <c r="D1139" s="92"/>
      <c r="E1139" s="92"/>
      <c r="F1139" s="92"/>
      <c r="G1139" s="92"/>
      <c r="H1139" s="92"/>
      <c r="I1139" s="91"/>
      <c r="J1139" s="92"/>
      <c r="K1139" s="92"/>
      <c r="L1139" s="92"/>
      <c r="M1139" s="92"/>
    </row>
    <row r="1140" spans="1:13">
      <c r="A1140" s="134"/>
      <c r="B1140" s="135"/>
      <c r="C1140" s="92"/>
      <c r="D1140" s="92"/>
      <c r="E1140" s="92"/>
      <c r="F1140" s="92"/>
      <c r="G1140" s="92"/>
      <c r="H1140" s="92"/>
      <c r="I1140" s="91"/>
      <c r="J1140" s="92"/>
      <c r="K1140" s="92"/>
      <c r="L1140" s="92"/>
      <c r="M1140" s="92"/>
    </row>
    <row r="1141" spans="1:13">
      <c r="A1141" s="134"/>
      <c r="B1141" s="135"/>
      <c r="C1141" s="92"/>
      <c r="D1141" s="92"/>
      <c r="E1141" s="92"/>
      <c r="F1141" s="92"/>
      <c r="G1141" s="92"/>
      <c r="H1141" s="92"/>
      <c r="I1141" s="91"/>
      <c r="J1141" s="92"/>
      <c r="K1141" s="92"/>
      <c r="L1141" s="92"/>
      <c r="M1141" s="92"/>
    </row>
    <row r="1142" spans="1:13">
      <c r="A1142" s="134"/>
      <c r="B1142" s="135"/>
      <c r="C1142" s="92"/>
      <c r="D1142" s="92"/>
      <c r="E1142" s="92"/>
      <c r="F1142" s="92"/>
      <c r="G1142" s="92"/>
      <c r="H1142" s="92"/>
      <c r="I1142" s="91"/>
      <c r="J1142" s="92"/>
      <c r="K1142" s="92"/>
      <c r="L1142" s="92"/>
      <c r="M1142" s="92"/>
    </row>
    <row r="1143" spans="1:13">
      <c r="A1143" s="134"/>
      <c r="B1143" s="135"/>
      <c r="C1143" s="92"/>
      <c r="D1143" s="92"/>
      <c r="E1143" s="92"/>
      <c r="F1143" s="92"/>
      <c r="G1143" s="92"/>
      <c r="H1143" s="92"/>
      <c r="I1143" s="91"/>
      <c r="J1143" s="92"/>
      <c r="K1143" s="92"/>
      <c r="L1143" s="92"/>
      <c r="M1143" s="92"/>
    </row>
    <row r="1144" spans="1:13">
      <c r="A1144" s="134"/>
      <c r="B1144" s="135"/>
      <c r="C1144" s="92"/>
      <c r="D1144" s="92"/>
      <c r="E1144" s="92"/>
      <c r="F1144" s="92"/>
      <c r="G1144" s="92"/>
      <c r="H1144" s="92"/>
      <c r="I1144" s="91"/>
      <c r="J1144" s="92"/>
      <c r="K1144" s="92"/>
      <c r="L1144" s="92"/>
      <c r="M1144" s="92"/>
    </row>
    <row r="1145" spans="1:13">
      <c r="A1145" s="134"/>
      <c r="B1145" s="135"/>
      <c r="C1145" s="92"/>
      <c r="D1145" s="92"/>
      <c r="E1145" s="92"/>
      <c r="F1145" s="92"/>
      <c r="G1145" s="92"/>
      <c r="H1145" s="92"/>
      <c r="I1145" s="91"/>
      <c r="J1145" s="92"/>
      <c r="K1145" s="92"/>
      <c r="L1145" s="92"/>
      <c r="M1145" s="92"/>
    </row>
    <row r="1146" spans="1:13">
      <c r="A1146" s="134"/>
      <c r="B1146" s="135"/>
      <c r="C1146" s="92"/>
      <c r="D1146" s="92"/>
      <c r="E1146" s="92"/>
      <c r="F1146" s="92"/>
      <c r="G1146" s="92"/>
      <c r="H1146" s="92"/>
      <c r="I1146" s="91"/>
      <c r="J1146" s="92"/>
      <c r="K1146" s="92"/>
      <c r="L1146" s="92"/>
      <c r="M1146" s="92"/>
    </row>
    <row r="1147" spans="1:13">
      <c r="A1147" s="134"/>
      <c r="B1147" s="135"/>
      <c r="C1147" s="92"/>
      <c r="D1147" s="92"/>
      <c r="E1147" s="92"/>
      <c r="F1147" s="92"/>
      <c r="G1147" s="92"/>
      <c r="H1147" s="92"/>
      <c r="I1147" s="91"/>
      <c r="J1147" s="92"/>
      <c r="K1147" s="92"/>
      <c r="L1147" s="92"/>
      <c r="M1147" s="92"/>
    </row>
    <row r="1148" spans="1:13">
      <c r="A1148" s="134"/>
      <c r="B1148" s="135"/>
      <c r="C1148" s="92"/>
      <c r="D1148" s="92"/>
      <c r="E1148" s="92"/>
      <c r="F1148" s="92"/>
      <c r="G1148" s="92"/>
      <c r="H1148" s="92"/>
      <c r="I1148" s="91"/>
      <c r="J1148" s="92"/>
      <c r="K1148" s="92"/>
      <c r="L1148" s="92"/>
      <c r="M1148" s="92"/>
    </row>
    <row r="1149" spans="1:13">
      <c r="A1149" s="134"/>
      <c r="B1149" s="135"/>
      <c r="C1149" s="92"/>
      <c r="D1149" s="92"/>
      <c r="E1149" s="92"/>
      <c r="F1149" s="92"/>
      <c r="G1149" s="92"/>
      <c r="H1149" s="92"/>
      <c r="I1149" s="91"/>
      <c r="J1149" s="92"/>
      <c r="K1149" s="92"/>
      <c r="L1149" s="92"/>
      <c r="M1149" s="92"/>
    </row>
    <row r="1150" spans="1:13">
      <c r="A1150" s="134"/>
      <c r="B1150" s="135"/>
      <c r="C1150" s="92"/>
      <c r="D1150" s="92"/>
      <c r="E1150" s="92"/>
      <c r="F1150" s="92"/>
      <c r="G1150" s="92"/>
      <c r="H1150" s="92"/>
      <c r="I1150" s="91"/>
      <c r="J1150" s="92"/>
      <c r="K1150" s="92"/>
      <c r="L1150" s="92"/>
      <c r="M1150" s="92"/>
    </row>
    <row r="1151" spans="1:13">
      <c r="A1151" s="134"/>
      <c r="B1151" s="135"/>
      <c r="C1151" s="92"/>
      <c r="D1151" s="92"/>
      <c r="E1151" s="92"/>
      <c r="F1151" s="92"/>
      <c r="G1151" s="92"/>
      <c r="H1151" s="92"/>
      <c r="I1151" s="91"/>
      <c r="J1151" s="92"/>
      <c r="K1151" s="92"/>
      <c r="L1151" s="92"/>
      <c r="M1151" s="92"/>
    </row>
    <row r="1152" spans="1:13">
      <c r="A1152" s="134"/>
      <c r="B1152" s="135"/>
      <c r="C1152" s="92"/>
      <c r="D1152" s="92"/>
      <c r="E1152" s="92"/>
      <c r="F1152" s="92"/>
      <c r="G1152" s="92"/>
      <c r="H1152" s="92"/>
      <c r="I1152" s="91"/>
      <c r="J1152" s="92"/>
      <c r="K1152" s="92"/>
      <c r="L1152" s="92"/>
      <c r="M1152" s="92"/>
    </row>
    <row r="1153" spans="1:13">
      <c r="A1153" s="134"/>
      <c r="B1153" s="135"/>
      <c r="C1153" s="92"/>
      <c r="D1153" s="92"/>
      <c r="E1153" s="92"/>
      <c r="F1153" s="92"/>
      <c r="G1153" s="92"/>
      <c r="H1153" s="92"/>
      <c r="I1153" s="91"/>
      <c r="J1153" s="92"/>
      <c r="K1153" s="92"/>
      <c r="L1153" s="92"/>
      <c r="M1153" s="92"/>
    </row>
    <row r="1154" spans="1:13">
      <c r="A1154" s="134"/>
      <c r="B1154" s="135"/>
      <c r="C1154" s="92"/>
      <c r="D1154" s="92"/>
      <c r="E1154" s="92"/>
      <c r="F1154" s="92"/>
      <c r="G1154" s="92"/>
      <c r="H1154" s="92"/>
      <c r="I1154" s="91"/>
      <c r="J1154" s="92"/>
      <c r="K1154" s="92"/>
      <c r="L1154" s="92"/>
      <c r="M1154" s="92"/>
    </row>
    <row r="1155" spans="1:13">
      <c r="A1155" s="134"/>
      <c r="B1155" s="135"/>
      <c r="C1155" s="92"/>
      <c r="D1155" s="92"/>
      <c r="E1155" s="92"/>
      <c r="F1155" s="92"/>
      <c r="G1155" s="92"/>
      <c r="H1155" s="92"/>
      <c r="I1155" s="91"/>
      <c r="J1155" s="92"/>
      <c r="K1155" s="92"/>
      <c r="L1155" s="92"/>
      <c r="M1155" s="92"/>
    </row>
    <row r="1156" spans="1:13">
      <c r="A1156" s="134"/>
      <c r="B1156" s="135"/>
      <c r="C1156" s="92"/>
      <c r="D1156" s="92"/>
      <c r="E1156" s="92"/>
      <c r="F1156" s="92"/>
      <c r="G1156" s="92"/>
      <c r="H1156" s="92"/>
      <c r="I1156" s="91"/>
      <c r="J1156" s="92"/>
      <c r="K1156" s="92"/>
      <c r="L1156" s="92"/>
      <c r="M1156" s="92"/>
    </row>
    <row r="1157" spans="1:13">
      <c r="A1157" s="134"/>
      <c r="B1157" s="135"/>
      <c r="C1157" s="92"/>
      <c r="D1157" s="92"/>
      <c r="E1157" s="92"/>
      <c r="F1157" s="92"/>
      <c r="G1157" s="92"/>
      <c r="H1157" s="92"/>
      <c r="I1157" s="91"/>
      <c r="J1157" s="92"/>
      <c r="K1157" s="92"/>
      <c r="L1157" s="92"/>
      <c r="M1157" s="92"/>
    </row>
    <row r="1158" spans="1:13">
      <c r="A1158" s="134"/>
      <c r="B1158" s="135"/>
      <c r="C1158" s="92"/>
      <c r="D1158" s="92"/>
      <c r="E1158" s="92"/>
      <c r="F1158" s="92"/>
      <c r="G1158" s="92"/>
      <c r="H1158" s="92"/>
      <c r="I1158" s="91"/>
      <c r="J1158" s="92"/>
      <c r="K1158" s="92"/>
      <c r="L1158" s="92"/>
      <c r="M1158" s="92"/>
    </row>
    <row r="1159" spans="1:13">
      <c r="A1159" s="134"/>
      <c r="B1159" s="135"/>
      <c r="C1159" s="92"/>
      <c r="D1159" s="92"/>
      <c r="E1159" s="92"/>
      <c r="F1159" s="92"/>
      <c r="G1159" s="92"/>
      <c r="H1159" s="92"/>
      <c r="I1159" s="91"/>
      <c r="J1159" s="92"/>
      <c r="K1159" s="92"/>
      <c r="L1159" s="92"/>
      <c r="M1159" s="92"/>
    </row>
    <row r="1160" spans="1:13">
      <c r="A1160" s="134"/>
      <c r="B1160" s="135"/>
      <c r="C1160" s="92"/>
      <c r="D1160" s="92"/>
      <c r="E1160" s="92"/>
      <c r="F1160" s="92"/>
      <c r="G1160" s="92"/>
      <c r="H1160" s="92"/>
      <c r="I1160" s="91"/>
      <c r="J1160" s="92"/>
      <c r="K1160" s="92"/>
      <c r="L1160" s="92"/>
      <c r="M1160" s="92"/>
    </row>
    <row r="1161" spans="1:13">
      <c r="A1161" s="134"/>
      <c r="B1161" s="135"/>
      <c r="C1161" s="92"/>
      <c r="D1161" s="92"/>
      <c r="E1161" s="92"/>
      <c r="F1161" s="92"/>
      <c r="G1161" s="92"/>
      <c r="H1161" s="92"/>
      <c r="I1161" s="91"/>
      <c r="J1161" s="92"/>
      <c r="K1161" s="92"/>
      <c r="L1161" s="92"/>
      <c r="M1161" s="92"/>
    </row>
    <row r="1162" spans="1:13">
      <c r="A1162" s="134"/>
      <c r="B1162" s="135"/>
      <c r="C1162" s="92"/>
      <c r="D1162" s="92"/>
      <c r="E1162" s="92"/>
      <c r="F1162" s="92"/>
      <c r="G1162" s="92"/>
      <c r="H1162" s="92"/>
      <c r="I1162" s="91"/>
      <c r="J1162" s="92"/>
      <c r="K1162" s="92"/>
      <c r="L1162" s="92"/>
      <c r="M1162" s="92"/>
    </row>
    <row r="1163" spans="1:13">
      <c r="A1163" s="134"/>
      <c r="B1163" s="135"/>
      <c r="C1163" s="92"/>
      <c r="D1163" s="92"/>
      <c r="E1163" s="92"/>
      <c r="F1163" s="92"/>
      <c r="G1163" s="92"/>
      <c r="H1163" s="92"/>
      <c r="I1163" s="91"/>
      <c r="J1163" s="92"/>
      <c r="K1163" s="92"/>
      <c r="L1163" s="92"/>
      <c r="M1163" s="92"/>
    </row>
    <row r="1164" spans="1:13">
      <c r="A1164" s="134"/>
      <c r="B1164" s="135"/>
      <c r="C1164" s="92"/>
      <c r="D1164" s="92"/>
      <c r="E1164" s="92"/>
      <c r="F1164" s="92"/>
      <c r="G1164" s="92"/>
      <c r="H1164" s="92"/>
      <c r="I1164" s="91"/>
      <c r="J1164" s="92"/>
      <c r="K1164" s="92"/>
      <c r="L1164" s="92"/>
      <c r="M1164" s="92"/>
    </row>
    <row r="1165" spans="1:13">
      <c r="A1165" s="134"/>
      <c r="B1165" s="135"/>
      <c r="C1165" s="92"/>
      <c r="D1165" s="92"/>
      <c r="E1165" s="92"/>
      <c r="F1165" s="92"/>
      <c r="G1165" s="92"/>
      <c r="H1165" s="92"/>
      <c r="I1165" s="91"/>
      <c r="J1165" s="92"/>
      <c r="K1165" s="92"/>
      <c r="L1165" s="92"/>
      <c r="M1165" s="92"/>
    </row>
    <row r="1166" spans="1:13">
      <c r="A1166" s="134"/>
      <c r="B1166" s="135"/>
      <c r="C1166" s="92"/>
      <c r="D1166" s="92"/>
      <c r="E1166" s="92"/>
      <c r="F1166" s="92"/>
      <c r="G1166" s="92"/>
      <c r="H1166" s="92"/>
      <c r="I1166" s="91"/>
      <c r="J1166" s="92"/>
      <c r="K1166" s="92"/>
      <c r="L1166" s="92"/>
      <c r="M1166" s="92"/>
    </row>
    <row r="1167" spans="1:13">
      <c r="A1167" s="134"/>
      <c r="B1167" s="135"/>
      <c r="C1167" s="92"/>
      <c r="D1167" s="92"/>
      <c r="E1167" s="92"/>
      <c r="F1167" s="92"/>
      <c r="G1167" s="92"/>
      <c r="H1167" s="92"/>
      <c r="I1167" s="91"/>
      <c r="J1167" s="92"/>
      <c r="K1167" s="92"/>
      <c r="L1167" s="92"/>
      <c r="M1167" s="92"/>
    </row>
    <row r="1168" spans="1:13">
      <c r="A1168" s="134"/>
      <c r="B1168" s="135"/>
      <c r="C1168" s="92"/>
      <c r="D1168" s="92"/>
      <c r="E1168" s="92"/>
      <c r="F1168" s="92"/>
      <c r="G1168" s="92"/>
      <c r="H1168" s="92"/>
      <c r="I1168" s="91"/>
      <c r="J1168" s="92"/>
      <c r="K1168" s="92"/>
      <c r="L1168" s="92"/>
      <c r="M1168" s="92"/>
    </row>
    <row r="1169" spans="1:13">
      <c r="A1169" s="134"/>
      <c r="B1169" s="135"/>
      <c r="C1169" s="92"/>
      <c r="D1169" s="92"/>
      <c r="E1169" s="92"/>
      <c r="F1169" s="92"/>
      <c r="G1169" s="92"/>
      <c r="H1169" s="92"/>
      <c r="I1169" s="91"/>
      <c r="J1169" s="92"/>
      <c r="K1169" s="92"/>
      <c r="L1169" s="92"/>
      <c r="M1169" s="92"/>
    </row>
    <row r="1170" spans="1:13">
      <c r="A1170" s="134"/>
      <c r="B1170" s="135"/>
      <c r="C1170" s="92"/>
      <c r="D1170" s="92"/>
      <c r="E1170" s="92"/>
      <c r="F1170" s="92"/>
      <c r="G1170" s="92"/>
      <c r="H1170" s="92"/>
      <c r="I1170" s="91"/>
      <c r="J1170" s="92"/>
      <c r="K1170" s="92"/>
      <c r="L1170" s="92"/>
      <c r="M1170" s="92"/>
    </row>
    <row r="1171" spans="1:13">
      <c r="A1171" s="134"/>
      <c r="B1171" s="135"/>
      <c r="C1171" s="92"/>
      <c r="D1171" s="92"/>
      <c r="E1171" s="92"/>
      <c r="F1171" s="92"/>
      <c r="G1171" s="92"/>
      <c r="H1171" s="92"/>
      <c r="I1171" s="91"/>
      <c r="J1171" s="92"/>
      <c r="K1171" s="92"/>
      <c r="L1171" s="92"/>
      <c r="M1171" s="92"/>
    </row>
    <row r="1172" spans="1:13">
      <c r="A1172" s="134"/>
      <c r="B1172" s="135"/>
      <c r="C1172" s="92"/>
      <c r="D1172" s="92"/>
      <c r="E1172" s="92"/>
      <c r="F1172" s="92"/>
      <c r="G1172" s="92"/>
      <c r="H1172" s="92"/>
      <c r="I1172" s="91"/>
      <c r="J1172" s="92"/>
      <c r="K1172" s="92"/>
      <c r="L1172" s="92"/>
      <c r="M1172" s="92"/>
    </row>
    <row r="1173" spans="1:13">
      <c r="A1173" s="134"/>
      <c r="B1173" s="135"/>
      <c r="C1173" s="92"/>
      <c r="D1173" s="92"/>
      <c r="E1173" s="92"/>
      <c r="F1173" s="92"/>
      <c r="G1173" s="92"/>
      <c r="H1173" s="92"/>
      <c r="I1173" s="91"/>
      <c r="J1173" s="92"/>
      <c r="K1173" s="92"/>
      <c r="L1173" s="92"/>
      <c r="M1173" s="92"/>
    </row>
    <row r="1174" spans="1:13">
      <c r="A1174" s="134"/>
      <c r="B1174" s="135"/>
      <c r="C1174" s="92"/>
      <c r="D1174" s="92"/>
      <c r="E1174" s="92"/>
      <c r="F1174" s="92"/>
      <c r="G1174" s="92"/>
      <c r="H1174" s="92"/>
      <c r="I1174" s="91"/>
      <c r="J1174" s="92"/>
      <c r="K1174" s="92"/>
      <c r="L1174" s="92"/>
      <c r="M1174" s="92"/>
    </row>
    <row r="1175" spans="1:13">
      <c r="A1175" s="134"/>
      <c r="B1175" s="135"/>
      <c r="C1175" s="92"/>
      <c r="D1175" s="92"/>
      <c r="E1175" s="92"/>
      <c r="F1175" s="92"/>
      <c r="G1175" s="92"/>
      <c r="H1175" s="92"/>
      <c r="I1175" s="91"/>
      <c r="J1175" s="92"/>
      <c r="K1175" s="92"/>
      <c r="L1175" s="92"/>
      <c r="M1175" s="92"/>
    </row>
    <row r="1176" spans="1:13">
      <c r="A1176" s="134"/>
      <c r="B1176" s="135"/>
      <c r="C1176" s="92"/>
      <c r="D1176" s="92"/>
      <c r="E1176" s="92"/>
      <c r="F1176" s="92"/>
      <c r="G1176" s="92"/>
      <c r="H1176" s="92"/>
      <c r="I1176" s="91"/>
      <c r="J1176" s="92"/>
      <c r="K1176" s="92"/>
      <c r="L1176" s="92"/>
      <c r="M1176" s="92"/>
    </row>
    <row r="1177" spans="1:13">
      <c r="A1177" s="134"/>
      <c r="B1177" s="135"/>
      <c r="C1177" s="92"/>
      <c r="D1177" s="92"/>
      <c r="E1177" s="92"/>
      <c r="F1177" s="92"/>
      <c r="G1177" s="92"/>
      <c r="H1177" s="92"/>
      <c r="I1177" s="91"/>
      <c r="J1177" s="92"/>
      <c r="K1177" s="92"/>
      <c r="L1177" s="92"/>
      <c r="M1177" s="92"/>
    </row>
    <row r="1178" spans="1:13">
      <c r="A1178" s="134"/>
      <c r="B1178" s="135"/>
      <c r="C1178" s="92"/>
      <c r="D1178" s="92"/>
      <c r="E1178" s="92"/>
      <c r="F1178" s="92"/>
      <c r="G1178" s="92"/>
      <c r="H1178" s="92"/>
      <c r="I1178" s="91"/>
      <c r="J1178" s="92"/>
      <c r="K1178" s="92"/>
      <c r="L1178" s="92"/>
      <c r="M1178" s="92"/>
    </row>
    <row r="1179" spans="1:13">
      <c r="A1179" s="134"/>
      <c r="B1179" s="135"/>
      <c r="C1179" s="92"/>
      <c r="D1179" s="92"/>
      <c r="E1179" s="92"/>
      <c r="F1179" s="92"/>
      <c r="G1179" s="92"/>
      <c r="H1179" s="92"/>
      <c r="I1179" s="91"/>
      <c r="J1179" s="92"/>
      <c r="K1179" s="92"/>
      <c r="L1179" s="92"/>
      <c r="M1179" s="92"/>
    </row>
    <row r="1180" spans="1:13">
      <c r="A1180" s="134"/>
      <c r="B1180" s="135"/>
      <c r="C1180" s="92"/>
      <c r="D1180" s="92"/>
      <c r="E1180" s="92"/>
      <c r="F1180" s="92"/>
      <c r="G1180" s="92"/>
      <c r="H1180" s="92"/>
      <c r="I1180" s="91"/>
      <c r="J1180" s="92"/>
      <c r="K1180" s="92"/>
      <c r="L1180" s="92"/>
      <c r="M1180" s="92"/>
    </row>
    <row r="1181" spans="1:13">
      <c r="A1181" s="134"/>
      <c r="B1181" s="135"/>
      <c r="C1181" s="92"/>
      <c r="D1181" s="92"/>
      <c r="E1181" s="92"/>
      <c r="F1181" s="92"/>
      <c r="G1181" s="92"/>
      <c r="H1181" s="92"/>
      <c r="I1181" s="91"/>
      <c r="J1181" s="92"/>
      <c r="K1181" s="92"/>
      <c r="L1181" s="92"/>
      <c r="M1181" s="92"/>
    </row>
    <row r="1182" spans="1:13">
      <c r="A1182" s="134"/>
      <c r="B1182" s="135"/>
      <c r="C1182" s="92"/>
      <c r="D1182" s="92"/>
      <c r="E1182" s="92"/>
      <c r="F1182" s="92"/>
      <c r="G1182" s="92"/>
      <c r="H1182" s="92"/>
      <c r="I1182" s="91"/>
      <c r="J1182" s="92"/>
      <c r="K1182" s="92"/>
      <c r="L1182" s="92"/>
      <c r="M1182" s="92"/>
    </row>
    <row r="1183" spans="1:13">
      <c r="A1183" s="134"/>
      <c r="B1183" s="135"/>
      <c r="C1183" s="92"/>
      <c r="D1183" s="92"/>
      <c r="E1183" s="92"/>
      <c r="F1183" s="92"/>
      <c r="G1183" s="92"/>
      <c r="H1183" s="92"/>
      <c r="I1183" s="91"/>
      <c r="J1183" s="92"/>
      <c r="K1183" s="92"/>
      <c r="L1183" s="92"/>
      <c r="M1183" s="92"/>
    </row>
    <row r="1184" spans="1:13">
      <c r="A1184" s="134"/>
      <c r="B1184" s="135"/>
      <c r="C1184" s="92"/>
      <c r="D1184" s="92"/>
      <c r="E1184" s="92"/>
      <c r="F1184" s="92"/>
      <c r="G1184" s="92"/>
      <c r="H1184" s="92"/>
      <c r="I1184" s="91"/>
      <c r="J1184" s="92"/>
      <c r="K1184" s="92"/>
      <c r="L1184" s="92"/>
      <c r="M1184" s="92"/>
    </row>
    <row r="1185" spans="1:13">
      <c r="A1185" s="134"/>
      <c r="B1185" s="135"/>
      <c r="C1185" s="92"/>
      <c r="D1185" s="92"/>
      <c r="E1185" s="92"/>
      <c r="F1185" s="92"/>
      <c r="G1185" s="92"/>
      <c r="H1185" s="92"/>
      <c r="I1185" s="91"/>
      <c r="J1185" s="92"/>
      <c r="K1185" s="92"/>
      <c r="L1185" s="92"/>
      <c r="M1185" s="92"/>
    </row>
    <row r="1186" spans="1:13">
      <c r="A1186" s="134"/>
      <c r="B1186" s="135"/>
      <c r="C1186" s="92"/>
      <c r="D1186" s="92"/>
      <c r="E1186" s="92"/>
      <c r="F1186" s="92"/>
      <c r="G1186" s="92"/>
      <c r="H1186" s="92"/>
      <c r="I1186" s="91"/>
      <c r="J1186" s="92"/>
      <c r="K1186" s="92"/>
      <c r="L1186" s="92"/>
      <c r="M1186" s="92"/>
    </row>
    <row r="1187" spans="1:13">
      <c r="A1187" s="134"/>
      <c r="B1187" s="135"/>
      <c r="C1187" s="92"/>
      <c r="D1187" s="92"/>
      <c r="E1187" s="92"/>
      <c r="F1187" s="92"/>
      <c r="G1187" s="92"/>
      <c r="H1187" s="92"/>
      <c r="I1187" s="91"/>
      <c r="J1187" s="92"/>
      <c r="K1187" s="92"/>
      <c r="L1187" s="92"/>
      <c r="M1187" s="92"/>
    </row>
    <row r="1188" spans="1:13">
      <c r="A1188" s="134"/>
      <c r="B1188" s="135"/>
      <c r="C1188" s="92"/>
      <c r="D1188" s="92"/>
      <c r="E1188" s="92"/>
      <c r="F1188" s="92"/>
      <c r="G1188" s="92"/>
      <c r="H1188" s="92"/>
      <c r="I1188" s="91"/>
      <c r="J1188" s="92"/>
      <c r="K1188" s="92"/>
      <c r="L1188" s="92"/>
      <c r="M1188" s="92"/>
    </row>
    <row r="1189" spans="1:13">
      <c r="A1189" s="134"/>
      <c r="B1189" s="135"/>
      <c r="C1189" s="92"/>
      <c r="D1189" s="92"/>
      <c r="E1189" s="92"/>
      <c r="F1189" s="92"/>
      <c r="G1189" s="92"/>
      <c r="H1189" s="92"/>
      <c r="I1189" s="91"/>
      <c r="J1189" s="92"/>
      <c r="K1189" s="92"/>
      <c r="L1189" s="92"/>
      <c r="M1189" s="92"/>
    </row>
    <row r="1190" spans="1:13">
      <c r="A1190" s="134"/>
      <c r="B1190" s="135"/>
      <c r="C1190" s="92"/>
      <c r="D1190" s="92"/>
      <c r="E1190" s="92"/>
      <c r="F1190" s="92"/>
      <c r="G1190" s="92"/>
      <c r="H1190" s="92"/>
      <c r="I1190" s="91"/>
      <c r="J1190" s="92"/>
      <c r="K1190" s="92"/>
      <c r="L1190" s="92"/>
      <c r="M1190" s="92"/>
    </row>
    <row r="1191" spans="1:13">
      <c r="A1191" s="134"/>
      <c r="B1191" s="135"/>
      <c r="C1191" s="92"/>
      <c r="D1191" s="92"/>
      <c r="E1191" s="92"/>
      <c r="F1191" s="92"/>
      <c r="G1191" s="92"/>
      <c r="H1191" s="92"/>
      <c r="I1191" s="91"/>
      <c r="J1191" s="92"/>
      <c r="K1191" s="92"/>
      <c r="L1191" s="92"/>
      <c r="M1191" s="92"/>
    </row>
    <row r="1192" spans="1:13">
      <c r="A1192" s="134"/>
      <c r="B1192" s="135"/>
      <c r="C1192" s="92"/>
      <c r="D1192" s="92"/>
      <c r="E1192" s="92"/>
      <c r="F1192" s="92"/>
      <c r="G1192" s="92"/>
      <c r="H1192" s="92"/>
      <c r="I1192" s="91"/>
      <c r="J1192" s="92"/>
      <c r="K1192" s="92"/>
      <c r="L1192" s="92"/>
      <c r="M1192" s="92"/>
    </row>
    <row r="1193" spans="1:13">
      <c r="A1193" s="134"/>
      <c r="B1193" s="135"/>
      <c r="C1193" s="92"/>
      <c r="D1193" s="92"/>
      <c r="E1193" s="92"/>
      <c r="F1193" s="92"/>
      <c r="G1193" s="92"/>
      <c r="H1193" s="92"/>
      <c r="I1193" s="91"/>
      <c r="J1193" s="92"/>
      <c r="K1193" s="92"/>
      <c r="L1193" s="92"/>
      <c r="M1193" s="92"/>
    </row>
    <row r="1194" spans="1:13">
      <c r="A1194" s="134"/>
      <c r="B1194" s="135"/>
      <c r="C1194" s="92"/>
      <c r="D1194" s="92"/>
      <c r="E1194" s="92"/>
      <c r="F1194" s="92"/>
      <c r="G1194" s="92"/>
      <c r="H1194" s="92"/>
      <c r="I1194" s="91"/>
      <c r="J1194" s="92"/>
      <c r="K1194" s="92"/>
      <c r="L1194" s="92"/>
      <c r="M1194" s="92"/>
    </row>
    <row r="1195" spans="1:13">
      <c r="A1195" s="134"/>
      <c r="B1195" s="135"/>
      <c r="C1195" s="92"/>
      <c r="D1195" s="92"/>
      <c r="E1195" s="92"/>
      <c r="F1195" s="92"/>
      <c r="G1195" s="92"/>
      <c r="H1195" s="92"/>
      <c r="I1195" s="91"/>
      <c r="J1195" s="92"/>
      <c r="K1195" s="92"/>
      <c r="L1195" s="92"/>
      <c r="M1195" s="92"/>
    </row>
    <row r="1196" spans="1:13">
      <c r="A1196" s="134"/>
      <c r="B1196" s="135"/>
      <c r="C1196" s="92"/>
      <c r="D1196" s="92"/>
      <c r="E1196" s="92"/>
      <c r="F1196" s="92"/>
      <c r="G1196" s="92"/>
      <c r="H1196" s="92"/>
      <c r="I1196" s="91"/>
      <c r="J1196" s="92"/>
      <c r="K1196" s="92"/>
      <c r="L1196" s="92"/>
      <c r="M1196" s="92"/>
    </row>
    <row r="1197" spans="1:13">
      <c r="A1197" s="134"/>
      <c r="B1197" s="135"/>
      <c r="C1197" s="92"/>
      <c r="D1197" s="92"/>
      <c r="E1197" s="92"/>
      <c r="F1197" s="92"/>
      <c r="G1197" s="92"/>
      <c r="H1197" s="92"/>
      <c r="I1197" s="91"/>
      <c r="J1197" s="92"/>
      <c r="K1197" s="92"/>
      <c r="L1197" s="92"/>
      <c r="M1197" s="92"/>
    </row>
    <row r="1198" spans="1:13">
      <c r="A1198" s="134"/>
      <c r="B1198" s="135"/>
      <c r="C1198" s="92"/>
      <c r="D1198" s="92"/>
      <c r="E1198" s="92"/>
      <c r="F1198" s="92"/>
      <c r="G1198" s="92"/>
      <c r="H1198" s="92"/>
      <c r="I1198" s="91"/>
      <c r="J1198" s="92"/>
      <c r="K1198" s="92"/>
      <c r="L1198" s="92"/>
      <c r="M1198" s="92"/>
    </row>
    <row r="1199" spans="1:13">
      <c r="A1199" s="134"/>
      <c r="B1199" s="135"/>
      <c r="C1199" s="92"/>
      <c r="D1199" s="92"/>
      <c r="E1199" s="92"/>
      <c r="F1199" s="92"/>
      <c r="G1199" s="92"/>
      <c r="H1199" s="92"/>
      <c r="I1199" s="91"/>
      <c r="J1199" s="92"/>
      <c r="K1199" s="92"/>
      <c r="L1199" s="92"/>
      <c r="M1199" s="92"/>
    </row>
    <row r="1200" spans="1:13">
      <c r="A1200" s="134"/>
      <c r="B1200" s="135"/>
      <c r="C1200" s="92"/>
      <c r="D1200" s="92"/>
      <c r="E1200" s="92"/>
      <c r="F1200" s="92"/>
      <c r="G1200" s="92"/>
      <c r="H1200" s="92"/>
      <c r="I1200" s="91"/>
      <c r="J1200" s="92"/>
      <c r="K1200" s="92"/>
      <c r="L1200" s="92"/>
      <c r="M1200" s="92"/>
    </row>
    <row r="1201" spans="1:13">
      <c r="A1201" s="134"/>
      <c r="B1201" s="135"/>
      <c r="C1201" s="92"/>
      <c r="D1201" s="92"/>
      <c r="E1201" s="92"/>
      <c r="F1201" s="92"/>
      <c r="G1201" s="92"/>
      <c r="H1201" s="92"/>
      <c r="I1201" s="91"/>
      <c r="J1201" s="92"/>
      <c r="K1201" s="92"/>
      <c r="L1201" s="92"/>
      <c r="M1201" s="92"/>
    </row>
    <row r="1202" spans="1:13">
      <c r="A1202" s="134"/>
      <c r="B1202" s="135"/>
      <c r="C1202" s="92"/>
      <c r="D1202" s="92"/>
      <c r="E1202" s="92"/>
      <c r="F1202" s="92"/>
      <c r="G1202" s="92"/>
      <c r="H1202" s="92"/>
      <c r="I1202" s="91"/>
      <c r="J1202" s="92"/>
      <c r="K1202" s="92"/>
      <c r="L1202" s="92"/>
      <c r="M1202" s="92"/>
    </row>
    <row r="1203" spans="1:13">
      <c r="A1203" s="134"/>
      <c r="B1203" s="135"/>
      <c r="C1203" s="92"/>
      <c r="D1203" s="92"/>
      <c r="E1203" s="92"/>
      <c r="F1203" s="92"/>
      <c r="G1203" s="92"/>
      <c r="H1203" s="92"/>
      <c r="I1203" s="91"/>
      <c r="J1203" s="92"/>
      <c r="K1203" s="92"/>
      <c r="L1203" s="92"/>
      <c r="M1203" s="92"/>
    </row>
    <row r="1204" spans="1:13">
      <c r="A1204" s="134"/>
      <c r="B1204" s="135"/>
      <c r="C1204" s="92"/>
      <c r="D1204" s="92"/>
      <c r="E1204" s="92"/>
      <c r="F1204" s="92"/>
      <c r="G1204" s="92"/>
      <c r="H1204" s="92"/>
      <c r="I1204" s="91"/>
      <c r="J1204" s="92"/>
      <c r="K1204" s="92"/>
      <c r="L1204" s="92"/>
      <c r="M1204" s="92"/>
    </row>
    <row r="1205" spans="1:13">
      <c r="A1205" s="134"/>
      <c r="B1205" s="135"/>
      <c r="C1205" s="92"/>
      <c r="D1205" s="92"/>
      <c r="E1205" s="92"/>
      <c r="F1205" s="92"/>
      <c r="G1205" s="92"/>
      <c r="H1205" s="92"/>
      <c r="I1205" s="91"/>
      <c r="J1205" s="92"/>
      <c r="K1205" s="92"/>
      <c r="L1205" s="92"/>
      <c r="M1205" s="92"/>
    </row>
    <row r="1206" spans="1:13">
      <c r="A1206" s="134"/>
      <c r="B1206" s="135"/>
      <c r="C1206" s="92"/>
      <c r="D1206" s="92"/>
      <c r="E1206" s="92"/>
      <c r="F1206" s="92"/>
      <c r="G1206" s="92"/>
      <c r="H1206" s="92"/>
      <c r="I1206" s="91"/>
      <c r="J1206" s="92"/>
      <c r="K1206" s="92"/>
      <c r="L1206" s="92"/>
      <c r="M1206" s="92"/>
    </row>
    <row r="1207" spans="1:13">
      <c r="A1207" s="134"/>
      <c r="B1207" s="135"/>
      <c r="C1207" s="92"/>
      <c r="D1207" s="92"/>
      <c r="E1207" s="92"/>
      <c r="F1207" s="92"/>
      <c r="G1207" s="92"/>
      <c r="H1207" s="92"/>
      <c r="I1207" s="91"/>
      <c r="J1207" s="92"/>
      <c r="K1207" s="92"/>
      <c r="L1207" s="92"/>
      <c r="M1207" s="92"/>
    </row>
    <row r="1208" spans="1:13">
      <c r="A1208" s="134"/>
      <c r="B1208" s="135"/>
      <c r="C1208" s="92"/>
      <c r="D1208" s="92"/>
      <c r="E1208" s="92"/>
      <c r="F1208" s="92"/>
      <c r="G1208" s="92"/>
      <c r="H1208" s="92"/>
      <c r="I1208" s="91"/>
      <c r="J1208" s="92"/>
      <c r="K1208" s="92"/>
      <c r="L1208" s="92"/>
      <c r="M1208" s="92"/>
    </row>
    <row r="1209" spans="1:13">
      <c r="A1209" s="134"/>
      <c r="B1209" s="135"/>
      <c r="C1209" s="92"/>
      <c r="D1209" s="92"/>
      <c r="E1209" s="92"/>
      <c r="F1209" s="92"/>
      <c r="G1209" s="92"/>
      <c r="H1209" s="92"/>
      <c r="I1209" s="91"/>
      <c r="J1209" s="92"/>
      <c r="K1209" s="92"/>
      <c r="L1209" s="92"/>
      <c r="M1209" s="92"/>
    </row>
    <row r="1210" spans="1:13">
      <c r="A1210" s="134"/>
      <c r="B1210" s="135"/>
      <c r="C1210" s="92"/>
      <c r="D1210" s="92"/>
      <c r="E1210" s="92"/>
      <c r="F1210" s="92"/>
      <c r="G1210" s="92"/>
      <c r="H1210" s="92"/>
      <c r="I1210" s="91"/>
      <c r="J1210" s="92"/>
      <c r="K1210" s="92"/>
      <c r="L1210" s="92"/>
      <c r="M1210" s="92"/>
    </row>
    <row r="1211" spans="1:13">
      <c r="A1211" s="134"/>
      <c r="B1211" s="135"/>
      <c r="C1211" s="92"/>
      <c r="D1211" s="92"/>
      <c r="E1211" s="92"/>
      <c r="F1211" s="92"/>
      <c r="G1211" s="92"/>
      <c r="H1211" s="92"/>
      <c r="I1211" s="91"/>
      <c r="J1211" s="92"/>
      <c r="K1211" s="92"/>
      <c r="L1211" s="92"/>
      <c r="M1211" s="92"/>
    </row>
    <row r="1212" spans="1:13">
      <c r="A1212" s="134"/>
      <c r="B1212" s="135"/>
      <c r="C1212" s="92"/>
      <c r="D1212" s="92"/>
      <c r="E1212" s="92"/>
      <c r="F1212" s="92"/>
      <c r="G1212" s="92"/>
      <c r="H1212" s="92"/>
      <c r="I1212" s="91"/>
      <c r="J1212" s="92"/>
      <c r="K1212" s="92"/>
      <c r="L1212" s="92"/>
      <c r="M1212" s="92"/>
    </row>
    <row r="1213" spans="1:13">
      <c r="A1213" s="134"/>
      <c r="B1213" s="135"/>
      <c r="C1213" s="92"/>
      <c r="D1213" s="92"/>
      <c r="E1213" s="92"/>
      <c r="F1213" s="92"/>
      <c r="G1213" s="92"/>
      <c r="H1213" s="92"/>
      <c r="I1213" s="91"/>
      <c r="J1213" s="92"/>
      <c r="K1213" s="92"/>
      <c r="L1213" s="92"/>
      <c r="M1213" s="92"/>
    </row>
    <row r="1214" spans="1:13">
      <c r="A1214" s="134"/>
      <c r="B1214" s="135"/>
      <c r="C1214" s="92"/>
      <c r="D1214" s="92"/>
      <c r="E1214" s="92"/>
      <c r="F1214" s="92"/>
      <c r="G1214" s="92"/>
      <c r="H1214" s="92"/>
      <c r="I1214" s="91"/>
      <c r="J1214" s="92"/>
      <c r="K1214" s="92"/>
      <c r="L1214" s="92"/>
      <c r="M1214" s="92"/>
    </row>
    <row r="1215" spans="1:13">
      <c r="A1215" s="134"/>
      <c r="B1215" s="135"/>
      <c r="C1215" s="92"/>
      <c r="D1215" s="92"/>
      <c r="E1215" s="92"/>
      <c r="F1215" s="92"/>
      <c r="G1215" s="92"/>
      <c r="H1215" s="92"/>
      <c r="I1215" s="91"/>
      <c r="J1215" s="92"/>
      <c r="K1215" s="92"/>
      <c r="L1215" s="92"/>
      <c r="M1215" s="92"/>
    </row>
    <row r="1216" spans="1:13">
      <c r="A1216" s="134"/>
      <c r="B1216" s="135"/>
      <c r="C1216" s="92"/>
      <c r="D1216" s="92"/>
      <c r="E1216" s="92"/>
      <c r="F1216" s="92"/>
      <c r="G1216" s="92"/>
      <c r="H1216" s="92"/>
      <c r="I1216" s="91"/>
      <c r="J1216" s="92"/>
      <c r="K1216" s="92"/>
      <c r="L1216" s="92"/>
      <c r="M1216" s="92"/>
    </row>
    <row r="1217" spans="1:13">
      <c r="A1217" s="134"/>
      <c r="B1217" s="135"/>
      <c r="C1217" s="92"/>
      <c r="D1217" s="92"/>
      <c r="E1217" s="92"/>
      <c r="F1217" s="92"/>
      <c r="G1217" s="92"/>
      <c r="H1217" s="92"/>
      <c r="I1217" s="91"/>
      <c r="J1217" s="92"/>
      <c r="K1217" s="92"/>
      <c r="L1217" s="92"/>
      <c r="M1217" s="92"/>
    </row>
    <row r="1218" spans="1:13">
      <c r="A1218" s="134"/>
      <c r="B1218" s="135"/>
      <c r="C1218" s="92"/>
      <c r="D1218" s="92"/>
      <c r="E1218" s="92"/>
      <c r="F1218" s="92"/>
      <c r="G1218" s="92"/>
      <c r="H1218" s="92"/>
      <c r="I1218" s="91"/>
      <c r="J1218" s="92"/>
      <c r="K1218" s="92"/>
      <c r="L1218" s="92"/>
      <c r="M1218" s="92"/>
    </row>
    <row r="1219" spans="1:13">
      <c r="A1219" s="134"/>
      <c r="B1219" s="135"/>
      <c r="C1219" s="92"/>
      <c r="D1219" s="92"/>
      <c r="E1219" s="92"/>
      <c r="F1219" s="92"/>
      <c r="G1219" s="92"/>
      <c r="H1219" s="92"/>
      <c r="I1219" s="91"/>
      <c r="J1219" s="92"/>
      <c r="K1219" s="92"/>
      <c r="L1219" s="92"/>
      <c r="M1219" s="92"/>
    </row>
    <row r="1220" spans="1:13">
      <c r="A1220" s="134"/>
      <c r="B1220" s="135"/>
      <c r="C1220" s="92"/>
      <c r="D1220" s="92"/>
      <c r="E1220" s="92"/>
      <c r="F1220" s="92"/>
      <c r="G1220" s="92"/>
      <c r="H1220" s="92"/>
      <c r="I1220" s="91"/>
      <c r="J1220" s="92"/>
      <c r="K1220" s="92"/>
      <c r="L1220" s="92"/>
      <c r="M1220" s="92"/>
    </row>
    <row r="1221" spans="1:13">
      <c r="A1221" s="134"/>
      <c r="B1221" s="135"/>
      <c r="C1221" s="92"/>
      <c r="D1221" s="92"/>
      <c r="E1221" s="92"/>
      <c r="F1221" s="92"/>
      <c r="G1221" s="92"/>
      <c r="H1221" s="92"/>
      <c r="I1221" s="91"/>
      <c r="J1221" s="92"/>
      <c r="K1221" s="92"/>
      <c r="L1221" s="92"/>
      <c r="M1221" s="92"/>
    </row>
    <row r="1222" spans="1:13">
      <c r="A1222" s="134"/>
      <c r="B1222" s="135"/>
      <c r="C1222" s="92"/>
      <c r="D1222" s="92"/>
      <c r="E1222" s="92"/>
      <c r="F1222" s="92"/>
      <c r="G1222" s="92"/>
      <c r="H1222" s="92"/>
      <c r="I1222" s="91"/>
      <c r="J1222" s="92"/>
      <c r="K1222" s="92"/>
      <c r="L1222" s="92"/>
      <c r="M1222" s="92"/>
    </row>
    <row r="1223" spans="1:13">
      <c r="A1223" s="134"/>
      <c r="B1223" s="135"/>
      <c r="C1223" s="92"/>
      <c r="D1223" s="92"/>
      <c r="E1223" s="92"/>
      <c r="F1223" s="92"/>
      <c r="G1223" s="92"/>
      <c r="H1223" s="92"/>
      <c r="I1223" s="91"/>
      <c r="J1223" s="92"/>
      <c r="K1223" s="92"/>
      <c r="L1223" s="92"/>
      <c r="M1223" s="92"/>
    </row>
    <row r="1224" spans="1:13">
      <c r="A1224" s="134"/>
      <c r="B1224" s="135"/>
      <c r="C1224" s="92"/>
      <c r="D1224" s="92"/>
      <c r="E1224" s="92"/>
      <c r="F1224" s="92"/>
      <c r="G1224" s="92"/>
      <c r="H1224" s="92"/>
      <c r="I1224" s="91"/>
      <c r="J1224" s="92"/>
      <c r="K1224" s="92"/>
      <c r="L1224" s="92"/>
      <c r="M1224" s="92"/>
    </row>
    <row r="1225" spans="1:13">
      <c r="A1225" s="134"/>
      <c r="B1225" s="135"/>
      <c r="C1225" s="92"/>
      <c r="D1225" s="92"/>
      <c r="E1225" s="92"/>
      <c r="F1225" s="92"/>
      <c r="G1225" s="92"/>
      <c r="H1225" s="92"/>
      <c r="I1225" s="91"/>
      <c r="J1225" s="92"/>
      <c r="K1225" s="92"/>
      <c r="L1225" s="92"/>
      <c r="M1225" s="92"/>
    </row>
    <row r="1226" spans="1:13">
      <c r="A1226" s="134"/>
      <c r="B1226" s="135"/>
      <c r="C1226" s="92"/>
      <c r="D1226" s="92"/>
      <c r="E1226" s="92"/>
      <c r="F1226" s="92"/>
      <c r="G1226" s="92"/>
      <c r="H1226" s="92"/>
      <c r="I1226" s="91"/>
      <c r="J1226" s="92"/>
      <c r="K1226" s="92"/>
      <c r="L1226" s="92"/>
      <c r="M1226" s="92"/>
    </row>
    <row r="1227" spans="1:13">
      <c r="A1227" s="134"/>
      <c r="B1227" s="135"/>
      <c r="C1227" s="92"/>
      <c r="D1227" s="92"/>
      <c r="E1227" s="92"/>
      <c r="F1227" s="92"/>
      <c r="G1227" s="92"/>
      <c r="H1227" s="92"/>
      <c r="I1227" s="91"/>
      <c r="J1227" s="92"/>
      <c r="K1227" s="92"/>
      <c r="L1227" s="92"/>
      <c r="M1227" s="92"/>
    </row>
    <row r="1228" spans="1:13">
      <c r="A1228" s="134"/>
      <c r="B1228" s="135"/>
      <c r="C1228" s="92"/>
      <c r="D1228" s="92"/>
      <c r="E1228" s="92"/>
      <c r="F1228" s="92"/>
      <c r="G1228" s="92"/>
      <c r="H1228" s="92"/>
      <c r="I1228" s="91"/>
      <c r="J1228" s="92"/>
      <c r="K1228" s="92"/>
      <c r="L1228" s="92"/>
      <c r="M1228" s="92"/>
    </row>
    <row r="1229" spans="1:13">
      <c r="A1229" s="134"/>
      <c r="B1229" s="135"/>
      <c r="C1229" s="92"/>
      <c r="D1229" s="92"/>
      <c r="E1229" s="92"/>
      <c r="F1229" s="92"/>
      <c r="G1229" s="92"/>
      <c r="H1229" s="92"/>
      <c r="I1229" s="91"/>
      <c r="J1229" s="92"/>
      <c r="K1229" s="92"/>
      <c r="L1229" s="92"/>
      <c r="M1229" s="92"/>
    </row>
    <row r="1230" spans="1:13">
      <c r="A1230" s="134"/>
      <c r="B1230" s="135"/>
      <c r="C1230" s="92"/>
      <c r="D1230" s="92"/>
      <c r="E1230" s="92"/>
      <c r="F1230" s="92"/>
      <c r="G1230" s="92"/>
      <c r="H1230" s="92"/>
      <c r="I1230" s="91"/>
      <c r="J1230" s="92"/>
      <c r="K1230" s="92"/>
      <c r="L1230" s="92"/>
      <c r="M1230" s="92"/>
    </row>
    <row r="1231" spans="1:13">
      <c r="A1231" s="134"/>
      <c r="B1231" s="135"/>
      <c r="C1231" s="92"/>
      <c r="D1231" s="92"/>
      <c r="E1231" s="92"/>
      <c r="F1231" s="92"/>
      <c r="G1231" s="92"/>
      <c r="H1231" s="92"/>
      <c r="I1231" s="91"/>
      <c r="J1231" s="92"/>
      <c r="K1231" s="92"/>
      <c r="L1231" s="92"/>
      <c r="M1231" s="92"/>
    </row>
    <row r="1232" spans="1:13">
      <c r="A1232" s="134"/>
      <c r="B1232" s="135"/>
      <c r="C1232" s="92"/>
      <c r="D1232" s="92"/>
      <c r="E1232" s="92"/>
      <c r="F1232" s="92"/>
      <c r="G1232" s="92"/>
      <c r="H1232" s="92"/>
      <c r="I1232" s="91"/>
      <c r="J1232" s="92"/>
      <c r="K1232" s="92"/>
      <c r="L1232" s="92"/>
      <c r="M1232" s="92"/>
    </row>
    <row r="1233" spans="1:13">
      <c r="A1233" s="134"/>
      <c r="B1233" s="135"/>
      <c r="C1233" s="92"/>
      <c r="D1233" s="92"/>
      <c r="E1233" s="92"/>
      <c r="F1233" s="92"/>
      <c r="G1233" s="92"/>
      <c r="H1233" s="92"/>
      <c r="I1233" s="91"/>
      <c r="J1233" s="92"/>
      <c r="K1233" s="92"/>
      <c r="L1233" s="92"/>
      <c r="M1233" s="92"/>
    </row>
    <row r="1234" spans="1:13">
      <c r="A1234" s="134"/>
      <c r="B1234" s="135"/>
      <c r="C1234" s="92"/>
      <c r="D1234" s="92"/>
      <c r="E1234" s="92"/>
      <c r="F1234" s="92"/>
      <c r="G1234" s="92"/>
      <c r="H1234" s="92"/>
      <c r="I1234" s="91"/>
      <c r="J1234" s="92"/>
      <c r="K1234" s="92"/>
      <c r="L1234" s="92"/>
      <c r="M1234" s="92"/>
    </row>
    <row r="1235" spans="1:13">
      <c r="A1235" s="134"/>
      <c r="B1235" s="135"/>
      <c r="C1235" s="92"/>
      <c r="D1235" s="92"/>
      <c r="E1235" s="92"/>
      <c r="F1235" s="92"/>
      <c r="G1235" s="92"/>
      <c r="H1235" s="92"/>
      <c r="I1235" s="91"/>
      <c r="J1235" s="92"/>
      <c r="K1235" s="92"/>
      <c r="L1235" s="92"/>
      <c r="M1235" s="92"/>
    </row>
    <row r="1236" spans="1:13">
      <c r="A1236" s="134"/>
      <c r="B1236" s="135"/>
      <c r="C1236" s="92"/>
      <c r="D1236" s="92"/>
      <c r="E1236" s="92"/>
      <c r="F1236" s="92"/>
      <c r="G1236" s="92"/>
      <c r="H1236" s="92"/>
      <c r="I1236" s="91"/>
      <c r="J1236" s="92"/>
      <c r="K1236" s="92"/>
      <c r="L1236" s="92"/>
      <c r="M1236" s="92"/>
    </row>
    <row r="1237" spans="1:13">
      <c r="A1237" s="134"/>
      <c r="B1237" s="135"/>
      <c r="C1237" s="92"/>
      <c r="D1237" s="92"/>
      <c r="E1237" s="92"/>
      <c r="F1237" s="92"/>
      <c r="G1237" s="92"/>
      <c r="H1237" s="92"/>
      <c r="I1237" s="91"/>
      <c r="J1237" s="92"/>
      <c r="K1237" s="92"/>
      <c r="L1237" s="92"/>
      <c r="M1237" s="92"/>
    </row>
    <row r="1238" spans="1:13">
      <c r="A1238" s="134"/>
      <c r="B1238" s="135"/>
      <c r="C1238" s="92"/>
      <c r="D1238" s="92"/>
      <c r="E1238" s="92"/>
      <c r="F1238" s="92"/>
      <c r="G1238" s="92"/>
      <c r="H1238" s="92"/>
      <c r="I1238" s="91"/>
      <c r="J1238" s="92"/>
      <c r="K1238" s="92"/>
      <c r="L1238" s="92"/>
      <c r="M1238" s="92"/>
    </row>
    <row r="1239" spans="1:13">
      <c r="A1239" s="134"/>
      <c r="B1239" s="135"/>
      <c r="C1239" s="92"/>
      <c r="D1239" s="92"/>
      <c r="E1239" s="92"/>
      <c r="F1239" s="92"/>
      <c r="G1239" s="92"/>
      <c r="H1239" s="92"/>
      <c r="I1239" s="91"/>
      <c r="J1239" s="92"/>
      <c r="K1239" s="92"/>
      <c r="L1239" s="92"/>
      <c r="M1239" s="92"/>
    </row>
    <row r="1240" spans="1:13">
      <c r="A1240" s="134"/>
      <c r="B1240" s="135"/>
      <c r="C1240" s="92"/>
      <c r="D1240" s="92"/>
      <c r="E1240" s="92"/>
      <c r="F1240" s="92"/>
      <c r="G1240" s="92"/>
      <c r="H1240" s="92"/>
      <c r="I1240" s="91"/>
      <c r="J1240" s="92"/>
      <c r="K1240" s="92"/>
      <c r="L1240" s="92"/>
      <c r="M1240" s="92"/>
    </row>
    <row r="1241" spans="1:13">
      <c r="A1241" s="134"/>
      <c r="B1241" s="135"/>
      <c r="C1241" s="92"/>
      <c r="D1241" s="92"/>
      <c r="E1241" s="92"/>
      <c r="F1241" s="92"/>
      <c r="G1241" s="92"/>
      <c r="H1241" s="92"/>
      <c r="I1241" s="91"/>
      <c r="J1241" s="92"/>
      <c r="K1241" s="92"/>
      <c r="L1241" s="92"/>
      <c r="M1241" s="92"/>
    </row>
    <row r="1242" spans="1:13">
      <c r="A1242" s="134"/>
      <c r="B1242" s="135"/>
      <c r="C1242" s="92"/>
      <c r="D1242" s="92"/>
      <c r="E1242" s="92"/>
      <c r="F1242" s="92"/>
      <c r="G1242" s="92"/>
      <c r="H1242" s="92"/>
      <c r="I1242" s="91"/>
      <c r="J1242" s="92"/>
      <c r="K1242" s="92"/>
      <c r="L1242" s="92"/>
      <c r="M1242" s="92"/>
    </row>
    <row r="1243" spans="1:13">
      <c r="A1243" s="134"/>
      <c r="B1243" s="135"/>
      <c r="C1243" s="92"/>
      <c r="D1243" s="92"/>
      <c r="E1243" s="92"/>
      <c r="F1243" s="92"/>
      <c r="G1243" s="92"/>
      <c r="H1243" s="92"/>
      <c r="I1243" s="91"/>
      <c r="J1243" s="92"/>
      <c r="K1243" s="92"/>
      <c r="L1243" s="92"/>
      <c r="M1243" s="92"/>
    </row>
    <row r="1244" spans="1:13">
      <c r="A1244" s="134"/>
      <c r="B1244" s="135"/>
      <c r="C1244" s="92"/>
      <c r="D1244" s="92"/>
      <c r="E1244" s="92"/>
      <c r="F1244" s="92"/>
      <c r="G1244" s="92"/>
      <c r="H1244" s="92"/>
      <c r="I1244" s="91"/>
      <c r="J1244" s="92"/>
      <c r="K1244" s="92"/>
      <c r="L1244" s="92"/>
      <c r="M1244" s="92"/>
    </row>
    <row r="1245" spans="1:13">
      <c r="A1245" s="134"/>
      <c r="B1245" s="135"/>
      <c r="C1245" s="92"/>
      <c r="D1245" s="92"/>
      <c r="E1245" s="92"/>
      <c r="F1245" s="92"/>
      <c r="G1245" s="92"/>
      <c r="H1245" s="92"/>
      <c r="I1245" s="91"/>
      <c r="J1245" s="92"/>
      <c r="K1245" s="92"/>
      <c r="L1245" s="92"/>
      <c r="M1245" s="92"/>
    </row>
    <row r="1246" spans="1:13">
      <c r="A1246" s="134"/>
      <c r="B1246" s="135"/>
      <c r="C1246" s="92"/>
      <c r="D1246" s="92"/>
      <c r="E1246" s="92"/>
      <c r="F1246" s="92"/>
      <c r="G1246" s="92"/>
      <c r="H1246" s="92"/>
      <c r="I1246" s="91"/>
      <c r="J1246" s="92"/>
      <c r="K1246" s="92"/>
      <c r="L1246" s="92"/>
      <c r="M1246" s="92"/>
    </row>
    <row r="1247" spans="1:13">
      <c r="A1247" s="134"/>
      <c r="B1247" s="135"/>
      <c r="C1247" s="92"/>
      <c r="D1247" s="92"/>
      <c r="E1247" s="92"/>
      <c r="F1247" s="92"/>
      <c r="G1247" s="92"/>
      <c r="H1247" s="92"/>
      <c r="I1247" s="91"/>
      <c r="J1247" s="92"/>
      <c r="K1247" s="92"/>
      <c r="L1247" s="92"/>
      <c r="M1247" s="92"/>
    </row>
    <row r="1248" spans="1:13">
      <c r="A1248" s="134"/>
      <c r="B1248" s="135"/>
      <c r="C1248" s="92"/>
      <c r="D1248" s="92"/>
      <c r="E1248" s="92"/>
      <c r="F1248" s="92"/>
      <c r="G1248" s="92"/>
      <c r="H1248" s="92"/>
      <c r="I1248" s="91"/>
      <c r="J1248" s="92"/>
      <c r="K1248" s="92"/>
      <c r="L1248" s="92"/>
      <c r="M1248" s="92"/>
    </row>
    <row r="1249" spans="1:13">
      <c r="A1249" s="134"/>
      <c r="B1249" s="135"/>
      <c r="C1249" s="92"/>
      <c r="D1249" s="92"/>
      <c r="E1249" s="92"/>
      <c r="F1249" s="92"/>
      <c r="G1249" s="92"/>
      <c r="H1249" s="92"/>
      <c r="I1249" s="91"/>
      <c r="J1249" s="92"/>
      <c r="K1249" s="92"/>
      <c r="L1249" s="92"/>
      <c r="M1249" s="92"/>
    </row>
    <row r="1250" spans="1:13">
      <c r="A1250" s="134"/>
      <c r="B1250" s="135"/>
      <c r="C1250" s="92"/>
      <c r="D1250" s="92"/>
      <c r="E1250" s="92"/>
      <c r="F1250" s="92"/>
      <c r="G1250" s="92"/>
      <c r="H1250" s="92"/>
      <c r="I1250" s="91"/>
      <c r="J1250" s="92"/>
      <c r="K1250" s="92"/>
      <c r="L1250" s="92"/>
      <c r="M1250" s="92"/>
    </row>
    <row r="1251" spans="1:13">
      <c r="A1251" s="134"/>
      <c r="B1251" s="135"/>
      <c r="C1251" s="92"/>
      <c r="D1251" s="92"/>
      <c r="E1251" s="92"/>
      <c r="F1251" s="92"/>
      <c r="G1251" s="92"/>
      <c r="H1251" s="92"/>
      <c r="I1251" s="91"/>
      <c r="J1251" s="92"/>
      <c r="K1251" s="92"/>
      <c r="L1251" s="92"/>
      <c r="M1251" s="92"/>
    </row>
    <row r="1252" spans="1:13">
      <c r="A1252" s="134"/>
      <c r="B1252" s="135"/>
      <c r="C1252" s="92"/>
      <c r="D1252" s="92"/>
      <c r="E1252" s="92"/>
      <c r="F1252" s="92"/>
      <c r="G1252" s="92"/>
      <c r="H1252" s="92"/>
      <c r="I1252" s="91"/>
      <c r="J1252" s="92"/>
      <c r="K1252" s="92"/>
      <c r="L1252" s="92"/>
      <c r="M1252" s="92"/>
    </row>
    <row r="1253" spans="1:13">
      <c r="A1253" s="134"/>
      <c r="B1253" s="135"/>
      <c r="C1253" s="92"/>
      <c r="D1253" s="92"/>
      <c r="E1253" s="92"/>
      <c r="F1253" s="92"/>
      <c r="G1253" s="92"/>
      <c r="H1253" s="92"/>
      <c r="I1253" s="91"/>
      <c r="J1253" s="92"/>
      <c r="K1253" s="92"/>
      <c r="L1253" s="92"/>
      <c r="M1253" s="92"/>
    </row>
    <row r="1254" spans="1:13">
      <c r="A1254" s="134"/>
      <c r="B1254" s="135"/>
      <c r="C1254" s="92"/>
      <c r="D1254" s="92"/>
      <c r="E1254" s="92"/>
      <c r="F1254" s="92"/>
      <c r="G1254" s="92"/>
      <c r="H1254" s="92"/>
      <c r="I1254" s="91"/>
      <c r="J1254" s="92"/>
      <c r="K1254" s="92"/>
      <c r="L1254" s="92"/>
      <c r="M1254" s="92"/>
    </row>
    <row r="1255" spans="1:13">
      <c r="A1255" s="134"/>
      <c r="B1255" s="135"/>
      <c r="C1255" s="92"/>
      <c r="D1255" s="92"/>
      <c r="E1255" s="92"/>
      <c r="F1255" s="92"/>
      <c r="G1255" s="92"/>
      <c r="H1255" s="92"/>
      <c r="I1255" s="91"/>
      <c r="J1255" s="92"/>
      <c r="K1255" s="92"/>
      <c r="L1255" s="92"/>
      <c r="M1255" s="92"/>
    </row>
    <row r="1256" spans="1:13">
      <c r="A1256" s="134"/>
      <c r="B1256" s="135"/>
      <c r="C1256" s="92"/>
      <c r="D1256" s="92"/>
      <c r="E1256" s="92"/>
      <c r="F1256" s="92"/>
      <c r="G1256" s="92"/>
      <c r="H1256" s="92"/>
      <c r="I1256" s="91"/>
      <c r="J1256" s="92"/>
      <c r="K1256" s="92"/>
      <c r="L1256" s="92"/>
      <c r="M1256" s="92"/>
    </row>
    <row r="1257" spans="1:13">
      <c r="A1257" s="134"/>
      <c r="B1257" s="135"/>
      <c r="C1257" s="92"/>
      <c r="D1257" s="92"/>
      <c r="E1257" s="92"/>
      <c r="F1257" s="92"/>
      <c r="G1257" s="92"/>
      <c r="H1257" s="92"/>
      <c r="I1257" s="91"/>
      <c r="J1257" s="92"/>
      <c r="K1257" s="92"/>
      <c r="L1257" s="92"/>
      <c r="M1257" s="92"/>
    </row>
    <row r="1258" spans="1:13">
      <c r="A1258" s="134"/>
      <c r="B1258" s="135"/>
      <c r="C1258" s="92"/>
      <c r="D1258" s="92"/>
      <c r="E1258" s="92"/>
      <c r="F1258" s="92"/>
      <c r="G1258" s="92"/>
      <c r="H1258" s="92"/>
      <c r="I1258" s="91"/>
      <c r="J1258" s="92"/>
      <c r="K1258" s="92"/>
      <c r="L1258" s="92"/>
      <c r="M1258" s="92"/>
    </row>
    <row r="1259" spans="1:13">
      <c r="A1259" s="134"/>
      <c r="B1259" s="135"/>
      <c r="C1259" s="92"/>
      <c r="D1259" s="92"/>
      <c r="E1259" s="92"/>
      <c r="F1259" s="92"/>
      <c r="G1259" s="92"/>
      <c r="H1259" s="92"/>
      <c r="I1259" s="91"/>
      <c r="J1259" s="92"/>
      <c r="K1259" s="92"/>
      <c r="L1259" s="92"/>
      <c r="M1259" s="92"/>
    </row>
    <row r="1260" spans="1:13">
      <c r="A1260" s="134"/>
      <c r="B1260" s="135"/>
      <c r="C1260" s="92"/>
      <c r="D1260" s="92"/>
      <c r="E1260" s="92"/>
      <c r="F1260" s="92"/>
      <c r="G1260" s="92"/>
      <c r="H1260" s="92"/>
      <c r="I1260" s="91"/>
      <c r="J1260" s="92"/>
      <c r="K1260" s="92"/>
      <c r="L1260" s="92"/>
      <c r="M1260" s="92"/>
    </row>
    <row r="1261" spans="1:13">
      <c r="A1261" s="134"/>
      <c r="B1261" s="135"/>
      <c r="C1261" s="92"/>
      <c r="D1261" s="92"/>
      <c r="E1261" s="92"/>
      <c r="F1261" s="92"/>
      <c r="G1261" s="92"/>
      <c r="H1261" s="92"/>
      <c r="I1261" s="91"/>
      <c r="J1261" s="92"/>
      <c r="K1261" s="92"/>
      <c r="L1261" s="92"/>
      <c r="M1261" s="92"/>
    </row>
    <row r="1262" spans="1:13">
      <c r="A1262" s="134"/>
      <c r="B1262" s="135"/>
      <c r="C1262" s="92"/>
      <c r="D1262" s="92"/>
      <c r="E1262" s="92"/>
      <c r="F1262" s="92"/>
      <c r="G1262" s="92"/>
      <c r="H1262" s="92"/>
      <c r="I1262" s="91"/>
      <c r="J1262" s="92"/>
      <c r="K1262" s="92"/>
      <c r="L1262" s="92"/>
      <c r="M1262" s="92"/>
    </row>
    <row r="1263" spans="1:13">
      <c r="A1263" s="134"/>
      <c r="B1263" s="135"/>
      <c r="C1263" s="92"/>
      <c r="D1263" s="92"/>
      <c r="E1263" s="92"/>
      <c r="F1263" s="92"/>
      <c r="G1263" s="92"/>
      <c r="H1263" s="92"/>
      <c r="I1263" s="91"/>
      <c r="J1263" s="92"/>
      <c r="K1263" s="92"/>
      <c r="L1263" s="92"/>
      <c r="M1263" s="92"/>
    </row>
    <row r="1264" spans="1:13">
      <c r="A1264" s="134"/>
      <c r="B1264" s="135"/>
      <c r="C1264" s="92"/>
      <c r="D1264" s="92"/>
      <c r="E1264" s="92"/>
      <c r="F1264" s="92"/>
      <c r="G1264" s="92"/>
      <c r="H1264" s="92"/>
      <c r="I1264" s="91"/>
      <c r="J1264" s="92"/>
      <c r="K1264" s="92"/>
      <c r="L1264" s="92"/>
      <c r="M1264" s="92"/>
    </row>
    <row r="1265" spans="1:13">
      <c r="A1265" s="134"/>
      <c r="B1265" s="135"/>
      <c r="C1265" s="92"/>
      <c r="D1265" s="92"/>
      <c r="E1265" s="92"/>
      <c r="F1265" s="92"/>
      <c r="G1265" s="92"/>
      <c r="H1265" s="92"/>
      <c r="I1265" s="91"/>
      <c r="J1265" s="92"/>
      <c r="K1265" s="92"/>
      <c r="L1265" s="92"/>
      <c r="M1265" s="92"/>
    </row>
    <row r="1266" spans="1:13">
      <c r="A1266" s="134"/>
      <c r="B1266" s="135"/>
      <c r="C1266" s="92"/>
      <c r="D1266" s="92"/>
      <c r="E1266" s="92"/>
      <c r="F1266" s="92"/>
      <c r="G1266" s="92"/>
      <c r="H1266" s="92"/>
      <c r="I1266" s="91"/>
      <c r="J1266" s="92"/>
      <c r="K1266" s="92"/>
      <c r="L1266" s="92"/>
      <c r="M1266" s="92"/>
    </row>
    <row r="1267" spans="1:13">
      <c r="A1267" s="134"/>
      <c r="B1267" s="135"/>
      <c r="C1267" s="92"/>
      <c r="D1267" s="92"/>
      <c r="E1267" s="92"/>
      <c r="F1267" s="92"/>
      <c r="G1267" s="92"/>
      <c r="H1267" s="92"/>
      <c r="I1267" s="91"/>
      <c r="J1267" s="92"/>
      <c r="K1267" s="92"/>
      <c r="L1267" s="92"/>
      <c r="M1267" s="92"/>
    </row>
    <row r="1268" spans="1:13">
      <c r="A1268" s="134"/>
      <c r="B1268" s="135"/>
      <c r="C1268" s="92"/>
      <c r="D1268" s="92"/>
      <c r="E1268" s="92"/>
      <c r="F1268" s="92"/>
      <c r="G1268" s="92"/>
      <c r="H1268" s="92"/>
      <c r="I1268" s="91"/>
      <c r="J1268" s="92"/>
      <c r="K1268" s="92"/>
      <c r="L1268" s="92"/>
      <c r="M1268" s="92"/>
    </row>
    <row r="1269" spans="1:13">
      <c r="A1269" s="134"/>
      <c r="B1269" s="135"/>
      <c r="C1269" s="92"/>
      <c r="D1269" s="92"/>
      <c r="E1269" s="92"/>
      <c r="F1269" s="92"/>
      <c r="G1269" s="92"/>
      <c r="H1269" s="92"/>
      <c r="I1269" s="91"/>
      <c r="J1269" s="92"/>
      <c r="K1269" s="92"/>
      <c r="L1269" s="92"/>
      <c r="M1269" s="92"/>
    </row>
    <row r="1270" spans="1:13">
      <c r="A1270" s="134"/>
      <c r="B1270" s="135"/>
      <c r="C1270" s="92"/>
      <c r="D1270" s="92"/>
      <c r="E1270" s="92"/>
      <c r="F1270" s="92"/>
      <c r="G1270" s="92"/>
      <c r="H1270" s="92"/>
      <c r="I1270" s="91"/>
      <c r="J1270" s="92"/>
      <c r="K1270" s="92"/>
      <c r="L1270" s="92"/>
      <c r="M1270" s="92"/>
    </row>
    <row r="1271" spans="1:13">
      <c r="A1271" s="134"/>
      <c r="B1271" s="135"/>
      <c r="C1271" s="92"/>
      <c r="D1271" s="92"/>
      <c r="E1271" s="92"/>
      <c r="F1271" s="92"/>
      <c r="G1271" s="92"/>
      <c r="H1271" s="92"/>
      <c r="I1271" s="91"/>
      <c r="J1271" s="92"/>
      <c r="K1271" s="92"/>
      <c r="L1271" s="92"/>
      <c r="M1271" s="92"/>
    </row>
    <row r="1272" spans="1:13">
      <c r="A1272" s="134"/>
      <c r="B1272" s="135"/>
      <c r="C1272" s="92"/>
      <c r="D1272" s="92"/>
      <c r="E1272" s="92"/>
      <c r="F1272" s="92"/>
      <c r="G1272" s="92"/>
      <c r="H1272" s="92"/>
      <c r="I1272" s="91"/>
      <c r="J1272" s="92"/>
      <c r="K1272" s="92"/>
      <c r="L1272" s="92"/>
      <c r="M1272" s="92"/>
    </row>
    <row r="1273" spans="1:13">
      <c r="A1273" s="134"/>
      <c r="B1273" s="135"/>
      <c r="C1273" s="92"/>
      <c r="D1273" s="92"/>
      <c r="E1273" s="92"/>
      <c r="F1273" s="92"/>
      <c r="G1273" s="92"/>
      <c r="H1273" s="92"/>
      <c r="I1273" s="91"/>
      <c r="J1273" s="92"/>
      <c r="K1273" s="92"/>
      <c r="L1273" s="92"/>
      <c r="M1273" s="92"/>
    </row>
    <row r="1274" spans="1:13">
      <c r="A1274" s="134"/>
      <c r="B1274" s="135"/>
      <c r="C1274" s="92"/>
      <c r="D1274" s="92"/>
      <c r="E1274" s="92"/>
      <c r="F1274" s="92"/>
      <c r="G1274" s="92"/>
      <c r="H1274" s="92"/>
      <c r="I1274" s="91"/>
      <c r="J1274" s="92"/>
      <c r="K1274" s="92"/>
      <c r="L1274" s="92"/>
      <c r="M1274" s="92"/>
    </row>
    <row r="1275" spans="1:13">
      <c r="A1275" s="134"/>
      <c r="B1275" s="135"/>
      <c r="C1275" s="92"/>
      <c r="D1275" s="92"/>
      <c r="E1275" s="92"/>
      <c r="F1275" s="92"/>
      <c r="G1275" s="92"/>
      <c r="H1275" s="92"/>
      <c r="I1275" s="91"/>
      <c r="J1275" s="92"/>
      <c r="K1275" s="92"/>
      <c r="L1275" s="92"/>
      <c r="M1275" s="92"/>
    </row>
    <row r="1276" spans="1:13">
      <c r="A1276" s="134"/>
      <c r="B1276" s="135"/>
      <c r="C1276" s="92"/>
      <c r="D1276" s="92"/>
      <c r="E1276" s="92"/>
      <c r="F1276" s="92"/>
      <c r="G1276" s="92"/>
      <c r="H1276" s="92"/>
      <c r="I1276" s="91"/>
      <c r="J1276" s="92"/>
      <c r="K1276" s="92"/>
      <c r="L1276" s="92"/>
      <c r="M1276" s="92"/>
    </row>
    <row r="1277" spans="1:13">
      <c r="A1277" s="134"/>
      <c r="B1277" s="135"/>
      <c r="C1277" s="92"/>
      <c r="D1277" s="92"/>
      <c r="E1277" s="92"/>
      <c r="F1277" s="92"/>
      <c r="G1277" s="92"/>
      <c r="H1277" s="92"/>
      <c r="I1277" s="91"/>
      <c r="J1277" s="92"/>
      <c r="K1277" s="92"/>
      <c r="L1277" s="92"/>
      <c r="M1277" s="92"/>
    </row>
    <row r="1278" spans="1:13">
      <c r="A1278" s="134"/>
      <c r="B1278" s="135"/>
      <c r="C1278" s="92"/>
      <c r="D1278" s="92"/>
      <c r="E1278" s="92"/>
      <c r="F1278" s="92"/>
      <c r="G1278" s="92"/>
      <c r="H1278" s="92"/>
      <c r="I1278" s="91"/>
      <c r="J1278" s="92"/>
      <c r="K1278" s="92"/>
      <c r="L1278" s="92"/>
      <c r="M1278" s="92"/>
    </row>
    <row r="1279" spans="1:13">
      <c r="A1279" s="134"/>
      <c r="B1279" s="135"/>
      <c r="C1279" s="92"/>
      <c r="D1279" s="92"/>
      <c r="E1279" s="92"/>
      <c r="F1279" s="92"/>
      <c r="G1279" s="92"/>
      <c r="H1279" s="92"/>
      <c r="I1279" s="91"/>
      <c r="J1279" s="92"/>
      <c r="K1279" s="92"/>
      <c r="L1279" s="92"/>
      <c r="M1279" s="92"/>
    </row>
    <row r="1280" spans="1:13">
      <c r="A1280" s="134"/>
      <c r="B1280" s="135"/>
      <c r="C1280" s="92"/>
      <c r="D1280" s="92"/>
      <c r="E1280" s="92"/>
      <c r="F1280" s="92"/>
      <c r="G1280" s="92"/>
      <c r="H1280" s="92"/>
      <c r="I1280" s="91"/>
      <c r="J1280" s="92"/>
      <c r="K1280" s="92"/>
      <c r="L1280" s="92"/>
      <c r="M1280" s="92"/>
    </row>
    <row r="1281" spans="1:13">
      <c r="A1281" s="134"/>
      <c r="B1281" s="135"/>
      <c r="C1281" s="92"/>
      <c r="D1281" s="92"/>
      <c r="E1281" s="92"/>
      <c r="F1281" s="92"/>
      <c r="G1281" s="92"/>
      <c r="H1281" s="92"/>
      <c r="I1281" s="91"/>
      <c r="J1281" s="92"/>
      <c r="K1281" s="92"/>
      <c r="L1281" s="92"/>
      <c r="M1281" s="92"/>
    </row>
    <row r="1282" spans="1:13">
      <c r="A1282" s="134"/>
      <c r="B1282" s="135"/>
      <c r="C1282" s="92"/>
      <c r="D1282" s="92"/>
      <c r="E1282" s="92"/>
      <c r="F1282" s="92"/>
      <c r="G1282" s="92"/>
      <c r="H1282" s="92"/>
      <c r="I1282" s="136"/>
      <c r="J1282" s="92"/>
      <c r="K1282" s="92"/>
      <c r="L1282" s="92"/>
      <c r="M1282" s="92"/>
    </row>
    <row r="1283" spans="1:13">
      <c r="A1283" s="134"/>
      <c r="B1283" s="135"/>
      <c r="C1283" s="92"/>
      <c r="D1283" s="92"/>
      <c r="E1283" s="92"/>
      <c r="F1283" s="92"/>
      <c r="G1283" s="92"/>
      <c r="H1283" s="92"/>
      <c r="I1283" s="136"/>
      <c r="J1283" s="92"/>
      <c r="K1283" s="92"/>
      <c r="L1283" s="92"/>
      <c r="M1283" s="92"/>
    </row>
    <row r="1284" spans="1:13">
      <c r="A1284" s="134"/>
      <c r="B1284" s="135"/>
      <c r="C1284" s="92"/>
      <c r="D1284" s="92"/>
      <c r="E1284" s="92"/>
      <c r="F1284" s="92"/>
      <c r="G1284" s="92"/>
      <c r="H1284" s="92"/>
      <c r="I1284" s="136"/>
      <c r="J1284" s="92"/>
      <c r="K1284" s="92"/>
      <c r="L1284" s="92"/>
      <c r="M1284" s="92"/>
    </row>
    <row r="1285" spans="1:13">
      <c r="A1285" s="134"/>
      <c r="B1285" s="135"/>
      <c r="C1285" s="92"/>
      <c r="D1285" s="92"/>
      <c r="E1285" s="92"/>
      <c r="F1285" s="92"/>
      <c r="G1285" s="92"/>
      <c r="H1285" s="92"/>
      <c r="I1285" s="136"/>
      <c r="J1285" s="92"/>
      <c r="K1285" s="92"/>
      <c r="L1285" s="92"/>
      <c r="M1285" s="92"/>
    </row>
    <row r="1286" spans="1:13">
      <c r="A1286" s="134"/>
      <c r="B1286" s="135"/>
      <c r="C1286" s="92"/>
      <c r="D1286" s="92"/>
      <c r="E1286" s="92"/>
      <c r="F1286" s="92"/>
      <c r="G1286" s="92"/>
      <c r="H1286" s="92"/>
      <c r="I1286" s="136"/>
      <c r="J1286" s="92"/>
      <c r="K1286" s="92"/>
      <c r="L1286" s="92"/>
      <c r="M1286" s="92"/>
    </row>
    <row r="1287" spans="1:13">
      <c r="A1287" s="134"/>
      <c r="B1287" s="135"/>
      <c r="C1287" s="92"/>
      <c r="D1287" s="92"/>
      <c r="E1287" s="92"/>
      <c r="F1287" s="92"/>
      <c r="G1287" s="92"/>
      <c r="H1287" s="92"/>
      <c r="I1287" s="136"/>
      <c r="J1287" s="92"/>
      <c r="K1287" s="92"/>
      <c r="L1287" s="92"/>
      <c r="M1287" s="92"/>
    </row>
    <row r="1288" spans="1:13" s="137" customFormat="1">
      <c r="A1288" s="134"/>
      <c r="B1288" s="135"/>
      <c r="C1288" s="92"/>
      <c r="D1288" s="92"/>
      <c r="E1288" s="92"/>
      <c r="F1288" s="92"/>
      <c r="G1288" s="92"/>
      <c r="H1288" s="92"/>
      <c r="I1288" s="136"/>
      <c r="J1288" s="92"/>
      <c r="K1288" s="92"/>
      <c r="L1288" s="92"/>
      <c r="M1288" s="92"/>
    </row>
    <row r="1289" spans="1:13" s="137" customFormat="1">
      <c r="A1289" s="134"/>
      <c r="B1289" s="135"/>
      <c r="C1289" s="92"/>
      <c r="D1289" s="92"/>
      <c r="E1289" s="92"/>
      <c r="F1289" s="92"/>
      <c r="G1289" s="92"/>
      <c r="H1289" s="92"/>
      <c r="I1289" s="136"/>
      <c r="J1289" s="92"/>
      <c r="K1289" s="92"/>
      <c r="L1289" s="92"/>
      <c r="M1289" s="92"/>
    </row>
    <row r="1290" spans="1:13" s="137" customFormat="1">
      <c r="A1290" s="134"/>
      <c r="B1290" s="135"/>
      <c r="C1290" s="92"/>
      <c r="D1290" s="92"/>
      <c r="E1290" s="92"/>
      <c r="F1290" s="92"/>
      <c r="G1290" s="92"/>
      <c r="H1290" s="92"/>
      <c r="I1290" s="136"/>
      <c r="J1290" s="92"/>
      <c r="K1290" s="92"/>
      <c r="L1290" s="92"/>
      <c r="M1290" s="92"/>
    </row>
    <row r="1291" spans="1:13" s="137" customFormat="1">
      <c r="A1291" s="134"/>
      <c r="B1291" s="135"/>
      <c r="C1291" s="92"/>
      <c r="D1291" s="92"/>
      <c r="E1291" s="92"/>
      <c r="F1291" s="92"/>
      <c r="G1291" s="92"/>
      <c r="H1291" s="92"/>
      <c r="I1291" s="136"/>
      <c r="J1291" s="92"/>
      <c r="K1291" s="92"/>
      <c r="L1291" s="92"/>
      <c r="M1291" s="92"/>
    </row>
    <row r="1292" spans="1:13" s="137" customFormat="1">
      <c r="A1292" s="134"/>
      <c r="B1292" s="135"/>
      <c r="C1292" s="92"/>
      <c r="D1292" s="92"/>
      <c r="E1292" s="92"/>
      <c r="F1292" s="92"/>
      <c r="G1292" s="92"/>
      <c r="H1292" s="92"/>
      <c r="I1292" s="136"/>
      <c r="J1292" s="92"/>
      <c r="K1292" s="92"/>
      <c r="L1292" s="92"/>
      <c r="M1292" s="92"/>
    </row>
    <row r="1293" spans="1:13" s="137" customFormat="1">
      <c r="A1293" s="134"/>
      <c r="B1293" s="135"/>
      <c r="C1293" s="92"/>
      <c r="D1293" s="92"/>
      <c r="E1293" s="92"/>
      <c r="F1293" s="92"/>
      <c r="G1293" s="92"/>
      <c r="H1293" s="92"/>
      <c r="I1293" s="136"/>
      <c r="J1293" s="92"/>
      <c r="K1293" s="92"/>
      <c r="L1293" s="92"/>
      <c r="M1293" s="92"/>
    </row>
    <row r="1294" spans="1:13" s="137" customFormat="1">
      <c r="A1294" s="134"/>
      <c r="B1294" s="135"/>
      <c r="C1294" s="92"/>
      <c r="D1294" s="92"/>
      <c r="E1294" s="92"/>
      <c r="F1294" s="92"/>
      <c r="G1294" s="92"/>
      <c r="H1294" s="92"/>
      <c r="I1294" s="136"/>
      <c r="J1294" s="92"/>
      <c r="K1294" s="92"/>
      <c r="L1294" s="92"/>
      <c r="M1294" s="92"/>
    </row>
    <row r="1295" spans="1:13" s="137" customFormat="1">
      <c r="A1295" s="134"/>
      <c r="B1295" s="135"/>
      <c r="C1295" s="92"/>
      <c r="D1295" s="92"/>
      <c r="E1295" s="92"/>
      <c r="F1295" s="92"/>
      <c r="G1295" s="92"/>
      <c r="H1295" s="92"/>
      <c r="I1295" s="136"/>
      <c r="J1295" s="92"/>
      <c r="K1295" s="92"/>
      <c r="L1295" s="92"/>
      <c r="M1295" s="92"/>
    </row>
    <row r="1296" spans="1:13" s="137" customFormat="1">
      <c r="A1296" s="134"/>
      <c r="B1296" s="135"/>
      <c r="C1296" s="92"/>
      <c r="D1296" s="92"/>
      <c r="E1296" s="92"/>
      <c r="F1296" s="92"/>
      <c r="G1296" s="92"/>
      <c r="H1296" s="92"/>
      <c r="I1296" s="136"/>
      <c r="J1296" s="92"/>
      <c r="K1296" s="92"/>
      <c r="L1296" s="92"/>
      <c r="M1296" s="92"/>
    </row>
    <row r="1297" spans="1:13" s="137" customFormat="1">
      <c r="A1297" s="134"/>
      <c r="B1297" s="135"/>
      <c r="C1297" s="92"/>
      <c r="D1297" s="92"/>
      <c r="E1297" s="92"/>
      <c r="F1297" s="92"/>
      <c r="G1297" s="92"/>
      <c r="H1297" s="92"/>
      <c r="I1297" s="136"/>
      <c r="J1297" s="92"/>
      <c r="K1297" s="92"/>
      <c r="L1297" s="92"/>
      <c r="M1297" s="92"/>
    </row>
    <row r="1298" spans="1:13" s="137" customFormat="1">
      <c r="A1298" s="134"/>
      <c r="B1298" s="135"/>
      <c r="C1298" s="92"/>
      <c r="D1298" s="92"/>
      <c r="E1298" s="92"/>
      <c r="F1298" s="92"/>
      <c r="G1298" s="92"/>
      <c r="H1298" s="92"/>
      <c r="I1298" s="136"/>
      <c r="J1298" s="92"/>
      <c r="K1298" s="92"/>
      <c r="L1298" s="92"/>
      <c r="M1298" s="92"/>
    </row>
    <row r="1299" spans="1:13" s="137" customFormat="1">
      <c r="A1299" s="134"/>
      <c r="B1299" s="135"/>
      <c r="C1299" s="92"/>
      <c r="D1299" s="92"/>
      <c r="E1299" s="92"/>
      <c r="F1299" s="92"/>
      <c r="G1299" s="92"/>
      <c r="H1299" s="92"/>
      <c r="I1299" s="136"/>
      <c r="J1299" s="92"/>
      <c r="K1299" s="92"/>
      <c r="L1299" s="92"/>
      <c r="M1299" s="92"/>
    </row>
    <row r="1300" spans="1:13" s="137" customFormat="1">
      <c r="A1300" s="134"/>
      <c r="B1300" s="135"/>
      <c r="C1300" s="92"/>
      <c r="D1300" s="92"/>
      <c r="E1300" s="92"/>
      <c r="F1300" s="92"/>
      <c r="G1300" s="92"/>
      <c r="H1300" s="92"/>
      <c r="I1300" s="136"/>
      <c r="J1300" s="92"/>
      <c r="K1300" s="92"/>
      <c r="L1300" s="92"/>
      <c r="M1300" s="92"/>
    </row>
    <row r="1301" spans="1:13" s="137" customFormat="1">
      <c r="A1301" s="134"/>
      <c r="B1301" s="135"/>
      <c r="C1301" s="92"/>
      <c r="D1301" s="92"/>
      <c r="E1301" s="92"/>
      <c r="F1301" s="92"/>
      <c r="G1301" s="92"/>
      <c r="H1301" s="92"/>
      <c r="I1301" s="136"/>
      <c r="J1301" s="92"/>
      <c r="K1301" s="92"/>
      <c r="L1301" s="92"/>
      <c r="M1301" s="92"/>
    </row>
    <row r="1302" spans="1:13" s="137" customFormat="1">
      <c r="A1302" s="134"/>
      <c r="B1302" s="135"/>
      <c r="C1302" s="92"/>
      <c r="D1302" s="92"/>
      <c r="E1302" s="92"/>
      <c r="F1302" s="92"/>
      <c r="G1302" s="92"/>
      <c r="H1302" s="92"/>
      <c r="I1302" s="136"/>
      <c r="J1302" s="92"/>
      <c r="K1302" s="92"/>
      <c r="L1302" s="92"/>
      <c r="M1302" s="92"/>
    </row>
    <row r="1303" spans="1:13" s="137" customFormat="1">
      <c r="A1303" s="134"/>
      <c r="B1303" s="135"/>
      <c r="C1303" s="92"/>
      <c r="D1303" s="92"/>
      <c r="E1303" s="92"/>
      <c r="F1303" s="92"/>
      <c r="G1303" s="92"/>
      <c r="H1303" s="92"/>
      <c r="I1303" s="136"/>
      <c r="J1303" s="92"/>
      <c r="K1303" s="92"/>
      <c r="L1303" s="92"/>
      <c r="M1303" s="92"/>
    </row>
    <row r="1304" spans="1:13" s="137" customFormat="1">
      <c r="A1304" s="134"/>
      <c r="B1304" s="135"/>
      <c r="C1304" s="92"/>
      <c r="D1304" s="92"/>
      <c r="E1304" s="92"/>
      <c r="F1304" s="92"/>
      <c r="G1304" s="92"/>
      <c r="H1304" s="92"/>
      <c r="I1304" s="136"/>
      <c r="J1304" s="92"/>
      <c r="K1304" s="92"/>
      <c r="L1304" s="92"/>
      <c r="M1304" s="92"/>
    </row>
    <row r="1305" spans="1:13" s="137" customFormat="1">
      <c r="A1305" s="134"/>
      <c r="B1305" s="135"/>
      <c r="C1305" s="92"/>
      <c r="D1305" s="92"/>
      <c r="E1305" s="92"/>
      <c r="F1305" s="92"/>
      <c r="G1305" s="92"/>
      <c r="H1305" s="92"/>
      <c r="I1305" s="136"/>
      <c r="J1305" s="92"/>
      <c r="K1305" s="92"/>
      <c r="L1305" s="92"/>
      <c r="M1305" s="92"/>
    </row>
    <row r="1306" spans="1:13" s="137" customFormat="1">
      <c r="A1306" s="134"/>
      <c r="B1306" s="135"/>
      <c r="C1306" s="92"/>
      <c r="D1306" s="92"/>
      <c r="E1306" s="92"/>
      <c r="F1306" s="92"/>
      <c r="G1306" s="92"/>
      <c r="H1306" s="92"/>
      <c r="I1306" s="136"/>
      <c r="J1306" s="92"/>
      <c r="K1306" s="92"/>
      <c r="L1306" s="92"/>
      <c r="M1306" s="92"/>
    </row>
    <row r="1307" spans="1:13" s="137" customFormat="1">
      <c r="A1307" s="134"/>
      <c r="B1307" s="135"/>
      <c r="C1307" s="92"/>
      <c r="D1307" s="92"/>
      <c r="E1307" s="92"/>
      <c r="F1307" s="92"/>
      <c r="G1307" s="92"/>
      <c r="H1307" s="92"/>
      <c r="I1307" s="136"/>
      <c r="J1307" s="92"/>
      <c r="K1307" s="92"/>
      <c r="L1307" s="92"/>
      <c r="M1307" s="92"/>
    </row>
    <row r="1308" spans="1:13" s="137" customFormat="1">
      <c r="A1308" s="134"/>
      <c r="B1308" s="135"/>
      <c r="C1308" s="92"/>
      <c r="D1308" s="92"/>
      <c r="E1308" s="92"/>
      <c r="F1308" s="92"/>
      <c r="G1308" s="92"/>
      <c r="H1308" s="92"/>
      <c r="I1308" s="136"/>
      <c r="J1308" s="92"/>
      <c r="K1308" s="92"/>
      <c r="L1308" s="92"/>
      <c r="M1308" s="92"/>
    </row>
    <row r="1309" spans="1:13" s="137" customFormat="1">
      <c r="A1309" s="134"/>
      <c r="B1309" s="135"/>
      <c r="C1309" s="92"/>
      <c r="D1309" s="92"/>
      <c r="E1309" s="92"/>
      <c r="F1309" s="92"/>
      <c r="G1309" s="92"/>
      <c r="H1309" s="92"/>
      <c r="I1309" s="136"/>
      <c r="J1309" s="92"/>
      <c r="K1309" s="92"/>
      <c r="L1309" s="92"/>
      <c r="M1309" s="92"/>
    </row>
    <row r="1310" spans="1:13" s="137" customFormat="1">
      <c r="A1310" s="134"/>
      <c r="B1310" s="135"/>
      <c r="C1310" s="92"/>
      <c r="D1310" s="92"/>
      <c r="E1310" s="92"/>
      <c r="F1310" s="92"/>
      <c r="G1310" s="92"/>
      <c r="H1310" s="92"/>
      <c r="I1310" s="136"/>
      <c r="J1310" s="92"/>
      <c r="K1310" s="92"/>
      <c r="L1310" s="92"/>
      <c r="M1310" s="92"/>
    </row>
    <row r="1311" spans="1:13" s="137" customFormat="1">
      <c r="A1311" s="134"/>
      <c r="B1311" s="135"/>
      <c r="C1311" s="92"/>
      <c r="D1311" s="92"/>
      <c r="E1311" s="92"/>
      <c r="F1311" s="92"/>
      <c r="G1311" s="92"/>
      <c r="H1311" s="92"/>
      <c r="I1311" s="136"/>
      <c r="J1311" s="92"/>
      <c r="K1311" s="92"/>
      <c r="L1311" s="92"/>
      <c r="M1311" s="92"/>
    </row>
    <row r="1312" spans="1:13" s="137" customFormat="1">
      <c r="A1312" s="134"/>
      <c r="B1312" s="135"/>
      <c r="C1312" s="92"/>
      <c r="D1312" s="92"/>
      <c r="E1312" s="92"/>
      <c r="F1312" s="92"/>
      <c r="G1312" s="92"/>
      <c r="H1312" s="92"/>
      <c r="I1312" s="136"/>
      <c r="J1312" s="92"/>
      <c r="K1312" s="92"/>
      <c r="L1312" s="92"/>
      <c r="M1312" s="92"/>
    </row>
    <row r="1313" spans="1:13" s="137" customFormat="1">
      <c r="A1313" s="134"/>
      <c r="B1313" s="135"/>
      <c r="C1313" s="92"/>
      <c r="D1313" s="92"/>
      <c r="E1313" s="92"/>
      <c r="F1313" s="92"/>
      <c r="G1313" s="92"/>
      <c r="H1313" s="92"/>
      <c r="I1313" s="136"/>
      <c r="J1313" s="92"/>
      <c r="K1313" s="92"/>
      <c r="L1313" s="92"/>
      <c r="M1313" s="92"/>
    </row>
    <row r="1314" spans="1:13" s="137" customFormat="1">
      <c r="A1314" s="134"/>
      <c r="B1314" s="135"/>
      <c r="C1314" s="92"/>
      <c r="D1314" s="92"/>
      <c r="E1314" s="92"/>
      <c r="F1314" s="92"/>
      <c r="G1314" s="92"/>
      <c r="H1314" s="92"/>
      <c r="I1314" s="136"/>
      <c r="J1314" s="92"/>
      <c r="K1314" s="92"/>
      <c r="L1314" s="92"/>
      <c r="M1314" s="92"/>
    </row>
    <row r="1315" spans="1:13" s="137" customFormat="1">
      <c r="A1315" s="134"/>
      <c r="B1315" s="135"/>
      <c r="C1315" s="92"/>
      <c r="D1315" s="92"/>
      <c r="E1315" s="92"/>
      <c r="F1315" s="92"/>
      <c r="G1315" s="92"/>
      <c r="H1315" s="92"/>
      <c r="I1315" s="136"/>
      <c r="J1315" s="92"/>
      <c r="K1315" s="92"/>
      <c r="L1315" s="92"/>
      <c r="M1315" s="92"/>
    </row>
    <row r="1316" spans="1:13" s="137" customFormat="1">
      <c r="A1316" s="134"/>
      <c r="B1316" s="135"/>
      <c r="C1316" s="92"/>
      <c r="D1316" s="92"/>
      <c r="E1316" s="92"/>
      <c r="F1316" s="92"/>
      <c r="G1316" s="92"/>
      <c r="H1316" s="92"/>
      <c r="I1316" s="136"/>
      <c r="J1316" s="92"/>
      <c r="K1316" s="92"/>
      <c r="L1316" s="92"/>
      <c r="M1316" s="92"/>
    </row>
    <row r="1317" spans="1:13" s="137" customFormat="1">
      <c r="A1317" s="134"/>
      <c r="B1317" s="135"/>
      <c r="C1317" s="92"/>
      <c r="D1317" s="92"/>
      <c r="E1317" s="92"/>
      <c r="F1317" s="92"/>
      <c r="G1317" s="92"/>
      <c r="H1317" s="92"/>
      <c r="I1317" s="136"/>
      <c r="J1317" s="92"/>
      <c r="K1317" s="92"/>
      <c r="L1317" s="92"/>
      <c r="M1317" s="92"/>
    </row>
    <row r="1318" spans="1:13" s="137" customFormat="1">
      <c r="A1318" s="134"/>
      <c r="B1318" s="135"/>
      <c r="C1318" s="92"/>
      <c r="D1318" s="92"/>
      <c r="E1318" s="92"/>
      <c r="F1318" s="92"/>
      <c r="G1318" s="92"/>
      <c r="H1318" s="92"/>
      <c r="I1318" s="136"/>
      <c r="J1318" s="92"/>
      <c r="K1318" s="92"/>
      <c r="L1318" s="92"/>
      <c r="M1318" s="92"/>
    </row>
    <row r="1319" spans="1:13" s="137" customFormat="1">
      <c r="A1319" s="134"/>
      <c r="B1319" s="135"/>
      <c r="C1319" s="92"/>
      <c r="D1319" s="92"/>
      <c r="E1319" s="92"/>
      <c r="F1319" s="92"/>
      <c r="G1319" s="92"/>
      <c r="H1319" s="92"/>
      <c r="I1319" s="136"/>
      <c r="J1319" s="92"/>
      <c r="K1319" s="92"/>
      <c r="L1319" s="92"/>
      <c r="M1319" s="92"/>
    </row>
    <row r="1320" spans="1:13" s="137" customFormat="1">
      <c r="A1320" s="134"/>
      <c r="B1320" s="135"/>
      <c r="C1320" s="92"/>
      <c r="D1320" s="92"/>
      <c r="E1320" s="92"/>
      <c r="F1320" s="92"/>
      <c r="G1320" s="92"/>
      <c r="H1320" s="92"/>
      <c r="I1320" s="136"/>
      <c r="J1320" s="92"/>
      <c r="K1320" s="92"/>
      <c r="L1320" s="92"/>
      <c r="M1320" s="92"/>
    </row>
    <row r="1321" spans="1:13" s="137" customFormat="1">
      <c r="A1321" s="134"/>
      <c r="B1321" s="135"/>
      <c r="C1321" s="92"/>
      <c r="D1321" s="92"/>
      <c r="E1321" s="92"/>
      <c r="F1321" s="92"/>
      <c r="G1321" s="92"/>
      <c r="H1321" s="92"/>
      <c r="I1321" s="136"/>
      <c r="J1321" s="92"/>
      <c r="K1321" s="92"/>
      <c r="L1321" s="92"/>
      <c r="M1321" s="92"/>
    </row>
    <row r="1322" spans="1:13" s="137" customFormat="1">
      <c r="A1322" s="134"/>
      <c r="B1322" s="135"/>
      <c r="C1322" s="92"/>
      <c r="D1322" s="92"/>
      <c r="E1322" s="92"/>
      <c r="F1322" s="92"/>
      <c r="G1322" s="92"/>
      <c r="H1322" s="92"/>
      <c r="I1322" s="136"/>
      <c r="J1322" s="92"/>
      <c r="K1322" s="92"/>
      <c r="L1322" s="92"/>
      <c r="M1322" s="92"/>
    </row>
    <row r="1323" spans="1:13" s="137" customFormat="1">
      <c r="A1323" s="134"/>
      <c r="B1323" s="135"/>
      <c r="C1323" s="92"/>
      <c r="D1323" s="92"/>
      <c r="E1323" s="92"/>
      <c r="F1323" s="92"/>
      <c r="G1323" s="92"/>
      <c r="H1323" s="92"/>
      <c r="I1323" s="136"/>
      <c r="J1323" s="92"/>
      <c r="K1323" s="92"/>
      <c r="L1323" s="92"/>
      <c r="M1323" s="92"/>
    </row>
    <row r="1324" spans="1:13" s="137" customFormat="1">
      <c r="A1324" s="134"/>
      <c r="B1324" s="135"/>
      <c r="C1324" s="92"/>
      <c r="D1324" s="92"/>
      <c r="E1324" s="92"/>
      <c r="F1324" s="92"/>
      <c r="G1324" s="92"/>
      <c r="H1324" s="92"/>
      <c r="I1324" s="136"/>
      <c r="J1324" s="92"/>
      <c r="K1324" s="92"/>
      <c r="L1324" s="92"/>
      <c r="M1324" s="92"/>
    </row>
    <row r="1325" spans="1:13" s="137" customFormat="1">
      <c r="A1325" s="134"/>
      <c r="B1325" s="135"/>
      <c r="C1325" s="92"/>
      <c r="D1325" s="92"/>
      <c r="E1325" s="92"/>
      <c r="F1325" s="92"/>
      <c r="G1325" s="92"/>
      <c r="H1325" s="92"/>
      <c r="I1325" s="136"/>
      <c r="J1325" s="92"/>
      <c r="K1325" s="92"/>
      <c r="L1325" s="92"/>
      <c r="M1325" s="92"/>
    </row>
    <row r="1326" spans="1:13" s="137" customFormat="1">
      <c r="A1326" s="134"/>
      <c r="B1326" s="135"/>
      <c r="C1326" s="92"/>
      <c r="D1326" s="92"/>
      <c r="E1326" s="92"/>
      <c r="F1326" s="92"/>
      <c r="G1326" s="92"/>
      <c r="H1326" s="92"/>
      <c r="I1326" s="136"/>
      <c r="J1326" s="92"/>
      <c r="K1326" s="92"/>
      <c r="L1326" s="92"/>
      <c r="M1326" s="92"/>
    </row>
    <row r="1327" spans="1:13" s="137" customFormat="1">
      <c r="A1327" s="134"/>
      <c r="B1327" s="135"/>
      <c r="C1327" s="92"/>
      <c r="D1327" s="92"/>
      <c r="E1327" s="92"/>
      <c r="F1327" s="92"/>
      <c r="G1327" s="92"/>
      <c r="H1327" s="92"/>
      <c r="I1327" s="136"/>
      <c r="J1327" s="92"/>
      <c r="K1327" s="92"/>
      <c r="L1327" s="92"/>
      <c r="M1327" s="92"/>
    </row>
    <row r="1328" spans="1:13" s="137" customFormat="1">
      <c r="A1328" s="134"/>
      <c r="B1328" s="135"/>
      <c r="C1328" s="92"/>
      <c r="D1328" s="92"/>
      <c r="E1328" s="92"/>
      <c r="F1328" s="92"/>
      <c r="G1328" s="92"/>
      <c r="H1328" s="92"/>
      <c r="I1328" s="136"/>
      <c r="J1328" s="92"/>
      <c r="K1328" s="92"/>
      <c r="L1328" s="92"/>
      <c r="M1328" s="92"/>
    </row>
    <row r="1329" spans="1:13" s="137" customFormat="1">
      <c r="A1329" s="134"/>
      <c r="B1329" s="135"/>
      <c r="C1329" s="92"/>
      <c r="D1329" s="92"/>
      <c r="E1329" s="92"/>
      <c r="F1329" s="92"/>
      <c r="G1329" s="92"/>
      <c r="H1329" s="92"/>
      <c r="I1329" s="136"/>
      <c r="J1329" s="92"/>
      <c r="K1329" s="92"/>
      <c r="L1329" s="92"/>
      <c r="M1329" s="92"/>
    </row>
    <row r="1330" spans="1:13" s="137" customFormat="1">
      <c r="A1330" s="134"/>
      <c r="B1330" s="135"/>
      <c r="C1330" s="92"/>
      <c r="D1330" s="92"/>
      <c r="E1330" s="92"/>
      <c r="F1330" s="92"/>
      <c r="G1330" s="92"/>
      <c r="H1330" s="92"/>
      <c r="I1330" s="136"/>
      <c r="J1330" s="92"/>
      <c r="K1330" s="92"/>
      <c r="L1330" s="92"/>
      <c r="M1330" s="92"/>
    </row>
    <row r="1331" spans="1:13" s="137" customFormat="1">
      <c r="A1331" s="134"/>
      <c r="B1331" s="135"/>
      <c r="C1331" s="92"/>
      <c r="D1331" s="92"/>
      <c r="E1331" s="92"/>
      <c r="F1331" s="92"/>
      <c r="G1331" s="92"/>
      <c r="H1331" s="92"/>
      <c r="I1331" s="136"/>
      <c r="J1331" s="92"/>
      <c r="K1331" s="92"/>
      <c r="L1331" s="92"/>
      <c r="M1331" s="92"/>
    </row>
    <row r="1332" spans="1:13" s="137" customFormat="1">
      <c r="A1332" s="134"/>
      <c r="B1332" s="135"/>
      <c r="C1332" s="92"/>
      <c r="D1332" s="92"/>
      <c r="E1332" s="92"/>
      <c r="F1332" s="92"/>
      <c r="G1332" s="92"/>
      <c r="H1332" s="92"/>
      <c r="I1332" s="136"/>
      <c r="J1332" s="92"/>
      <c r="K1332" s="92"/>
      <c r="L1332" s="92"/>
      <c r="M1332" s="92"/>
    </row>
    <row r="1333" spans="1:13" s="137" customFormat="1">
      <c r="A1333" s="134"/>
      <c r="B1333" s="135"/>
      <c r="C1333" s="92"/>
      <c r="D1333" s="92"/>
      <c r="E1333" s="92"/>
      <c r="F1333" s="92"/>
      <c r="G1333" s="92"/>
      <c r="H1333" s="92"/>
      <c r="I1333" s="136"/>
      <c r="J1333" s="92"/>
      <c r="K1333" s="92"/>
      <c r="L1333" s="92"/>
      <c r="M1333" s="92"/>
    </row>
    <row r="1334" spans="1:13" s="137" customFormat="1">
      <c r="A1334" s="134"/>
      <c r="B1334" s="135"/>
      <c r="C1334" s="92"/>
      <c r="D1334" s="92"/>
      <c r="E1334" s="92"/>
      <c r="F1334" s="92"/>
      <c r="G1334" s="92"/>
      <c r="H1334" s="92"/>
      <c r="I1334" s="136"/>
      <c r="J1334" s="92"/>
      <c r="K1334" s="92"/>
      <c r="L1334" s="92"/>
      <c r="M1334" s="92"/>
    </row>
    <row r="1335" spans="1:13" s="137" customFormat="1">
      <c r="A1335" s="134"/>
      <c r="B1335" s="135"/>
      <c r="C1335" s="92"/>
      <c r="D1335" s="92"/>
      <c r="E1335" s="92"/>
      <c r="F1335" s="92"/>
      <c r="G1335" s="92"/>
      <c r="H1335" s="92"/>
      <c r="I1335" s="136"/>
      <c r="J1335" s="92"/>
      <c r="K1335" s="92"/>
      <c r="L1335" s="92"/>
      <c r="M1335" s="92"/>
    </row>
    <row r="1336" spans="1:13" s="137" customFormat="1">
      <c r="A1336" s="134"/>
      <c r="B1336" s="135"/>
      <c r="C1336" s="92"/>
      <c r="D1336" s="92"/>
      <c r="E1336" s="92"/>
      <c r="F1336" s="92"/>
      <c r="G1336" s="92"/>
      <c r="H1336" s="92"/>
      <c r="I1336" s="136"/>
      <c r="J1336" s="92"/>
      <c r="K1336" s="92"/>
      <c r="L1336" s="92"/>
      <c r="M1336" s="92"/>
    </row>
    <row r="1337" spans="1:13" s="137" customFormat="1">
      <c r="A1337" s="134"/>
      <c r="B1337" s="135"/>
      <c r="C1337" s="92"/>
      <c r="D1337" s="92"/>
      <c r="E1337" s="92"/>
      <c r="F1337" s="92"/>
      <c r="G1337" s="92"/>
      <c r="H1337" s="92"/>
      <c r="I1337" s="136"/>
      <c r="J1337" s="92"/>
      <c r="K1337" s="92"/>
      <c r="L1337" s="92"/>
      <c r="M1337" s="92"/>
    </row>
    <row r="1338" spans="1:13" s="137" customFormat="1">
      <c r="A1338" s="134"/>
      <c r="B1338" s="135"/>
      <c r="C1338" s="92"/>
      <c r="D1338" s="92"/>
      <c r="E1338" s="92"/>
      <c r="F1338" s="92"/>
      <c r="G1338" s="92"/>
      <c r="H1338" s="92"/>
      <c r="I1338" s="136"/>
      <c r="J1338" s="92"/>
      <c r="K1338" s="92"/>
      <c r="L1338" s="92"/>
      <c r="M1338" s="92"/>
    </row>
    <row r="1339" spans="1:13" s="137" customFormat="1">
      <c r="A1339" s="134"/>
      <c r="B1339" s="135"/>
      <c r="C1339" s="92"/>
      <c r="D1339" s="92"/>
      <c r="E1339" s="92"/>
      <c r="F1339" s="92"/>
      <c r="G1339" s="92"/>
      <c r="H1339" s="92"/>
      <c r="I1339" s="136"/>
      <c r="J1339" s="92"/>
      <c r="K1339" s="92"/>
      <c r="L1339" s="92"/>
      <c r="M1339" s="92"/>
    </row>
    <row r="1340" spans="1:13" s="137" customFormat="1">
      <c r="A1340" s="134"/>
      <c r="B1340" s="135"/>
      <c r="C1340" s="92"/>
      <c r="D1340" s="92"/>
      <c r="E1340" s="92"/>
      <c r="F1340" s="92"/>
      <c r="G1340" s="92"/>
      <c r="H1340" s="92"/>
      <c r="I1340" s="136"/>
      <c r="J1340" s="92"/>
      <c r="K1340" s="92"/>
      <c r="L1340" s="92"/>
      <c r="M1340" s="92"/>
    </row>
    <row r="1341" spans="1:13" s="137" customFormat="1">
      <c r="A1341" s="134"/>
      <c r="B1341" s="135"/>
      <c r="C1341" s="92"/>
      <c r="D1341" s="92"/>
      <c r="E1341" s="92"/>
      <c r="F1341" s="92"/>
      <c r="G1341" s="92"/>
      <c r="H1341" s="92"/>
      <c r="I1341" s="136"/>
      <c r="J1341" s="92"/>
      <c r="K1341" s="92"/>
      <c r="L1341" s="92"/>
      <c r="M1341" s="92"/>
    </row>
    <row r="1342" spans="1:13" s="137" customFormat="1">
      <c r="A1342" s="134"/>
      <c r="B1342" s="135"/>
      <c r="C1342" s="92"/>
      <c r="D1342" s="92"/>
      <c r="E1342" s="92"/>
      <c r="F1342" s="92"/>
      <c r="G1342" s="92"/>
      <c r="H1342" s="92"/>
      <c r="I1342" s="136"/>
      <c r="J1342" s="92"/>
      <c r="K1342" s="92"/>
      <c r="L1342" s="92"/>
      <c r="M1342" s="92"/>
    </row>
    <row r="1343" spans="1:13" s="137" customFormat="1">
      <c r="A1343" s="134"/>
      <c r="B1343" s="135"/>
      <c r="C1343" s="92"/>
      <c r="D1343" s="92"/>
      <c r="E1343" s="92"/>
      <c r="F1343" s="92"/>
      <c r="G1343" s="92"/>
      <c r="H1343" s="92"/>
      <c r="I1343" s="136"/>
      <c r="J1343" s="92"/>
      <c r="K1343" s="92"/>
      <c r="L1343" s="92"/>
      <c r="M1343" s="92"/>
    </row>
    <row r="1344" spans="1:13" s="137" customFormat="1">
      <c r="A1344" s="134"/>
      <c r="B1344" s="135"/>
      <c r="C1344" s="92"/>
      <c r="D1344" s="92"/>
      <c r="E1344" s="92"/>
      <c r="F1344" s="92"/>
      <c r="G1344" s="92"/>
      <c r="H1344" s="92"/>
      <c r="I1344" s="136"/>
      <c r="J1344" s="92"/>
      <c r="K1344" s="92"/>
      <c r="L1344" s="92"/>
      <c r="M1344" s="92"/>
    </row>
    <row r="1345" spans="1:13" s="137" customFormat="1">
      <c r="A1345" s="134"/>
      <c r="B1345" s="135"/>
      <c r="C1345" s="92"/>
      <c r="D1345" s="92"/>
      <c r="E1345" s="92"/>
      <c r="F1345" s="92"/>
      <c r="G1345" s="92"/>
      <c r="H1345" s="92"/>
      <c r="I1345" s="136"/>
      <c r="J1345" s="92"/>
      <c r="K1345" s="92"/>
      <c r="L1345" s="92"/>
      <c r="M1345" s="92"/>
    </row>
    <row r="1346" spans="1:13" s="137" customFormat="1">
      <c r="A1346" s="134"/>
      <c r="B1346" s="135"/>
      <c r="C1346" s="92"/>
      <c r="D1346" s="92"/>
      <c r="E1346" s="92"/>
      <c r="F1346" s="92"/>
      <c r="G1346" s="92"/>
      <c r="H1346" s="92"/>
      <c r="I1346" s="136"/>
      <c r="J1346" s="92"/>
      <c r="K1346" s="92"/>
      <c r="L1346" s="92"/>
      <c r="M1346" s="92"/>
    </row>
    <row r="1347" spans="1:13" s="137" customFormat="1">
      <c r="A1347" s="134"/>
      <c r="B1347" s="135"/>
      <c r="C1347" s="92"/>
      <c r="D1347" s="92"/>
      <c r="E1347" s="92"/>
      <c r="F1347" s="92"/>
      <c r="G1347" s="92"/>
      <c r="H1347" s="92"/>
      <c r="I1347" s="136"/>
      <c r="J1347" s="92"/>
      <c r="K1347" s="92"/>
      <c r="L1347" s="92"/>
      <c r="M1347" s="92"/>
    </row>
    <row r="1348" spans="1:13" s="137" customFormat="1">
      <c r="A1348" s="134"/>
      <c r="B1348" s="135"/>
      <c r="C1348" s="92"/>
      <c r="D1348" s="92"/>
      <c r="E1348" s="92"/>
      <c r="F1348" s="92"/>
      <c r="G1348" s="92"/>
      <c r="H1348" s="92"/>
      <c r="I1348" s="136"/>
      <c r="J1348" s="92"/>
      <c r="K1348" s="92"/>
      <c r="L1348" s="92"/>
      <c r="M1348" s="92"/>
    </row>
    <row r="1349" spans="1:13" s="137" customFormat="1">
      <c r="A1349" s="134"/>
      <c r="B1349" s="135"/>
      <c r="C1349" s="92"/>
      <c r="D1349" s="92"/>
      <c r="E1349" s="92"/>
      <c r="F1349" s="92"/>
      <c r="G1349" s="92"/>
      <c r="H1349" s="92"/>
      <c r="I1349" s="136"/>
      <c r="J1349" s="92"/>
      <c r="K1349" s="92"/>
      <c r="L1349" s="92"/>
      <c r="M1349" s="92"/>
    </row>
    <row r="1350" spans="1:13" s="137" customFormat="1">
      <c r="A1350" s="134"/>
      <c r="B1350" s="135"/>
      <c r="C1350" s="92"/>
      <c r="D1350" s="92"/>
      <c r="E1350" s="92"/>
      <c r="F1350" s="92"/>
      <c r="G1350" s="92"/>
      <c r="H1350" s="92"/>
      <c r="I1350" s="136"/>
      <c r="J1350" s="92"/>
      <c r="K1350" s="92"/>
      <c r="L1350" s="92"/>
      <c r="M1350" s="92"/>
    </row>
    <row r="1351" spans="1:13" s="137" customFormat="1">
      <c r="A1351" s="134"/>
      <c r="B1351" s="135"/>
      <c r="C1351" s="92"/>
      <c r="D1351" s="92"/>
      <c r="E1351" s="92"/>
      <c r="F1351" s="92"/>
      <c r="G1351" s="92"/>
      <c r="H1351" s="92"/>
      <c r="I1351" s="136"/>
      <c r="J1351" s="92"/>
      <c r="K1351" s="92"/>
      <c r="L1351" s="92"/>
      <c r="M1351" s="92"/>
    </row>
    <row r="1352" spans="1:13" s="137" customFormat="1">
      <c r="A1352" s="134"/>
      <c r="B1352" s="135"/>
      <c r="C1352" s="92"/>
      <c r="D1352" s="92"/>
      <c r="E1352" s="92"/>
      <c r="F1352" s="92"/>
      <c r="G1352" s="92"/>
      <c r="H1352" s="92"/>
      <c r="I1352" s="136"/>
      <c r="J1352" s="92"/>
      <c r="K1352" s="92"/>
      <c r="L1352" s="92"/>
      <c r="M1352" s="92"/>
    </row>
    <row r="1353" spans="1:13" s="137" customFormat="1">
      <c r="A1353" s="134"/>
      <c r="B1353" s="135"/>
      <c r="C1353" s="92"/>
      <c r="D1353" s="92"/>
      <c r="E1353" s="92"/>
      <c r="F1353" s="92"/>
      <c r="G1353" s="92"/>
      <c r="H1353" s="92"/>
      <c r="I1353" s="136"/>
      <c r="J1353" s="92"/>
      <c r="K1353" s="92"/>
      <c r="L1353" s="92"/>
      <c r="M1353" s="92"/>
    </row>
    <row r="1354" spans="1:13" s="137" customFormat="1">
      <c r="A1354" s="134"/>
      <c r="B1354" s="135"/>
      <c r="C1354" s="92"/>
      <c r="D1354" s="92"/>
      <c r="E1354" s="92"/>
      <c r="F1354" s="92"/>
      <c r="G1354" s="92"/>
      <c r="H1354" s="92"/>
      <c r="I1354" s="136"/>
      <c r="J1354" s="92"/>
      <c r="K1354" s="92"/>
      <c r="L1354" s="92"/>
      <c r="M1354" s="92"/>
    </row>
    <row r="1355" spans="1:13" s="137" customFormat="1">
      <c r="A1355" s="134"/>
      <c r="B1355" s="135"/>
      <c r="C1355" s="92"/>
      <c r="D1355" s="92"/>
      <c r="E1355" s="92"/>
      <c r="F1355" s="92"/>
      <c r="G1355" s="92"/>
      <c r="H1355" s="92"/>
      <c r="I1355" s="136"/>
      <c r="J1355" s="92"/>
      <c r="K1355" s="92"/>
      <c r="L1355" s="92"/>
      <c r="M1355" s="92"/>
    </row>
    <row r="1356" spans="1:13" s="137" customFormat="1">
      <c r="A1356" s="134"/>
      <c r="B1356" s="135"/>
      <c r="C1356" s="92"/>
      <c r="D1356" s="92"/>
      <c r="E1356" s="92"/>
      <c r="F1356" s="92"/>
      <c r="G1356" s="92"/>
      <c r="H1356" s="92"/>
      <c r="I1356" s="136"/>
      <c r="J1356" s="92"/>
      <c r="K1356" s="92"/>
      <c r="L1356" s="92"/>
      <c r="M1356" s="92"/>
    </row>
    <row r="1357" spans="1:13" s="137" customFormat="1">
      <c r="A1357" s="134"/>
      <c r="B1357" s="135"/>
      <c r="C1357" s="92"/>
      <c r="D1357" s="92"/>
      <c r="E1357" s="92"/>
      <c r="F1357" s="92"/>
      <c r="G1357" s="92"/>
      <c r="H1357" s="92"/>
      <c r="I1357" s="136"/>
      <c r="J1357" s="92"/>
      <c r="K1357" s="92"/>
      <c r="L1357" s="92"/>
      <c r="M1357" s="92"/>
    </row>
    <row r="1358" spans="1:13" s="137" customFormat="1">
      <c r="A1358" s="134"/>
      <c r="B1358" s="135"/>
      <c r="C1358" s="92"/>
      <c r="D1358" s="92"/>
      <c r="E1358" s="92"/>
      <c r="F1358" s="92"/>
      <c r="G1358" s="92"/>
      <c r="H1358" s="92"/>
      <c r="I1358" s="136"/>
      <c r="J1358" s="92"/>
      <c r="K1358" s="92"/>
      <c r="L1358" s="92"/>
      <c r="M1358" s="92"/>
    </row>
    <row r="1359" spans="1:13" s="137" customFormat="1">
      <c r="A1359" s="134"/>
      <c r="B1359" s="135"/>
      <c r="C1359" s="92"/>
      <c r="D1359" s="92"/>
      <c r="E1359" s="92"/>
      <c r="F1359" s="92"/>
      <c r="G1359" s="92"/>
      <c r="H1359" s="92"/>
      <c r="I1359" s="136"/>
      <c r="J1359" s="92"/>
      <c r="K1359" s="92"/>
      <c r="L1359" s="92"/>
      <c r="M1359" s="92"/>
    </row>
    <row r="1360" spans="1:13" s="137" customFormat="1">
      <c r="A1360" s="134"/>
      <c r="B1360" s="135"/>
      <c r="C1360" s="92"/>
      <c r="D1360" s="92"/>
      <c r="E1360" s="92"/>
      <c r="F1360" s="92"/>
      <c r="G1360" s="92"/>
      <c r="H1360" s="92"/>
      <c r="I1360" s="136"/>
      <c r="J1360" s="92"/>
      <c r="K1360" s="92"/>
      <c r="L1360" s="92"/>
      <c r="M1360" s="92"/>
    </row>
    <row r="1361" spans="1:13" s="137" customFormat="1">
      <c r="A1361" s="134"/>
      <c r="B1361" s="135"/>
      <c r="C1361" s="92"/>
      <c r="D1361" s="92"/>
      <c r="E1361" s="92"/>
      <c r="F1361" s="92"/>
      <c r="G1361" s="92"/>
      <c r="H1361" s="92"/>
      <c r="I1361" s="136"/>
      <c r="J1361" s="92"/>
      <c r="K1361" s="92"/>
      <c r="L1361" s="92"/>
      <c r="M1361" s="92"/>
    </row>
    <row r="1362" spans="1:13" s="137" customFormat="1">
      <c r="A1362" s="134"/>
      <c r="B1362" s="135"/>
      <c r="C1362" s="92"/>
      <c r="D1362" s="92"/>
      <c r="E1362" s="92"/>
      <c r="F1362" s="92"/>
      <c r="G1362" s="92"/>
      <c r="H1362" s="92"/>
      <c r="I1362" s="136"/>
      <c r="J1362" s="92"/>
      <c r="K1362" s="92"/>
      <c r="L1362" s="92"/>
      <c r="M1362" s="92"/>
    </row>
    <row r="1363" spans="1:13" s="137" customFormat="1">
      <c r="A1363" s="134"/>
      <c r="B1363" s="135"/>
      <c r="C1363" s="92"/>
      <c r="D1363" s="92"/>
      <c r="E1363" s="92"/>
      <c r="F1363" s="92"/>
      <c r="G1363" s="92"/>
      <c r="H1363" s="92"/>
      <c r="I1363" s="136"/>
      <c r="J1363" s="92"/>
      <c r="K1363" s="92"/>
      <c r="L1363" s="92"/>
      <c r="M1363" s="92"/>
    </row>
    <row r="1364" spans="1:13" s="137" customFormat="1">
      <c r="A1364" s="134"/>
      <c r="B1364" s="135"/>
      <c r="C1364" s="92"/>
      <c r="D1364" s="92"/>
      <c r="E1364" s="92"/>
      <c r="F1364" s="92"/>
      <c r="G1364" s="92"/>
      <c r="H1364" s="92"/>
      <c r="I1364" s="136"/>
      <c r="J1364" s="92"/>
      <c r="K1364" s="92"/>
      <c r="L1364" s="92"/>
      <c r="M1364" s="92"/>
    </row>
    <row r="1365" spans="1:13" s="137" customFormat="1">
      <c r="A1365" s="134"/>
      <c r="B1365" s="135"/>
      <c r="C1365" s="92"/>
      <c r="D1365" s="92"/>
      <c r="E1365" s="92"/>
      <c r="F1365" s="92"/>
      <c r="G1365" s="92"/>
      <c r="H1365" s="92"/>
      <c r="I1365" s="136"/>
      <c r="J1365" s="92"/>
      <c r="K1365" s="92"/>
      <c r="L1365" s="92"/>
      <c r="M1365" s="92"/>
    </row>
    <row r="1366" spans="1:13" s="137" customFormat="1">
      <c r="A1366" s="134"/>
      <c r="B1366" s="135"/>
      <c r="C1366" s="92"/>
      <c r="D1366" s="92"/>
      <c r="E1366" s="92"/>
      <c r="F1366" s="92"/>
      <c r="G1366" s="92"/>
      <c r="H1366" s="92"/>
      <c r="I1366" s="136"/>
      <c r="J1366" s="92"/>
      <c r="K1366" s="92"/>
      <c r="L1366" s="92"/>
      <c r="M1366" s="92"/>
    </row>
    <row r="1367" spans="1:13" s="137" customFormat="1">
      <c r="A1367" s="134"/>
      <c r="B1367" s="135"/>
      <c r="C1367" s="92"/>
      <c r="D1367" s="92"/>
      <c r="E1367" s="92"/>
      <c r="F1367" s="92"/>
      <c r="G1367" s="92"/>
      <c r="H1367" s="92"/>
      <c r="I1367" s="136"/>
      <c r="J1367" s="92"/>
      <c r="K1367" s="92"/>
      <c r="L1367" s="92"/>
      <c r="M1367" s="92"/>
    </row>
    <row r="1368" spans="1:13" s="137" customFormat="1">
      <c r="A1368" s="134"/>
      <c r="B1368" s="135"/>
      <c r="C1368" s="92"/>
      <c r="D1368" s="92"/>
      <c r="E1368" s="92"/>
      <c r="F1368" s="92"/>
      <c r="G1368" s="92"/>
      <c r="H1368" s="92"/>
      <c r="I1368" s="136"/>
      <c r="J1368" s="92"/>
      <c r="K1368" s="92"/>
      <c r="L1368" s="92"/>
      <c r="M1368" s="92"/>
    </row>
    <row r="1369" spans="1:13" s="137" customFormat="1">
      <c r="A1369" s="134"/>
      <c r="B1369" s="135"/>
      <c r="C1369" s="92"/>
      <c r="D1369" s="92"/>
      <c r="E1369" s="92"/>
      <c r="F1369" s="92"/>
      <c r="G1369" s="92"/>
      <c r="H1369" s="92"/>
      <c r="I1369" s="136"/>
      <c r="J1369" s="92"/>
      <c r="K1369" s="92"/>
      <c r="L1369" s="92"/>
      <c r="M1369" s="92"/>
    </row>
    <row r="1370" spans="1:13" s="137" customFormat="1">
      <c r="A1370" s="134"/>
      <c r="B1370" s="135"/>
      <c r="C1370" s="92"/>
      <c r="D1370" s="92"/>
      <c r="E1370" s="92"/>
      <c r="F1370" s="92"/>
      <c r="G1370" s="92"/>
      <c r="H1370" s="92"/>
      <c r="I1370" s="136"/>
      <c r="J1370" s="92"/>
      <c r="K1370" s="92"/>
      <c r="L1370" s="92"/>
      <c r="M1370" s="92"/>
    </row>
    <row r="1371" spans="1:13" s="137" customFormat="1">
      <c r="A1371" s="134"/>
      <c r="B1371" s="135"/>
      <c r="C1371" s="92"/>
      <c r="D1371" s="92"/>
      <c r="E1371" s="92"/>
      <c r="F1371" s="92"/>
      <c r="G1371" s="92"/>
      <c r="H1371" s="92"/>
      <c r="I1371" s="136"/>
      <c r="J1371" s="92"/>
      <c r="K1371" s="92"/>
      <c r="L1371" s="92"/>
      <c r="M1371" s="92"/>
    </row>
    <row r="1372" spans="1:13" s="137" customFormat="1">
      <c r="A1372" s="134"/>
      <c r="B1372" s="135"/>
      <c r="C1372" s="92"/>
      <c r="D1372" s="92"/>
      <c r="E1372" s="92"/>
      <c r="F1372" s="92"/>
      <c r="G1372" s="92"/>
      <c r="H1372" s="92"/>
      <c r="I1372" s="136"/>
      <c r="J1372" s="92"/>
      <c r="K1372" s="92"/>
      <c r="L1372" s="92"/>
      <c r="M1372" s="92"/>
    </row>
    <row r="1373" spans="1:13" s="137" customFormat="1">
      <c r="A1373" s="134"/>
      <c r="B1373" s="135"/>
      <c r="C1373" s="92"/>
      <c r="D1373" s="92"/>
      <c r="E1373" s="92"/>
      <c r="F1373" s="92"/>
      <c r="G1373" s="92"/>
      <c r="H1373" s="92"/>
      <c r="I1373" s="136"/>
      <c r="J1373" s="92"/>
      <c r="K1373" s="92"/>
      <c r="L1373" s="92"/>
      <c r="M1373" s="92"/>
    </row>
    <row r="1374" spans="1:13" s="137" customFormat="1">
      <c r="A1374" s="134"/>
      <c r="B1374" s="135"/>
      <c r="C1374" s="92"/>
      <c r="D1374" s="92"/>
      <c r="E1374" s="92"/>
      <c r="F1374" s="92"/>
      <c r="G1374" s="92"/>
      <c r="H1374" s="92"/>
      <c r="I1374" s="136"/>
      <c r="J1374" s="92"/>
      <c r="K1374" s="92"/>
      <c r="L1374" s="92"/>
      <c r="M1374" s="92"/>
    </row>
    <row r="1375" spans="1:13" s="137" customFormat="1">
      <c r="A1375" s="134"/>
      <c r="B1375" s="135"/>
      <c r="C1375" s="92"/>
      <c r="D1375" s="92"/>
      <c r="E1375" s="92"/>
      <c r="F1375" s="92"/>
      <c r="G1375" s="92"/>
      <c r="H1375" s="92"/>
      <c r="I1375" s="136"/>
      <c r="J1375" s="92"/>
      <c r="K1375" s="92"/>
      <c r="L1375" s="92"/>
      <c r="M1375" s="92"/>
    </row>
    <row r="1376" spans="1:13" s="137" customFormat="1">
      <c r="A1376" s="134"/>
      <c r="B1376" s="135"/>
      <c r="C1376" s="92"/>
      <c r="D1376" s="92"/>
      <c r="E1376" s="92"/>
      <c r="F1376" s="92"/>
      <c r="G1376" s="92"/>
      <c r="H1376" s="92"/>
      <c r="I1376" s="136"/>
      <c r="J1376" s="92"/>
      <c r="K1376" s="92"/>
      <c r="L1376" s="92"/>
      <c r="M1376" s="92"/>
    </row>
    <row r="1377" spans="1:13" s="137" customFormat="1">
      <c r="A1377" s="134"/>
      <c r="B1377" s="135"/>
      <c r="C1377" s="92"/>
      <c r="D1377" s="92"/>
      <c r="E1377" s="92"/>
      <c r="F1377" s="92"/>
      <c r="G1377" s="92"/>
      <c r="H1377" s="92"/>
      <c r="I1377" s="136"/>
      <c r="J1377" s="92"/>
      <c r="K1377" s="92"/>
      <c r="L1377" s="92"/>
      <c r="M1377" s="92"/>
    </row>
    <row r="1378" spans="1:13" s="137" customFormat="1">
      <c r="A1378" s="134"/>
      <c r="B1378" s="135"/>
      <c r="C1378" s="92"/>
      <c r="D1378" s="92"/>
      <c r="E1378" s="92"/>
      <c r="F1378" s="92"/>
      <c r="G1378" s="92"/>
      <c r="H1378" s="92"/>
      <c r="I1378" s="136"/>
      <c r="J1378" s="92"/>
      <c r="K1378" s="92"/>
      <c r="L1378" s="92"/>
      <c r="M1378" s="92"/>
    </row>
    <row r="1379" spans="1:13" s="137" customFormat="1">
      <c r="A1379" s="134"/>
      <c r="B1379" s="135"/>
      <c r="C1379" s="92"/>
      <c r="D1379" s="92"/>
      <c r="E1379" s="92"/>
      <c r="F1379" s="92"/>
      <c r="G1379" s="92"/>
      <c r="H1379" s="92"/>
      <c r="I1379" s="136"/>
      <c r="J1379" s="92"/>
      <c r="K1379" s="92"/>
      <c r="L1379" s="92"/>
      <c r="M1379" s="92"/>
    </row>
    <row r="1380" spans="1:13" s="137" customFormat="1">
      <c r="A1380" s="134"/>
      <c r="B1380" s="135"/>
      <c r="C1380" s="92"/>
      <c r="D1380" s="92"/>
      <c r="E1380" s="92"/>
      <c r="F1380" s="92"/>
      <c r="G1380" s="92"/>
      <c r="H1380" s="92"/>
      <c r="I1380" s="136"/>
      <c r="J1380" s="92"/>
      <c r="K1380" s="92"/>
      <c r="L1380" s="92"/>
      <c r="M1380" s="92"/>
    </row>
    <row r="1381" spans="1:13" s="137" customFormat="1">
      <c r="A1381" s="134"/>
      <c r="B1381" s="135"/>
      <c r="C1381" s="92"/>
      <c r="D1381" s="92"/>
      <c r="E1381" s="92"/>
      <c r="F1381" s="92"/>
      <c r="G1381" s="92"/>
      <c r="H1381" s="92"/>
      <c r="I1381" s="136"/>
      <c r="J1381" s="92"/>
      <c r="K1381" s="92"/>
      <c r="L1381" s="92"/>
      <c r="M1381" s="92"/>
    </row>
    <row r="1382" spans="1:13" s="137" customFormat="1">
      <c r="A1382" s="134"/>
      <c r="B1382" s="135"/>
      <c r="C1382" s="92"/>
      <c r="D1382" s="92"/>
      <c r="E1382" s="92"/>
      <c r="F1382" s="92"/>
      <c r="G1382" s="92"/>
      <c r="H1382" s="92"/>
      <c r="I1382" s="136"/>
      <c r="J1382" s="92"/>
      <c r="K1382" s="92"/>
      <c r="L1382" s="92"/>
      <c r="M1382" s="92"/>
    </row>
    <row r="1383" spans="1:13" s="137" customFormat="1">
      <c r="A1383" s="134"/>
      <c r="B1383" s="135"/>
      <c r="C1383" s="92"/>
      <c r="D1383" s="92"/>
      <c r="E1383" s="92"/>
      <c r="F1383" s="92"/>
      <c r="G1383" s="92"/>
      <c r="H1383" s="92"/>
      <c r="I1383" s="136"/>
      <c r="J1383" s="92"/>
      <c r="K1383" s="92"/>
      <c r="L1383" s="92"/>
      <c r="M1383" s="92"/>
    </row>
    <row r="1384" spans="1:13" s="137" customFormat="1">
      <c r="A1384" s="134"/>
      <c r="B1384" s="135"/>
      <c r="C1384" s="92"/>
      <c r="D1384" s="92"/>
      <c r="E1384" s="92"/>
      <c r="F1384" s="92"/>
      <c r="G1384" s="92"/>
      <c r="H1384" s="92"/>
      <c r="I1384" s="136"/>
      <c r="J1384" s="92"/>
      <c r="K1384" s="92"/>
      <c r="L1384" s="92"/>
      <c r="M1384" s="92"/>
    </row>
    <row r="1385" spans="1:13" s="137" customFormat="1">
      <c r="A1385" s="134"/>
      <c r="B1385" s="135"/>
      <c r="C1385" s="92"/>
      <c r="D1385" s="92"/>
      <c r="E1385" s="92"/>
      <c r="F1385" s="92"/>
      <c r="G1385" s="92"/>
      <c r="H1385" s="92"/>
      <c r="I1385" s="136"/>
      <c r="J1385" s="92"/>
      <c r="K1385" s="92"/>
      <c r="L1385" s="92"/>
      <c r="M1385" s="92"/>
    </row>
    <row r="1386" spans="1:13" s="137" customFormat="1">
      <c r="A1386" s="134"/>
      <c r="B1386" s="135"/>
      <c r="C1386" s="92"/>
      <c r="D1386" s="92"/>
      <c r="E1386" s="92"/>
      <c r="F1386" s="92"/>
      <c r="G1386" s="92"/>
      <c r="H1386" s="92"/>
      <c r="I1386" s="136"/>
      <c r="J1386" s="92"/>
      <c r="K1386" s="92"/>
      <c r="L1386" s="92"/>
      <c r="M1386" s="92"/>
    </row>
    <row r="1387" spans="1:13" s="137" customFormat="1">
      <c r="A1387" s="134"/>
      <c r="B1387" s="135"/>
      <c r="C1387" s="92"/>
      <c r="D1387" s="92"/>
      <c r="E1387" s="92"/>
      <c r="F1387" s="92"/>
      <c r="G1387" s="92"/>
      <c r="H1387" s="92"/>
      <c r="I1387" s="136"/>
      <c r="J1387" s="92"/>
      <c r="K1387" s="92"/>
      <c r="L1387" s="92"/>
      <c r="M1387" s="92"/>
    </row>
    <row r="1388" spans="1:13" s="137" customFormat="1">
      <c r="A1388" s="134"/>
      <c r="B1388" s="135"/>
      <c r="C1388" s="92"/>
      <c r="D1388" s="92"/>
      <c r="E1388" s="92"/>
      <c r="F1388" s="92"/>
      <c r="G1388" s="92"/>
      <c r="H1388" s="92"/>
      <c r="I1388" s="136"/>
      <c r="J1388" s="92"/>
      <c r="K1388" s="92"/>
      <c r="L1388" s="92"/>
      <c r="M1388" s="92"/>
    </row>
    <row r="1389" spans="1:13" s="137" customFormat="1">
      <c r="A1389" s="134"/>
      <c r="B1389" s="135"/>
      <c r="C1389" s="92"/>
      <c r="D1389" s="92"/>
      <c r="E1389" s="92"/>
      <c r="F1389" s="92"/>
      <c r="G1389" s="92"/>
      <c r="H1389" s="92"/>
      <c r="I1389" s="136"/>
      <c r="J1389" s="92"/>
      <c r="K1389" s="92"/>
      <c r="L1389" s="92"/>
      <c r="M1389" s="92"/>
    </row>
    <row r="1390" spans="1:13" s="137" customFormat="1">
      <c r="A1390" s="134"/>
      <c r="B1390" s="135"/>
      <c r="C1390" s="92"/>
      <c r="D1390" s="92"/>
      <c r="E1390" s="92"/>
      <c r="F1390" s="92"/>
      <c r="G1390" s="92"/>
      <c r="H1390" s="92"/>
      <c r="I1390" s="136"/>
      <c r="J1390" s="92"/>
      <c r="K1390" s="92"/>
      <c r="L1390" s="92"/>
      <c r="M1390" s="92"/>
    </row>
    <row r="1391" spans="1:13" s="137" customFormat="1">
      <c r="A1391" s="134"/>
      <c r="B1391" s="135"/>
      <c r="C1391" s="92"/>
      <c r="D1391" s="92"/>
      <c r="E1391" s="92"/>
      <c r="F1391" s="92"/>
      <c r="G1391" s="92"/>
      <c r="H1391" s="92"/>
      <c r="I1391" s="136"/>
      <c r="J1391" s="92"/>
      <c r="K1391" s="92"/>
      <c r="L1391" s="92"/>
      <c r="M1391" s="92"/>
    </row>
  </sheetData>
  <customSheetViews>
    <customSheetView guid="{BDF1A126-BD1D-4A5E-80B8-98941684E462}" scale="90" showPageBreaks="1" showGridLines="0" printArea="1" view="pageBreakPreview">
      <selection activeCell="L9" sqref="L9"/>
      <colBreaks count="1" manualBreakCount="1">
        <brk id="8" max="1048575" man="1"/>
      </colBreaks>
      <pageMargins left="0.51" right="0" top="0.09" bottom="0" header="0" footer="0"/>
      <printOptions horizontalCentered="1" verticalCentered="1"/>
      <pageSetup paperSize="9" orientation="portrait" r:id="rId1"/>
    </customSheetView>
    <customSheetView guid="{04F0793E-5444-463D-A1D5-E52E08A4C249}" scale="90" showPageBreaks="1" showGridLines="0" printArea="1" view="pageBreakPreview" topLeftCell="A25">
      <selection activeCell="B56" sqref="B56"/>
      <colBreaks count="1" manualBreakCount="1">
        <brk id="8" max="1048575" man="1"/>
      </colBreaks>
      <pageMargins left="0" right="0" top="0" bottom="0" header="0" footer="0"/>
      <printOptions horizontalCentered="1" verticalCentered="1"/>
      <pageSetup paperSize="9" scale="70" orientation="portrait" horizontalDpi="300" verticalDpi="300" r:id="rId2"/>
    </customSheetView>
    <customSheetView guid="{925F74B5-C2F5-4E55-AFE4-045C56169B44}" scale="90" showPageBreaks="1" showGridLines="0" printArea="1" view="pageBreakPreview" topLeftCell="A25">
      <selection activeCell="B56" sqref="B56"/>
      <colBreaks count="1" manualBreakCount="1">
        <brk id="8" max="1048575" man="1"/>
      </colBreaks>
      <pageMargins left="0" right="0" top="0" bottom="0" header="0" footer="0"/>
      <printOptions horizontalCentered="1" verticalCentered="1"/>
      <pageSetup paperSize="9" scale="70" orientation="portrait" horizontalDpi="300" verticalDpi="300" r:id="rId3"/>
    </customSheetView>
    <customSheetView guid="{1FF58891-F32F-4F97-9812-E2D02F4497AA}" scale="90" showPageBreaks="1" showGridLines="0" printArea="1" view="pageBreakPreview">
      <selection activeCell="B4" sqref="B4:H23"/>
      <colBreaks count="1" manualBreakCount="1">
        <brk id="8" max="1048575" man="1"/>
      </colBreaks>
      <pageMargins left="0.51" right="0" top="0.09" bottom="0" header="0" footer="0"/>
      <printOptions horizontalCentered="1" verticalCentered="1"/>
      <pageSetup paperSize="9" orientation="portrait" r:id="rId4"/>
    </customSheetView>
    <customSheetView guid="{2A6091F0-BAF4-46A2-BC20-0DE610E67601}" scale="90" showPageBreaks="1" showGridLines="0" printArea="1" view="pageBreakPreview">
      <selection activeCell="L9" sqref="L9"/>
      <colBreaks count="1" manualBreakCount="1">
        <brk id="8" max="1048575" man="1"/>
      </colBreaks>
      <pageMargins left="0.51" right="0" top="0.09" bottom="0" header="0" footer="0"/>
      <printOptions horizontalCentered="1" verticalCentered="1"/>
      <pageSetup paperSize="9" orientation="portrait" r:id="rId5"/>
    </customSheetView>
    <customSheetView guid="{5111FDC7-EEAC-46C3-8033-47A3563F0C00}" scale="90" showPageBreaks="1" showGridLines="0" printArea="1" view="pageBreakPreview">
      <selection activeCell="G5" sqref="G5:G6"/>
      <colBreaks count="1" manualBreakCount="1">
        <brk id="8" max="1048575" man="1"/>
      </colBreaks>
      <pageMargins left="0.51" right="0" top="0.09" bottom="0" header="0" footer="0"/>
      <printOptions horizontalCentered="1" verticalCentered="1"/>
      <pageSetup paperSize="9" orientation="portrait" r:id="rId6"/>
    </customSheetView>
    <customSheetView guid="{2A5E79E4-584C-4F65-A220-87928CEA02AF}" scale="90" showPageBreaks="1" showGridLines="0" printArea="1" view="pageBreakPreview">
      <selection activeCell="G5" sqref="G5:G6"/>
      <colBreaks count="1" manualBreakCount="1">
        <brk id="8" max="1048575" man="1"/>
      </colBreaks>
      <pageMargins left="0.51" right="0" top="0.09" bottom="0" header="0" footer="0"/>
      <printOptions horizontalCentered="1" verticalCentered="1"/>
      <pageSetup paperSize="9" orientation="portrait" r:id="rId7"/>
    </customSheetView>
    <customSheetView guid="{66872EF1-41BD-4D4B-B603-B8B0D03DAD22}" scale="90" showPageBreaks="1" showGridLines="0" printArea="1" view="pageBreakPreview">
      <selection activeCell="G5" sqref="G5:G6"/>
      <colBreaks count="1" manualBreakCount="1">
        <brk id="8" max="1048575" man="1"/>
      </colBreaks>
      <pageMargins left="0.51" right="0" top="0.09" bottom="0" header="0" footer="0"/>
      <printOptions horizontalCentered="1" verticalCentered="1"/>
      <pageSetup paperSize="9" orientation="portrait" r:id="rId8"/>
    </customSheetView>
    <customSheetView guid="{ACE56013-11B3-4BF4-BD0B-BF59142DAC13}" scale="90" showPageBreaks="1" showGridLines="0" printArea="1" hiddenRows="1" view="pageBreakPreview" topLeftCell="A35">
      <selection activeCell="C55" sqref="C55"/>
      <colBreaks count="1" manualBreakCount="1">
        <brk id="8" max="1048575" man="1"/>
      </colBreaks>
      <pageMargins left="0.51" right="0" top="0.09" bottom="0" header="0" footer="0"/>
      <printOptions horizontalCentered="1" verticalCentered="1"/>
      <pageSetup paperSize="9" scale="99" orientation="portrait" r:id="rId9"/>
    </customSheetView>
  </customSheetViews>
  <mergeCells count="19">
    <mergeCell ref="E7:E9"/>
    <mergeCell ref="F7:F9"/>
    <mergeCell ref="G7:G9"/>
    <mergeCell ref="C9:D9"/>
    <mergeCell ref="B25:H25"/>
    <mergeCell ref="B33:H33"/>
    <mergeCell ref="A1:H1"/>
    <mergeCell ref="B45:H45"/>
    <mergeCell ref="B18:H18"/>
    <mergeCell ref="B11:H11"/>
    <mergeCell ref="C3:D3"/>
    <mergeCell ref="B4:B8"/>
    <mergeCell ref="C4:D6"/>
    <mergeCell ref="E4:F4"/>
    <mergeCell ref="G4:H4"/>
    <mergeCell ref="E5:E6"/>
    <mergeCell ref="F5:F6"/>
    <mergeCell ref="G5:G6"/>
    <mergeCell ref="H5:H9"/>
  </mergeCells>
  <printOptions horizontalCentered="1" verticalCentered="1"/>
  <pageMargins left="0.51" right="0" top="0.09" bottom="0" header="0" footer="0"/>
  <pageSetup paperSize="9" scale="99" orientation="portrait" r:id="rId10"/>
  <colBreaks count="1" manualBreakCount="1">
    <brk id="8" max="1048575" man="1"/>
  </colBreaks>
  <drawing r:id="rId11"/>
  <legacyDrawing r:id="rId1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49"/>
  <sheetViews>
    <sheetView showGridLines="0" zoomScaleSheetLayoutView="100" workbookViewId="0">
      <selection sqref="A1:H1"/>
    </sheetView>
  </sheetViews>
  <sheetFormatPr defaultColWidth="8.85546875" defaultRowHeight="12.75"/>
  <cols>
    <col min="1" max="1" width="5.5703125" style="122" customWidth="1"/>
    <col min="2" max="2" width="33.5703125" style="122" customWidth="1"/>
    <col min="3" max="3" width="8.140625" style="122" customWidth="1"/>
    <col min="4" max="4" width="6.28515625" style="122" customWidth="1"/>
    <col min="5" max="5" width="15.85546875" style="122" customWidth="1"/>
    <col min="6" max="6" width="7.85546875" style="122" customWidth="1"/>
    <col min="7" max="7" width="5.7109375" style="122" customWidth="1"/>
    <col min="8" max="8" width="14.7109375" style="122" customWidth="1"/>
    <col min="9" max="16384" width="8.85546875" style="123"/>
  </cols>
  <sheetData>
    <row r="1" spans="1:12" s="140" customFormat="1" ht="20.25" customHeight="1">
      <c r="A1" s="5566" t="s">
        <v>1402</v>
      </c>
      <c r="B1" s="5566"/>
      <c r="C1" s="5566"/>
      <c r="D1" s="5566"/>
      <c r="E1" s="5566"/>
      <c r="F1" s="5566"/>
      <c r="G1" s="5566"/>
      <c r="H1" s="5566"/>
    </row>
    <row r="2" spans="1:12" s="109" customFormat="1" ht="3.75" customHeight="1">
      <c r="A2" s="110"/>
      <c r="B2" s="111"/>
      <c r="C2" s="112"/>
      <c r="D2" s="112"/>
      <c r="I2" s="113"/>
      <c r="J2" s="113"/>
      <c r="K2" s="113"/>
      <c r="L2" s="113"/>
    </row>
    <row r="3" spans="1:12" s="93" customFormat="1" ht="15.75" customHeight="1">
      <c r="A3" s="5567"/>
      <c r="B3" s="5567"/>
      <c r="C3" s="91"/>
      <c r="D3" s="91"/>
      <c r="E3" s="92"/>
      <c r="F3" s="92"/>
      <c r="G3" s="92"/>
      <c r="H3" s="92"/>
      <c r="I3" s="92"/>
      <c r="J3" s="92"/>
      <c r="K3" s="92"/>
      <c r="L3" s="92"/>
    </row>
    <row r="4" spans="1:12" s="93" customFormat="1" ht="5.25" customHeight="1" thickBot="1">
      <c r="A4" s="153"/>
      <c r="B4" s="151"/>
      <c r="C4" s="91"/>
      <c r="D4" s="91"/>
      <c r="E4" s="92"/>
      <c r="F4" s="92"/>
      <c r="G4" s="92"/>
      <c r="H4" s="92"/>
      <c r="I4" s="92"/>
      <c r="J4" s="92"/>
      <c r="K4" s="92"/>
      <c r="L4" s="92"/>
    </row>
    <row r="5" spans="1:12" s="142" customFormat="1" ht="12.75" customHeight="1" thickBot="1">
      <c r="A5" s="168">
        <v>14.01</v>
      </c>
      <c r="B5" s="168">
        <v>14.02</v>
      </c>
      <c r="C5" s="5572">
        <v>14.03</v>
      </c>
      <c r="D5" s="5573"/>
      <c r="E5" s="169">
        <v>14.04</v>
      </c>
      <c r="F5" s="5572">
        <v>14.05</v>
      </c>
      <c r="G5" s="5583"/>
      <c r="H5" s="169">
        <v>14.06</v>
      </c>
      <c r="I5" s="141"/>
      <c r="J5" s="141"/>
      <c r="K5" s="141"/>
      <c r="L5" s="141"/>
    </row>
    <row r="6" spans="1:12" s="115" customFormat="1" ht="15" customHeight="1" thickBot="1">
      <c r="A6" s="2320"/>
      <c r="B6" s="5587" t="s">
        <v>1793</v>
      </c>
      <c r="C6" s="5589" t="s">
        <v>588</v>
      </c>
      <c r="D6" s="5590"/>
      <c r="E6" s="1177" t="s">
        <v>84</v>
      </c>
      <c r="F6" s="5576" t="s">
        <v>85</v>
      </c>
      <c r="G6" s="5577"/>
      <c r="H6" s="5578"/>
      <c r="I6" s="92"/>
      <c r="J6" s="92"/>
      <c r="K6" s="92"/>
      <c r="L6" s="92"/>
    </row>
    <row r="7" spans="1:12" s="115" customFormat="1" ht="31.5" customHeight="1">
      <c r="A7" s="164"/>
      <c r="B7" s="5588"/>
      <c r="C7" s="5549"/>
      <c r="D7" s="5550"/>
      <c r="E7" s="5574" t="s">
        <v>90</v>
      </c>
      <c r="F7" s="5579" t="s">
        <v>582</v>
      </c>
      <c r="G7" s="5580"/>
      <c r="H7" s="5568" t="s">
        <v>87</v>
      </c>
      <c r="I7" s="92"/>
      <c r="J7" s="92"/>
      <c r="K7" s="92"/>
      <c r="L7" s="92"/>
    </row>
    <row r="8" spans="1:12" s="115" customFormat="1" ht="30.75" customHeight="1">
      <c r="A8" s="164" t="s">
        <v>71</v>
      </c>
      <c r="B8" s="5588"/>
      <c r="C8" s="5591"/>
      <c r="D8" s="5592"/>
      <c r="E8" s="5575"/>
      <c r="F8" s="5581"/>
      <c r="G8" s="5582"/>
      <c r="H8" s="5569"/>
      <c r="I8" s="92"/>
      <c r="J8" s="92"/>
      <c r="K8" s="92"/>
      <c r="L8" s="92"/>
    </row>
    <row r="9" spans="1:12" s="115" customFormat="1" ht="12" customHeight="1">
      <c r="A9" s="164"/>
      <c r="B9" s="5588"/>
      <c r="C9" s="1162" t="s">
        <v>862</v>
      </c>
      <c r="D9" s="1163">
        <v>1</v>
      </c>
      <c r="E9" s="5575"/>
      <c r="F9" s="1169" t="s">
        <v>862</v>
      </c>
      <c r="G9" s="1170">
        <v>1</v>
      </c>
      <c r="H9" s="5570"/>
      <c r="I9" s="92"/>
      <c r="J9" s="92"/>
      <c r="K9" s="92"/>
      <c r="L9" s="92"/>
    </row>
    <row r="10" spans="1:12" s="115" customFormat="1" ht="12" customHeight="1">
      <c r="A10" s="164"/>
      <c r="B10" s="5588"/>
      <c r="C10" s="1481" t="s">
        <v>863</v>
      </c>
      <c r="D10" s="1164">
        <v>2</v>
      </c>
      <c r="E10" s="1171"/>
      <c r="F10" s="1172" t="s">
        <v>863</v>
      </c>
      <c r="G10" s="1173">
        <v>2</v>
      </c>
      <c r="H10" s="5570"/>
      <c r="I10" s="92"/>
      <c r="J10" s="92"/>
      <c r="K10" s="92"/>
      <c r="L10" s="92"/>
    </row>
    <row r="11" spans="1:12" s="115" customFormat="1" ht="13.5" customHeight="1">
      <c r="A11" s="164"/>
      <c r="B11" s="165"/>
      <c r="C11" s="1174" t="s">
        <v>72</v>
      </c>
      <c r="D11" s="1175"/>
      <c r="E11" s="1174" t="s">
        <v>1794</v>
      </c>
      <c r="F11" s="5584" t="s">
        <v>72</v>
      </c>
      <c r="G11" s="5585"/>
      <c r="H11" s="5571"/>
      <c r="I11" s="92"/>
      <c r="J11" s="92"/>
      <c r="K11" s="92"/>
      <c r="L11" s="92"/>
    </row>
    <row r="12" spans="1:12" s="120" customFormat="1" ht="14.25" customHeight="1" thickBot="1">
      <c r="A12" s="166"/>
      <c r="B12" s="167" t="s">
        <v>73</v>
      </c>
      <c r="C12" s="117"/>
      <c r="D12" s="118"/>
      <c r="E12" s="119" t="s">
        <v>496</v>
      </c>
      <c r="F12" s="5593"/>
      <c r="G12" s="5594"/>
      <c r="H12" s="119" t="s">
        <v>496</v>
      </c>
      <c r="I12" s="92"/>
      <c r="J12" s="92"/>
      <c r="K12" s="92"/>
      <c r="L12" s="92"/>
    </row>
    <row r="13" spans="1:12" ht="14.25">
      <c r="A13" s="2561"/>
      <c r="B13" s="5538" t="s">
        <v>149</v>
      </c>
      <c r="C13" s="5539"/>
      <c r="D13" s="5539"/>
      <c r="E13" s="5539"/>
      <c r="F13" s="5539"/>
      <c r="G13" s="5539"/>
      <c r="H13" s="5586"/>
    </row>
    <row r="14" spans="1:12" ht="25.5">
      <c r="A14" s="124">
        <v>301</v>
      </c>
      <c r="B14" s="1460" t="s">
        <v>150</v>
      </c>
      <c r="C14" s="154"/>
      <c r="D14" s="155"/>
      <c r="E14" s="133"/>
      <c r="F14" s="5595"/>
      <c r="G14" s="5596"/>
      <c r="H14" s="133"/>
    </row>
    <row r="15" spans="1:12" ht="13.5">
      <c r="A15" s="124">
        <v>302</v>
      </c>
      <c r="B15" s="1461" t="s">
        <v>151</v>
      </c>
      <c r="C15" s="154"/>
      <c r="D15" s="155"/>
      <c r="E15" s="133"/>
      <c r="F15" s="5595"/>
      <c r="G15" s="5596"/>
      <c r="H15" s="133"/>
    </row>
    <row r="16" spans="1:12" ht="13.5">
      <c r="A16" s="124">
        <v>303</v>
      </c>
      <c r="B16" s="1461" t="s">
        <v>152</v>
      </c>
      <c r="C16" s="154"/>
      <c r="D16" s="155"/>
      <c r="E16" s="133"/>
      <c r="F16" s="5595"/>
      <c r="G16" s="5596"/>
      <c r="H16" s="133"/>
    </row>
    <row r="17" spans="1:8" ht="13.5">
      <c r="A17" s="124">
        <v>304</v>
      </c>
      <c r="B17" s="1461" t="s">
        <v>153</v>
      </c>
      <c r="C17" s="154"/>
      <c r="D17" s="155"/>
      <c r="E17" s="133"/>
      <c r="F17" s="5595"/>
      <c r="G17" s="5596"/>
      <c r="H17" s="133"/>
    </row>
    <row r="18" spans="1:8" ht="13.5">
      <c r="A18" s="124">
        <v>305</v>
      </c>
      <c r="B18" s="1460" t="s">
        <v>154</v>
      </c>
      <c r="C18" s="154"/>
      <c r="D18" s="155"/>
      <c r="E18" s="133"/>
      <c r="F18" s="5595"/>
      <c r="G18" s="5596"/>
      <c r="H18" s="133"/>
    </row>
    <row r="19" spans="1:8" ht="25.5">
      <c r="A19" s="124">
        <v>306</v>
      </c>
      <c r="B19" s="1460" t="s">
        <v>155</v>
      </c>
      <c r="C19" s="154"/>
      <c r="D19" s="155"/>
      <c r="E19" s="133"/>
      <c r="F19" s="5595"/>
      <c r="G19" s="5596"/>
      <c r="H19" s="133"/>
    </row>
    <row r="20" spans="1:8" ht="13.5">
      <c r="A20" s="124">
        <v>307</v>
      </c>
      <c r="B20" s="1461" t="s">
        <v>156</v>
      </c>
      <c r="C20" s="154"/>
      <c r="D20" s="155"/>
      <c r="E20" s="133"/>
      <c r="F20" s="5595"/>
      <c r="G20" s="5596"/>
      <c r="H20" s="133"/>
    </row>
    <row r="21" spans="1:8" ht="13.5">
      <c r="A21" s="124">
        <v>308</v>
      </c>
      <c r="B21" s="1461" t="s">
        <v>157</v>
      </c>
      <c r="C21" s="154"/>
      <c r="D21" s="155"/>
      <c r="E21" s="133"/>
      <c r="F21" s="5595"/>
      <c r="G21" s="5596"/>
      <c r="H21" s="133"/>
    </row>
    <row r="22" spans="1:8" ht="14.25" customHeight="1">
      <c r="A22" s="124">
        <v>309</v>
      </c>
      <c r="B22" s="1460" t="s">
        <v>158</v>
      </c>
      <c r="C22" s="154"/>
      <c r="D22" s="155"/>
      <c r="E22" s="133"/>
      <c r="F22" s="5595"/>
      <c r="G22" s="5596"/>
      <c r="H22" s="172"/>
    </row>
    <row r="23" spans="1:8" ht="13.5">
      <c r="A23" s="124">
        <v>310</v>
      </c>
      <c r="B23" s="1461" t="s">
        <v>773</v>
      </c>
      <c r="C23" s="154"/>
      <c r="D23" s="155"/>
      <c r="E23" s="133"/>
      <c r="F23" s="5595"/>
      <c r="G23" s="5596"/>
      <c r="H23" s="133"/>
    </row>
    <row r="24" spans="1:8" ht="13.5">
      <c r="A24" s="124">
        <v>311</v>
      </c>
      <c r="B24" s="1461" t="s">
        <v>159</v>
      </c>
      <c r="C24" s="154"/>
      <c r="D24" s="155"/>
      <c r="E24" s="133"/>
      <c r="F24" s="5595"/>
      <c r="G24" s="5596"/>
      <c r="H24" s="133"/>
    </row>
    <row r="25" spans="1:8" ht="13.5">
      <c r="A25" s="124">
        <v>312</v>
      </c>
      <c r="B25" s="1461" t="s">
        <v>774</v>
      </c>
      <c r="C25" s="154"/>
      <c r="D25" s="155"/>
      <c r="E25" s="133"/>
      <c r="F25" s="5595"/>
      <c r="G25" s="5596"/>
      <c r="H25" s="133"/>
    </row>
    <row r="26" spans="1:8" ht="13.5">
      <c r="A26" s="124">
        <v>313</v>
      </c>
      <c r="B26" s="1130" t="s">
        <v>775</v>
      </c>
      <c r="C26" s="154"/>
      <c r="D26" s="155"/>
      <c r="E26" s="133"/>
      <c r="F26" s="5595"/>
      <c r="G26" s="5596"/>
      <c r="H26" s="133"/>
    </row>
    <row r="27" spans="1:8" ht="39" thickBot="1">
      <c r="A27" s="124">
        <v>314</v>
      </c>
      <c r="B27" s="1131" t="s">
        <v>776</v>
      </c>
      <c r="C27" s="154"/>
      <c r="D27" s="155"/>
      <c r="E27" s="133"/>
      <c r="F27" s="5595"/>
      <c r="G27" s="5596"/>
      <c r="H27" s="133"/>
    </row>
    <row r="28" spans="1:8" ht="16.5" thickBot="1">
      <c r="A28" s="157" t="s">
        <v>768</v>
      </c>
      <c r="B28" s="2913" t="s">
        <v>31</v>
      </c>
      <c r="C28" s="3632"/>
      <c r="D28" s="3633"/>
      <c r="E28" s="3629"/>
      <c r="F28" s="5597"/>
      <c r="G28" s="5598"/>
      <c r="H28" s="158"/>
    </row>
    <row r="29" spans="1:8" ht="14.25">
      <c r="A29" s="179"/>
      <c r="B29" s="5538" t="s">
        <v>160</v>
      </c>
      <c r="C29" s="5539"/>
      <c r="D29" s="5539"/>
      <c r="E29" s="5539"/>
      <c r="F29" s="5539"/>
      <c r="G29" s="5539"/>
      <c r="H29" s="5586"/>
    </row>
    <row r="30" spans="1:8" ht="13.5">
      <c r="A30" s="124">
        <v>321</v>
      </c>
      <c r="B30" s="1127" t="s">
        <v>161</v>
      </c>
      <c r="C30" s="143"/>
      <c r="D30" s="144"/>
      <c r="E30" s="133"/>
      <c r="F30" s="5595"/>
      <c r="G30" s="5596"/>
      <c r="H30" s="133"/>
    </row>
    <row r="31" spans="1:8" ht="13.5">
      <c r="A31" s="124">
        <v>322</v>
      </c>
      <c r="B31" s="1127" t="s">
        <v>777</v>
      </c>
      <c r="C31" s="143"/>
      <c r="D31" s="144"/>
      <c r="E31" s="133"/>
      <c r="F31" s="5595"/>
      <c r="G31" s="5596"/>
      <c r="H31" s="133"/>
    </row>
    <row r="32" spans="1:8" ht="13.5">
      <c r="A32" s="124">
        <v>323</v>
      </c>
      <c r="B32" s="1127" t="s">
        <v>778</v>
      </c>
      <c r="C32" s="143"/>
      <c r="D32" s="144"/>
      <c r="E32" s="133"/>
      <c r="F32" s="5595"/>
      <c r="G32" s="5596"/>
      <c r="H32" s="133"/>
    </row>
    <row r="33" spans="1:8" ht="13.5">
      <c r="A33" s="124">
        <v>324</v>
      </c>
      <c r="B33" s="1127" t="s">
        <v>779</v>
      </c>
      <c r="C33" s="143"/>
      <c r="D33" s="144"/>
      <c r="E33" s="133"/>
      <c r="F33" s="5595"/>
      <c r="G33" s="5596"/>
      <c r="H33" s="133"/>
    </row>
    <row r="34" spans="1:8" ht="13.5">
      <c r="A34" s="124">
        <v>325</v>
      </c>
      <c r="B34" s="1127" t="s">
        <v>162</v>
      </c>
      <c r="C34" s="143"/>
      <c r="D34" s="144"/>
      <c r="E34" s="133"/>
      <c r="F34" s="5595"/>
      <c r="G34" s="5596"/>
      <c r="H34" s="133"/>
    </row>
    <row r="35" spans="1:8" ht="13.5">
      <c r="A35" s="124">
        <v>326</v>
      </c>
      <c r="B35" s="1127" t="s">
        <v>1639</v>
      </c>
      <c r="C35" s="143"/>
      <c r="D35" s="144"/>
      <c r="E35" s="133"/>
      <c r="F35" s="5595"/>
      <c r="G35" s="5596"/>
      <c r="H35" s="133"/>
    </row>
    <row r="36" spans="1:8" ht="16.5" customHeight="1">
      <c r="A36" s="124">
        <v>327</v>
      </c>
      <c r="B36" s="1132" t="s">
        <v>163</v>
      </c>
      <c r="C36" s="143"/>
      <c r="D36" s="144"/>
      <c r="E36" s="133"/>
      <c r="F36" s="5595"/>
      <c r="G36" s="5596"/>
      <c r="H36" s="133"/>
    </row>
    <row r="37" spans="1:8" ht="14.25" thickBot="1">
      <c r="A37" s="124">
        <v>328</v>
      </c>
      <c r="B37" s="1133" t="s">
        <v>164</v>
      </c>
      <c r="C37" s="143"/>
      <c r="D37" s="144"/>
      <c r="E37" s="133"/>
      <c r="F37" s="5595"/>
      <c r="G37" s="5596"/>
      <c r="H37" s="133"/>
    </row>
    <row r="38" spans="1:8" ht="16.5" thickBot="1">
      <c r="A38" s="157" t="s">
        <v>769</v>
      </c>
      <c r="B38" s="2913" t="s">
        <v>31</v>
      </c>
      <c r="C38" s="3632"/>
      <c r="D38" s="3633"/>
      <c r="E38" s="3629"/>
      <c r="F38" s="5597"/>
      <c r="G38" s="5599"/>
      <c r="H38" s="159"/>
    </row>
    <row r="39" spans="1:8" ht="14.25">
      <c r="A39" s="179"/>
      <c r="B39" s="5538" t="s">
        <v>165</v>
      </c>
      <c r="C39" s="5539"/>
      <c r="D39" s="5539"/>
      <c r="E39" s="5539"/>
      <c r="F39" s="5539"/>
      <c r="G39" s="5539"/>
      <c r="H39" s="5586"/>
    </row>
    <row r="40" spans="1:8" ht="13.5">
      <c r="A40" s="124">
        <v>331</v>
      </c>
      <c r="B40" s="1127" t="s">
        <v>583</v>
      </c>
      <c r="C40" s="143"/>
      <c r="D40" s="144"/>
      <c r="E40" s="133"/>
      <c r="F40" s="5595"/>
      <c r="G40" s="5596"/>
      <c r="H40" s="133"/>
    </row>
    <row r="41" spans="1:8" ht="25.5">
      <c r="A41" s="124">
        <v>332</v>
      </c>
      <c r="B41" s="1132" t="s">
        <v>166</v>
      </c>
      <c r="C41" s="143"/>
      <c r="D41" s="144"/>
      <c r="E41" s="133"/>
      <c r="F41" s="5595"/>
      <c r="G41" s="5596"/>
      <c r="H41" s="133"/>
    </row>
    <row r="42" spans="1:8" ht="25.5">
      <c r="A42" s="124">
        <v>333</v>
      </c>
      <c r="B42" s="1132" t="s">
        <v>167</v>
      </c>
      <c r="C42" s="143"/>
      <c r="D42" s="144"/>
      <c r="E42" s="133"/>
      <c r="F42" s="5595"/>
      <c r="G42" s="5596"/>
      <c r="H42" s="133"/>
    </row>
    <row r="43" spans="1:8" ht="13.5">
      <c r="A43" s="124">
        <v>334</v>
      </c>
      <c r="B43" s="1127" t="s">
        <v>780</v>
      </c>
      <c r="C43" s="143"/>
      <c r="D43" s="144"/>
      <c r="E43" s="133"/>
      <c r="F43" s="5595"/>
      <c r="G43" s="5596"/>
      <c r="H43" s="133"/>
    </row>
    <row r="44" spans="1:8" ht="25.5">
      <c r="A44" s="124">
        <v>335</v>
      </c>
      <c r="B44" s="1132" t="s">
        <v>168</v>
      </c>
      <c r="C44" s="143"/>
      <c r="D44" s="144"/>
      <c r="E44" s="133"/>
      <c r="F44" s="5595"/>
      <c r="G44" s="5596"/>
      <c r="H44" s="133"/>
    </row>
    <row r="45" spans="1:8" ht="26.25" thickBot="1">
      <c r="A45" s="124">
        <v>336</v>
      </c>
      <c r="B45" s="1132" t="s">
        <v>529</v>
      </c>
      <c r="C45" s="143"/>
      <c r="D45" s="144"/>
      <c r="E45" s="133"/>
      <c r="F45" s="5595"/>
      <c r="G45" s="5596"/>
      <c r="H45" s="133"/>
    </row>
    <row r="46" spans="1:8" ht="17.25" customHeight="1" thickBot="1">
      <c r="A46" s="157">
        <v>339</v>
      </c>
      <c r="B46" s="2913" t="s">
        <v>31</v>
      </c>
      <c r="C46" s="3632"/>
      <c r="D46" s="3633"/>
      <c r="E46" s="3629"/>
      <c r="F46" s="5597"/>
      <c r="G46" s="5599"/>
      <c r="H46" s="159"/>
    </row>
    <row r="47" spans="1:8" ht="9.9499999999999993" customHeight="1">
      <c r="A47" s="145"/>
      <c r="B47" s="146"/>
      <c r="C47" s="146"/>
      <c r="D47" s="146"/>
      <c r="E47" s="147"/>
      <c r="F47" s="147"/>
      <c r="G47" s="147"/>
      <c r="H47" s="130"/>
    </row>
    <row r="48" spans="1:8" ht="24.95" customHeight="1">
      <c r="A48" s="121"/>
      <c r="B48" s="121"/>
      <c r="C48" s="121"/>
      <c r="D48" s="121"/>
      <c r="E48" s="121"/>
      <c r="F48" s="121"/>
      <c r="G48" s="121"/>
      <c r="H48" s="121"/>
    </row>
    <row r="49" spans="1:8" ht="24.95" customHeight="1">
      <c r="A49" s="121"/>
      <c r="B49" s="121"/>
      <c r="C49" s="121"/>
      <c r="D49" s="121"/>
      <c r="E49" s="121"/>
      <c r="F49" s="121"/>
      <c r="G49" s="121"/>
      <c r="H49" s="121"/>
    </row>
  </sheetData>
  <customSheetViews>
    <customSheetView guid="{BDF1A126-BD1D-4A5E-80B8-98941684E462}" showPageBreaks="1" showGridLines="0" printArea="1" topLeftCell="A22">
      <selection activeCell="B5" sqref="B5:H23"/>
      <pageMargins left="0.56999999999999995" right="0.15" top="0" bottom="0" header="0" footer="0"/>
      <printOptions horizontalCentered="1" verticalCentered="1"/>
      <pageSetup paperSize="9" orientation="portrait" r:id="rId1"/>
      <headerFooter alignWithMargins="0"/>
    </customSheetView>
    <customSheetView guid="{04F0793E-5444-463D-A1D5-E52E08A4C249}" showPageBreaks="1" showGridLines="0" printArea="1" topLeftCell="A22">
      <selection activeCell="K13" sqref="K13"/>
      <pageMargins left="0" right="0" top="0" bottom="0" header="0" footer="0"/>
      <printOptions horizontalCentered="1" verticalCentered="1"/>
      <pageSetup paperSize="9" orientation="portrait" horizontalDpi="300" verticalDpi="300" r:id="rId2"/>
      <headerFooter alignWithMargins="0"/>
    </customSheetView>
    <customSheetView guid="{925F74B5-C2F5-4E55-AFE4-045C56169B44}" showPageBreaks="1" showGridLines="0" printArea="1" topLeftCell="A22">
      <selection activeCell="K13" sqref="K13"/>
      <pageMargins left="0" right="0" top="0" bottom="0" header="0" footer="0"/>
      <printOptions horizontalCentered="1" verticalCentered="1"/>
      <pageSetup paperSize="9" orientation="portrait" horizontalDpi="300" verticalDpi="300" r:id="rId3"/>
      <headerFooter alignWithMargins="0"/>
    </customSheetView>
    <customSheetView guid="{1FF58891-F32F-4F97-9812-E2D02F4497AA}" showGridLines="0" topLeftCell="A22">
      <selection activeCell="B5" sqref="B5:H23"/>
      <pageMargins left="0.56999999999999995" right="0.15" top="0" bottom="0" header="0" footer="0"/>
      <printOptions horizontalCentered="1" verticalCentered="1"/>
      <pageSetup paperSize="9" orientation="portrait" r:id="rId4"/>
      <headerFooter alignWithMargins="0"/>
    </customSheetView>
    <customSheetView guid="{2A6091F0-BAF4-46A2-BC20-0DE610E67601}" showPageBreaks="1" showGridLines="0" printArea="1" topLeftCell="A22">
      <selection activeCell="B5" sqref="B5:H23"/>
      <pageMargins left="0.56999999999999995" right="0.15" top="0" bottom="0" header="0" footer="0"/>
      <printOptions horizontalCentered="1" verticalCentered="1"/>
      <pageSetup paperSize="9" orientation="portrait" r:id="rId5"/>
      <headerFooter alignWithMargins="0"/>
    </customSheetView>
    <customSheetView guid="{5111FDC7-EEAC-46C3-8033-47A3563F0C00}" showPageBreaks="1" showGridLines="0" printArea="1">
      <selection activeCell="K10" sqref="K10"/>
      <pageMargins left="0.56999999999999995" right="0.15" top="0" bottom="0" header="0" footer="0"/>
      <printOptions horizontalCentered="1" verticalCentered="1"/>
      <pageSetup paperSize="9" orientation="portrait" r:id="rId6"/>
      <headerFooter alignWithMargins="0"/>
    </customSheetView>
    <customSheetView guid="{2A5E79E4-584C-4F65-A220-87928CEA02AF}" showPageBreaks="1" showGridLines="0" printArea="1">
      <selection activeCell="K10" sqref="K10"/>
      <pageMargins left="0.56999999999999995" right="0.15" top="0" bottom="0" header="0" footer="0"/>
      <printOptions horizontalCentered="1" verticalCentered="1"/>
      <pageSetup paperSize="9" orientation="portrait" r:id="rId7"/>
      <headerFooter alignWithMargins="0"/>
    </customSheetView>
    <customSheetView guid="{66872EF1-41BD-4D4B-B603-B8B0D03DAD22}" showPageBreaks="1" showGridLines="0" printArea="1">
      <selection activeCell="K10" sqref="K10"/>
      <pageMargins left="0.56999999999999995" right="0.15" top="0" bottom="0" header="0" footer="0"/>
      <printOptions horizontalCentered="1" verticalCentered="1"/>
      <pageSetup paperSize="9" orientation="portrait" r:id="rId8"/>
      <headerFooter alignWithMargins="0"/>
    </customSheetView>
    <customSheetView guid="{ACE56013-11B3-4BF4-BD0B-BF59142DAC13}" showPageBreaks="1" showGridLines="0" printArea="1">
      <selection activeCell="E11" sqref="E11"/>
      <pageMargins left="0.56999999999999995" right="0.15" top="0" bottom="0" header="0" footer="0"/>
      <printOptions horizontalCentered="1" verticalCentered="1"/>
      <pageSetup paperSize="9" orientation="portrait" r:id="rId9"/>
      <headerFooter alignWithMargins="0"/>
    </customSheetView>
  </customSheetViews>
  <mergeCells count="46">
    <mergeCell ref="F45:G45"/>
    <mergeCell ref="F46:G46"/>
    <mergeCell ref="F40:G40"/>
    <mergeCell ref="F41:G41"/>
    <mergeCell ref="F42:G42"/>
    <mergeCell ref="F43:G43"/>
    <mergeCell ref="F44:G44"/>
    <mergeCell ref="F38:G38"/>
    <mergeCell ref="F30:G30"/>
    <mergeCell ref="F31:G31"/>
    <mergeCell ref="F32:G32"/>
    <mergeCell ref="F33:G33"/>
    <mergeCell ref="F34:G34"/>
    <mergeCell ref="F35:G35"/>
    <mergeCell ref="F36:G36"/>
    <mergeCell ref="F37:G37"/>
    <mergeCell ref="F24:G24"/>
    <mergeCell ref="F25:G25"/>
    <mergeCell ref="F26:G26"/>
    <mergeCell ref="F27:G27"/>
    <mergeCell ref="F28:G28"/>
    <mergeCell ref="B13:H13"/>
    <mergeCell ref="B29:H29"/>
    <mergeCell ref="B39:H39"/>
    <mergeCell ref="B6:B10"/>
    <mergeCell ref="C6:D8"/>
    <mergeCell ref="F12:G12"/>
    <mergeCell ref="F14:G14"/>
    <mergeCell ref="F15:G15"/>
    <mergeCell ref="F16:G16"/>
    <mergeCell ref="F17:G17"/>
    <mergeCell ref="F18:G18"/>
    <mergeCell ref="F19:G19"/>
    <mergeCell ref="F20:G20"/>
    <mergeCell ref="F21:G21"/>
    <mergeCell ref="F22:G22"/>
    <mergeCell ref="F23:G23"/>
    <mergeCell ref="A1:H1"/>
    <mergeCell ref="A3:B3"/>
    <mergeCell ref="H7:H11"/>
    <mergeCell ref="C5:D5"/>
    <mergeCell ref="E7:E9"/>
    <mergeCell ref="F6:H6"/>
    <mergeCell ref="F7:G8"/>
    <mergeCell ref="F5:G5"/>
    <mergeCell ref="F11:G11"/>
  </mergeCells>
  <printOptions horizontalCentered="1" verticalCentered="1"/>
  <pageMargins left="0.56999999999999995" right="0.15" top="0" bottom="0" header="0" footer="0"/>
  <pageSetup paperSize="9" orientation="portrait" r:id="rId10"/>
  <headerFooter alignWithMargins="0"/>
  <drawing r:id="rId11"/>
  <legacyDrawing r:id="rId1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58"/>
  <sheetViews>
    <sheetView showGridLines="0" view="pageBreakPreview" zoomScaleNormal="100" zoomScaleSheetLayoutView="100" workbookViewId="0">
      <selection sqref="A1:C1"/>
    </sheetView>
  </sheetViews>
  <sheetFormatPr defaultColWidth="8.85546875" defaultRowHeight="12.75"/>
  <cols>
    <col min="1" max="1" width="6" style="122" customWidth="1"/>
    <col min="2" max="2" width="32.140625" style="122" customWidth="1"/>
    <col min="3" max="3" width="20" style="122" customWidth="1"/>
    <col min="4" max="4" width="19" style="122" customWidth="1"/>
    <col min="5" max="5" width="8" style="123" customWidth="1"/>
    <col min="6" max="16384" width="8.85546875" style="123"/>
  </cols>
  <sheetData>
    <row r="1" spans="1:7" s="140" customFormat="1" ht="20.25" customHeight="1">
      <c r="A1" s="5566" t="s">
        <v>1403</v>
      </c>
      <c r="B1" s="5566"/>
      <c r="C1" s="5566"/>
      <c r="D1" s="510"/>
      <c r="E1" s="507"/>
    </row>
    <row r="2" spans="1:7" s="109" customFormat="1" ht="7.15" customHeight="1" thickBot="1">
      <c r="A2" s="111"/>
      <c r="B2" s="112"/>
      <c r="C2" s="112"/>
      <c r="D2" s="112"/>
      <c r="E2" s="113"/>
      <c r="F2" s="113"/>
    </row>
    <row r="3" spans="1:7" s="93" customFormat="1" ht="11.25" customHeight="1">
      <c r="A3" s="5623">
        <v>15.01</v>
      </c>
      <c r="B3" s="5608" t="s">
        <v>1679</v>
      </c>
      <c r="C3" s="5608"/>
      <c r="D3" s="557" t="s">
        <v>1796</v>
      </c>
      <c r="E3" s="3532"/>
      <c r="F3" s="92"/>
    </row>
    <row r="4" spans="1:7" s="93" customFormat="1" ht="11.25" customHeight="1">
      <c r="A4" s="5623"/>
      <c r="B4" s="5608"/>
      <c r="C4" s="5608"/>
      <c r="D4" s="557" t="s">
        <v>1797</v>
      </c>
      <c r="E4" s="3533"/>
      <c r="F4" s="92"/>
    </row>
    <row r="5" spans="1:7" s="93" customFormat="1" ht="11.25" customHeight="1" thickBot="1">
      <c r="A5" s="5623"/>
      <c r="B5" s="5608"/>
      <c r="C5" s="5608"/>
      <c r="D5" s="557" t="s">
        <v>1795</v>
      </c>
      <c r="E5" s="3534"/>
      <c r="F5" s="92"/>
    </row>
    <row r="6" spans="1:7" s="93" customFormat="1" ht="3" customHeight="1">
      <c r="A6" s="5623"/>
      <c r="B6" s="5608"/>
      <c r="C6" s="5608"/>
      <c r="D6" s="557"/>
      <c r="E6" s="3414"/>
      <c r="F6" s="92"/>
    </row>
    <row r="7" spans="1:7" s="93" customFormat="1" ht="2.25" hidden="1" customHeight="1">
      <c r="A7" s="5623"/>
      <c r="B7" s="5608"/>
      <c r="C7" s="5608"/>
      <c r="D7" s="563"/>
      <c r="E7" s="3413"/>
      <c r="F7" s="91"/>
    </row>
    <row r="8" spans="1:7" s="93" customFormat="1" ht="7.5" hidden="1" customHeight="1">
      <c r="A8" s="797"/>
      <c r="B8" s="632"/>
      <c r="C8" s="632"/>
      <c r="D8" s="3351"/>
      <c r="E8" s="91"/>
      <c r="F8" s="92"/>
    </row>
    <row r="9" spans="1:7" s="93" customFormat="1" ht="13.5" customHeight="1">
      <c r="A9" s="5624">
        <v>15.02</v>
      </c>
      <c r="B9" s="5610" t="s">
        <v>1588</v>
      </c>
      <c r="C9" s="5611"/>
      <c r="D9" s="3352" t="s">
        <v>496</v>
      </c>
      <c r="E9" s="92"/>
      <c r="F9" s="92"/>
      <c r="G9" s="563"/>
    </row>
    <row r="10" spans="1:7" s="93" customFormat="1" ht="13.5" customHeight="1">
      <c r="A10" s="5625"/>
      <c r="B10" s="5612"/>
      <c r="C10" s="5613"/>
      <c r="D10" s="565"/>
      <c r="E10" s="3412"/>
      <c r="F10" s="92"/>
    </row>
    <row r="11" spans="1:7" s="93" customFormat="1" ht="13.5" customHeight="1">
      <c r="A11" s="5624">
        <v>15.03</v>
      </c>
      <c r="B11" s="5614" t="s">
        <v>1903</v>
      </c>
      <c r="C11" s="5615"/>
      <c r="D11" s="3352" t="s">
        <v>496</v>
      </c>
      <c r="E11" s="3412"/>
      <c r="F11" s="92"/>
    </row>
    <row r="12" spans="1:7" s="93" customFormat="1" ht="13.5" customHeight="1">
      <c r="A12" s="5625"/>
      <c r="B12" s="5612"/>
      <c r="C12" s="5613"/>
      <c r="D12" s="3650"/>
      <c r="E12" s="3412"/>
      <c r="F12" s="92"/>
    </row>
    <row r="13" spans="1:7" s="93" customFormat="1" ht="13.5" customHeight="1">
      <c r="A13" s="5624"/>
      <c r="B13" s="5634" t="s">
        <v>1902</v>
      </c>
      <c r="C13" s="5635"/>
      <c r="D13" s="3352"/>
      <c r="E13" s="92"/>
      <c r="F13" s="92"/>
    </row>
    <row r="14" spans="1:7" s="93" customFormat="1" ht="13.5" customHeight="1">
      <c r="A14" s="5625"/>
      <c r="B14" s="5636"/>
      <c r="C14" s="5637"/>
      <c r="D14" s="565"/>
      <c r="E14" s="92"/>
      <c r="F14" s="92"/>
    </row>
    <row r="15" spans="1:7" s="93" customFormat="1" ht="8.25" customHeight="1">
      <c r="A15" s="630"/>
      <c r="B15" s="630"/>
      <c r="C15" s="630"/>
      <c r="D15" s="631"/>
      <c r="E15" s="92"/>
      <c r="F15" s="92"/>
    </row>
    <row r="16" spans="1:7" s="93" customFormat="1" ht="9.75" customHeight="1">
      <c r="A16" s="5609" t="s">
        <v>539</v>
      </c>
      <c r="B16" s="5609"/>
      <c r="C16" s="5609"/>
      <c r="D16" s="5609"/>
      <c r="E16" s="5609"/>
      <c r="F16" s="92"/>
    </row>
    <row r="17" spans="1:7" s="93" customFormat="1" ht="3.75" customHeight="1">
      <c r="A17" s="558"/>
      <c r="B17" s="558"/>
      <c r="C17" s="558"/>
      <c r="D17" s="558"/>
      <c r="E17" s="92"/>
      <c r="F17" s="92"/>
    </row>
    <row r="18" spans="1:7" s="93" customFormat="1" ht="3.75" customHeight="1" thickBot="1">
      <c r="A18" s="558"/>
      <c r="B18" s="558"/>
      <c r="C18" s="558"/>
      <c r="D18" s="558"/>
      <c r="E18" s="92"/>
      <c r="F18" s="92"/>
    </row>
    <row r="19" spans="1:7" s="93" customFormat="1" ht="12" customHeight="1" thickBot="1">
      <c r="A19" s="794">
        <v>15.04</v>
      </c>
      <c r="B19" s="795">
        <v>15.05</v>
      </c>
      <c r="C19" s="796">
        <v>15.06</v>
      </c>
      <c r="D19" s="796">
        <v>15.07</v>
      </c>
      <c r="E19" s="92"/>
      <c r="F19" s="92"/>
    </row>
    <row r="20" spans="1:7" s="93" customFormat="1" ht="15.75" customHeight="1">
      <c r="A20" s="559"/>
      <c r="B20" s="5616" t="s">
        <v>1683</v>
      </c>
      <c r="C20" s="5628" t="s">
        <v>1680</v>
      </c>
      <c r="D20" s="5629"/>
      <c r="E20" s="92"/>
      <c r="F20" s="92"/>
    </row>
    <row r="21" spans="1:7" s="93" customFormat="1" ht="25.5" customHeight="1">
      <c r="A21" s="560"/>
      <c r="B21" s="5617"/>
      <c r="C21" s="5630"/>
      <c r="D21" s="5631"/>
      <c r="E21" s="92"/>
      <c r="F21" s="92"/>
    </row>
    <row r="22" spans="1:7" s="93" customFormat="1" ht="2.25" customHeight="1">
      <c r="A22" s="560"/>
      <c r="B22" s="5617"/>
      <c r="C22" s="5630"/>
      <c r="D22" s="5631"/>
      <c r="E22" s="92"/>
      <c r="F22" s="92"/>
    </row>
    <row r="23" spans="1:7" s="93" customFormat="1" ht="12" customHeight="1">
      <c r="A23" s="560" t="s">
        <v>71</v>
      </c>
      <c r="B23" s="5617"/>
      <c r="C23" s="5632" t="s">
        <v>91</v>
      </c>
      <c r="D23" s="5633"/>
      <c r="E23" s="92"/>
      <c r="F23" s="92"/>
    </row>
    <row r="24" spans="1:7" s="93" customFormat="1" ht="12" customHeight="1" thickBot="1">
      <c r="A24" s="561"/>
      <c r="B24" s="5618"/>
      <c r="C24" s="148" t="s">
        <v>219</v>
      </c>
      <c r="D24" s="148" t="s">
        <v>219</v>
      </c>
      <c r="E24" s="92"/>
      <c r="F24" s="92"/>
    </row>
    <row r="25" spans="1:7" s="93" customFormat="1" ht="12" customHeight="1">
      <c r="A25" s="633"/>
      <c r="B25" s="626"/>
      <c r="C25" s="566" t="s">
        <v>530</v>
      </c>
      <c r="D25" s="566" t="s">
        <v>531</v>
      </c>
      <c r="E25" s="92"/>
      <c r="F25" s="92"/>
    </row>
    <row r="26" spans="1:7" s="93" customFormat="1" ht="22.5" customHeight="1">
      <c r="A26" s="635">
        <v>401</v>
      </c>
      <c r="B26" s="3487" t="s">
        <v>616</v>
      </c>
      <c r="C26" s="564"/>
      <c r="D26" s="640"/>
      <c r="E26" s="92"/>
      <c r="F26" s="92"/>
    </row>
    <row r="27" spans="1:7" s="93" customFormat="1" ht="26.25" customHeight="1">
      <c r="A27" s="635">
        <v>402</v>
      </c>
      <c r="B27" s="3461" t="s">
        <v>1619</v>
      </c>
      <c r="C27" s="625"/>
      <c r="D27" s="627"/>
      <c r="E27" s="92"/>
      <c r="F27" s="92"/>
    </row>
    <row r="28" spans="1:7" s="93" customFormat="1" ht="12.75" customHeight="1">
      <c r="A28" s="635">
        <v>403</v>
      </c>
      <c r="B28" s="3461" t="s">
        <v>532</v>
      </c>
      <c r="C28" s="625"/>
      <c r="D28" s="627"/>
      <c r="E28" s="92"/>
      <c r="F28" s="92"/>
    </row>
    <row r="29" spans="1:7" s="93" customFormat="1" ht="27.75" customHeight="1">
      <c r="A29" s="635">
        <v>404</v>
      </c>
      <c r="B29" s="3461" t="s">
        <v>1443</v>
      </c>
      <c r="C29" s="625"/>
      <c r="D29" s="627"/>
      <c r="E29" s="92"/>
      <c r="F29" s="92"/>
    </row>
    <row r="30" spans="1:7" s="93" customFormat="1" ht="26.25" customHeight="1">
      <c r="A30" s="3302">
        <v>405</v>
      </c>
      <c r="B30" s="3464" t="s">
        <v>1617</v>
      </c>
      <c r="C30" s="643"/>
      <c r="D30" s="644"/>
      <c r="E30" s="92" t="s">
        <v>713</v>
      </c>
      <c r="F30" s="92"/>
      <c r="G30" s="563"/>
    </row>
    <row r="31" spans="1:7" s="93" customFormat="1" ht="26.25" customHeight="1">
      <c r="A31" s="124">
        <v>400</v>
      </c>
      <c r="B31" s="125" t="s">
        <v>1748</v>
      </c>
      <c r="C31" s="3294"/>
      <c r="D31" s="3294"/>
      <c r="E31" s="92"/>
      <c r="F31" s="3303"/>
    </row>
    <row r="32" spans="1:7" s="93" customFormat="1" ht="7.5" customHeight="1" thickBot="1">
      <c r="C32" s="645"/>
      <c r="D32" s="3301"/>
      <c r="E32" s="92"/>
      <c r="F32" s="92"/>
    </row>
    <row r="33" spans="1:6" s="563" customFormat="1" ht="24.75" customHeight="1" thickBot="1">
      <c r="A33" s="2863" t="s">
        <v>1681</v>
      </c>
      <c r="B33" s="3467" t="s">
        <v>1820</v>
      </c>
      <c r="C33" s="5602" t="s">
        <v>219</v>
      </c>
      <c r="D33" s="5603"/>
      <c r="E33" s="91"/>
      <c r="F33" s="91"/>
    </row>
    <row r="34" spans="1:6" s="563" customFormat="1" ht="13.5" customHeight="1">
      <c r="A34" s="634">
        <v>406</v>
      </c>
      <c r="B34" s="3488" t="s">
        <v>1442</v>
      </c>
      <c r="C34" s="5604"/>
      <c r="D34" s="5605"/>
      <c r="E34" s="91"/>
      <c r="F34" s="91"/>
    </row>
    <row r="35" spans="1:6" s="93" customFormat="1" ht="11.25" customHeight="1">
      <c r="A35" s="635">
        <v>407</v>
      </c>
      <c r="B35" s="3489" t="s">
        <v>533</v>
      </c>
      <c r="C35" s="5606"/>
      <c r="D35" s="5607"/>
      <c r="E35" s="92"/>
      <c r="F35" s="92"/>
    </row>
    <row r="36" spans="1:6" s="93" customFormat="1" ht="25.5" customHeight="1">
      <c r="A36" s="635">
        <v>408</v>
      </c>
      <c r="B36" s="3462" t="s">
        <v>1444</v>
      </c>
      <c r="C36" s="5600"/>
      <c r="D36" s="5601"/>
      <c r="E36" s="92"/>
      <c r="F36" s="92"/>
    </row>
    <row r="37" spans="1:6" s="93" customFormat="1" ht="24.75" customHeight="1" thickBot="1">
      <c r="A37" s="3302">
        <v>409</v>
      </c>
      <c r="B37" s="3490" t="s">
        <v>534</v>
      </c>
      <c r="C37" s="571"/>
      <c r="D37" s="638"/>
      <c r="E37" s="92"/>
      <c r="F37" s="92"/>
    </row>
    <row r="38" spans="1:6" s="93" customFormat="1" ht="24.75" customHeight="1" thickBot="1">
      <c r="A38" s="3306">
        <v>410</v>
      </c>
      <c r="B38" s="3491" t="s">
        <v>535</v>
      </c>
      <c r="C38" s="3307"/>
      <c r="D38" s="639"/>
      <c r="E38" s="92"/>
      <c r="F38" s="92"/>
    </row>
    <row r="39" spans="1:6" s="93" customFormat="1" ht="28.5" customHeight="1" thickBot="1">
      <c r="A39" s="5609" t="s">
        <v>541</v>
      </c>
      <c r="B39" s="5609"/>
      <c r="C39" s="5609"/>
      <c r="D39" s="5609"/>
      <c r="E39" s="5609"/>
      <c r="F39" s="92"/>
    </row>
    <row r="40" spans="1:6" ht="13.5" thickBot="1">
      <c r="A40" s="794">
        <v>15.08</v>
      </c>
      <c r="B40" s="795">
        <v>15.09</v>
      </c>
      <c r="C40" s="1178">
        <v>15.1</v>
      </c>
      <c r="D40" s="796">
        <v>15.11</v>
      </c>
    </row>
    <row r="41" spans="1:6">
      <c r="A41" s="559"/>
      <c r="B41" s="5616" t="s">
        <v>1682</v>
      </c>
      <c r="C41" s="5619" t="s">
        <v>1684</v>
      </c>
      <c r="D41" s="5620"/>
    </row>
    <row r="42" spans="1:6">
      <c r="A42" s="560"/>
      <c r="B42" s="5617"/>
      <c r="C42" s="5621"/>
      <c r="D42" s="5622"/>
    </row>
    <row r="43" spans="1:6" ht="25.5" customHeight="1">
      <c r="A43" s="560"/>
      <c r="B43" s="5617"/>
      <c r="C43" s="5621"/>
      <c r="D43" s="5622"/>
    </row>
    <row r="44" spans="1:6">
      <c r="A44" s="560" t="s">
        <v>71</v>
      </c>
      <c r="B44" s="5617"/>
      <c r="C44" s="5626" t="s">
        <v>91</v>
      </c>
      <c r="D44" s="5627"/>
    </row>
    <row r="45" spans="1:6" ht="11.25" customHeight="1" thickBot="1">
      <c r="A45" s="561"/>
      <c r="B45" s="5618"/>
      <c r="C45" s="3635" t="s">
        <v>219</v>
      </c>
      <c r="D45" s="3635" t="s">
        <v>219</v>
      </c>
    </row>
    <row r="46" spans="1:6" ht="13.5" thickBot="1">
      <c r="A46" s="633"/>
      <c r="B46" s="626"/>
      <c r="C46" s="566" t="s">
        <v>530</v>
      </c>
      <c r="D46" s="566" t="s">
        <v>531</v>
      </c>
    </row>
    <row r="47" spans="1:6" ht="27.75" customHeight="1">
      <c r="A47" s="634">
        <v>411</v>
      </c>
      <c r="B47" s="3460" t="s">
        <v>616</v>
      </c>
      <c r="C47" s="567"/>
      <c r="D47" s="570"/>
    </row>
    <row r="48" spans="1:6" ht="25.5">
      <c r="A48" s="635">
        <v>412</v>
      </c>
      <c r="B48" s="3462" t="s">
        <v>1445</v>
      </c>
      <c r="C48" s="568"/>
      <c r="D48" s="150"/>
    </row>
    <row r="49" spans="1:6">
      <c r="A49" s="635">
        <v>413</v>
      </c>
      <c r="B49" s="3462" t="s">
        <v>532</v>
      </c>
      <c r="C49" s="569"/>
      <c r="D49" s="149"/>
    </row>
    <row r="50" spans="1:6" ht="25.5">
      <c r="A50" s="635">
        <v>414</v>
      </c>
      <c r="B50" s="3462" t="s">
        <v>1443</v>
      </c>
      <c r="C50" s="568"/>
      <c r="D50" s="150"/>
    </row>
    <row r="51" spans="1:6" ht="26.25" thickBot="1">
      <c r="A51" s="3302">
        <v>415</v>
      </c>
      <c r="B51" s="3492" t="s">
        <v>1617</v>
      </c>
      <c r="C51" s="3308"/>
      <c r="D51" s="3308"/>
    </row>
    <row r="52" spans="1:6" ht="5.25" customHeight="1" thickBot="1">
      <c r="A52" s="123"/>
      <c r="B52" s="2788"/>
      <c r="C52" s="646"/>
      <c r="D52" s="646"/>
    </row>
    <row r="53" spans="1:6" ht="30.75" customHeight="1" thickBot="1">
      <c r="A53" s="796" t="s">
        <v>1685</v>
      </c>
      <c r="B53" s="3467" t="s">
        <v>1821</v>
      </c>
      <c r="C53" s="5602" t="s">
        <v>219</v>
      </c>
      <c r="D53" s="5603"/>
    </row>
    <row r="54" spans="1:6" s="563" customFormat="1" ht="15" customHeight="1">
      <c r="A54" s="634">
        <v>416</v>
      </c>
      <c r="B54" s="3493" t="s">
        <v>1442</v>
      </c>
      <c r="C54" s="5604"/>
      <c r="D54" s="5605"/>
      <c r="E54" s="91"/>
      <c r="F54" s="91"/>
    </row>
    <row r="55" spans="1:6" s="93" customFormat="1" ht="15" customHeight="1">
      <c r="A55" s="635">
        <v>417</v>
      </c>
      <c r="B55" s="3489" t="s">
        <v>533</v>
      </c>
      <c r="C55" s="5606"/>
      <c r="D55" s="5607"/>
      <c r="E55" s="92"/>
      <c r="F55" s="92"/>
    </row>
    <row r="56" spans="1:6" s="93" customFormat="1" ht="25.5" customHeight="1">
      <c r="A56" s="635">
        <v>418</v>
      </c>
      <c r="B56" s="3462" t="s">
        <v>1618</v>
      </c>
      <c r="C56" s="5600"/>
      <c r="D56" s="5601"/>
      <c r="E56" s="92"/>
      <c r="F56" s="92"/>
    </row>
    <row r="57" spans="1:6" s="93" customFormat="1" ht="25.5" customHeight="1">
      <c r="A57" s="635">
        <v>419</v>
      </c>
      <c r="B57" s="3494" t="s">
        <v>534</v>
      </c>
      <c r="C57" s="571"/>
      <c r="D57" s="638"/>
      <c r="E57" s="92"/>
      <c r="F57" s="92"/>
    </row>
    <row r="58" spans="1:6" s="93" customFormat="1" ht="25.5" customHeight="1">
      <c r="A58" s="3302">
        <v>420</v>
      </c>
      <c r="B58" s="3495" t="s">
        <v>535</v>
      </c>
      <c r="C58" s="3304"/>
      <c r="D58" s="3305"/>
      <c r="E58" s="92"/>
      <c r="F58" s="92"/>
    </row>
  </sheetData>
  <customSheetViews>
    <customSheetView guid="{BDF1A126-BD1D-4A5E-80B8-98941684E462}" showPageBreaks="1" showGridLines="0" printArea="1" topLeftCell="A14">
      <selection activeCell="H24" sqref="H24"/>
      <pageMargins left="0.76" right="0" top="0" bottom="0" header="0" footer="0"/>
      <printOptions horizontalCentered="1" verticalCentered="1"/>
      <pageSetup paperSize="9" orientation="portrait" r:id="rId1"/>
      <headerFooter alignWithMargins="0"/>
    </customSheetView>
    <customSheetView guid="{04F0793E-5444-463D-A1D5-E52E08A4C249}" showPageBreaks="1" showGridLines="0" printArea="1" topLeftCell="A28">
      <selection activeCell="L18" sqref="L18"/>
      <pageMargins left="0" right="0" top="0" bottom="0" header="0" footer="0"/>
      <printOptions horizontalCentered="1" verticalCentered="1"/>
      <pageSetup paperSize="9" orientation="portrait" horizontalDpi="300" verticalDpi="300" r:id="rId2"/>
      <headerFooter alignWithMargins="0"/>
    </customSheetView>
    <customSheetView guid="{925F74B5-C2F5-4E55-AFE4-045C56169B44}" showPageBreaks="1" showGridLines="0" printArea="1" topLeftCell="A28">
      <selection activeCell="L18" sqref="L18"/>
      <pageMargins left="0" right="0" top="0" bottom="0" header="0" footer="0"/>
      <printOptions horizontalCentered="1" verticalCentered="1"/>
      <pageSetup paperSize="9" orientation="portrait" horizontalDpi="300" verticalDpi="300" r:id="rId3"/>
      <headerFooter alignWithMargins="0"/>
    </customSheetView>
    <customSheetView guid="{1FF58891-F32F-4F97-9812-E2D02F4497AA}" showGridLines="0" topLeftCell="A14">
      <selection activeCell="B5" sqref="A5:E23"/>
      <pageMargins left="0.76" right="0" top="0" bottom="0" header="0" footer="0"/>
      <printOptions horizontalCentered="1" verticalCentered="1"/>
      <pageSetup paperSize="9" orientation="portrait" r:id="rId4"/>
      <headerFooter alignWithMargins="0"/>
    </customSheetView>
    <customSheetView guid="{2A6091F0-BAF4-46A2-BC20-0DE610E67601}" showPageBreaks="1" showGridLines="0" printArea="1" topLeftCell="A14">
      <selection activeCell="H24" sqref="H24"/>
      <pageMargins left="0.76" right="0" top="0" bottom="0" header="0" footer="0"/>
      <printOptions horizontalCentered="1" verticalCentered="1"/>
      <pageSetup paperSize="9" orientation="portrait" r:id="rId5"/>
      <headerFooter alignWithMargins="0"/>
    </customSheetView>
    <customSheetView guid="{5111FDC7-EEAC-46C3-8033-47A3563F0C00}" showPageBreaks="1" showGridLines="0" printArea="1" topLeftCell="A31">
      <selection activeCell="F31" sqref="F31"/>
      <pageMargins left="0.76" right="0" top="0" bottom="0" header="0" footer="0"/>
      <printOptions horizontalCentered="1" verticalCentered="1"/>
      <pageSetup paperSize="9" orientation="portrait" r:id="rId6"/>
      <headerFooter alignWithMargins="0"/>
    </customSheetView>
    <customSheetView guid="{2A5E79E4-584C-4F65-A220-87928CEA02AF}" showPageBreaks="1" showGridLines="0" printArea="1" topLeftCell="A31">
      <selection activeCell="F31" sqref="F31"/>
      <pageMargins left="0.76" right="0" top="0" bottom="0" header="0" footer="0"/>
      <printOptions horizontalCentered="1" verticalCentered="1"/>
      <pageSetup paperSize="9" orientation="portrait" r:id="rId7"/>
      <headerFooter alignWithMargins="0"/>
    </customSheetView>
    <customSheetView guid="{66872EF1-41BD-4D4B-B603-B8B0D03DAD22}" showPageBreaks="1" showGridLines="0" printArea="1" topLeftCell="A45">
      <selection activeCell="H56" sqref="H56"/>
      <pageMargins left="0.76" right="0" top="0" bottom="0" header="0" footer="0"/>
      <printOptions horizontalCentered="1" verticalCentered="1"/>
      <pageSetup paperSize="9" orientation="portrait" r:id="rId8"/>
      <headerFooter alignWithMargins="0"/>
    </customSheetView>
    <customSheetView guid="{ACE56013-11B3-4BF4-BD0B-BF59142DAC13}" showPageBreaks="1" showGridLines="0" printArea="1" topLeftCell="A2">
      <selection activeCell="A28" sqref="A28"/>
      <pageMargins left="0.76" right="0" top="0" bottom="0" header="0" footer="0"/>
      <printOptions horizontalCentered="1" verticalCentered="1"/>
      <pageSetup paperSize="9" orientation="portrait" r:id="rId9"/>
      <headerFooter alignWithMargins="0"/>
    </customSheetView>
  </customSheetViews>
  <mergeCells count="25">
    <mergeCell ref="A9:A10"/>
    <mergeCell ref="A11:A12"/>
    <mergeCell ref="C44:D44"/>
    <mergeCell ref="C34:D34"/>
    <mergeCell ref="B20:B24"/>
    <mergeCell ref="C20:D22"/>
    <mergeCell ref="C23:D23"/>
    <mergeCell ref="A13:A14"/>
    <mergeCell ref="B13:C14"/>
    <mergeCell ref="C56:D56"/>
    <mergeCell ref="C53:D53"/>
    <mergeCell ref="C54:D54"/>
    <mergeCell ref="C55:D55"/>
    <mergeCell ref="A1:C1"/>
    <mergeCell ref="B3:C7"/>
    <mergeCell ref="A16:E16"/>
    <mergeCell ref="B9:C10"/>
    <mergeCell ref="B11:C12"/>
    <mergeCell ref="A39:E39"/>
    <mergeCell ref="C33:D33"/>
    <mergeCell ref="C35:D35"/>
    <mergeCell ref="C36:D36"/>
    <mergeCell ref="B41:B45"/>
    <mergeCell ref="C41:D43"/>
    <mergeCell ref="A3:A7"/>
  </mergeCells>
  <printOptions horizontalCentered="1" verticalCentered="1"/>
  <pageMargins left="0.76" right="0" top="0" bottom="0" header="0" footer="0"/>
  <pageSetup paperSize="9" scale="91" orientation="portrait" r:id="rId10"/>
  <headerFooter alignWithMargins="0"/>
  <drawing r:id="rId11"/>
  <legacyDrawing r:id="rId1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46"/>
  <sheetViews>
    <sheetView showGridLines="0" view="pageLayout" zoomScaleNormal="100" zoomScaleSheetLayoutView="100" workbookViewId="0">
      <selection sqref="A1:F1"/>
    </sheetView>
  </sheetViews>
  <sheetFormatPr defaultColWidth="8.85546875" defaultRowHeight="12.75"/>
  <cols>
    <col min="1" max="1" width="5.5703125" style="122" customWidth="1"/>
    <col min="2" max="2" width="43.5703125" style="122" customWidth="1"/>
    <col min="3" max="3" width="9" style="122" customWidth="1"/>
    <col min="4" max="4" width="4" style="122" customWidth="1"/>
    <col min="5" max="5" width="13.85546875" style="122" customWidth="1"/>
    <col min="6" max="6" width="14" style="123" customWidth="1"/>
    <col min="7" max="16384" width="8.85546875" style="123"/>
  </cols>
  <sheetData>
    <row r="1" spans="1:9" s="140" customFormat="1" ht="46.5" customHeight="1">
      <c r="A1" s="5638" t="s">
        <v>1404</v>
      </c>
      <c r="B1" s="5638"/>
      <c r="C1" s="5638"/>
      <c r="D1" s="5638"/>
      <c r="E1" s="5638"/>
      <c r="F1" s="5638"/>
    </row>
    <row r="2" spans="1:9" s="93" customFormat="1" ht="5.25" customHeight="1" thickBot="1">
      <c r="A2" s="509"/>
      <c r="B2" s="509"/>
      <c r="C2" s="91"/>
      <c r="D2" s="91"/>
      <c r="E2" s="92"/>
      <c r="F2" s="92"/>
      <c r="G2" s="92"/>
      <c r="H2" s="92"/>
      <c r="I2" s="92"/>
    </row>
    <row r="3" spans="1:9" s="142" customFormat="1" ht="12.75" customHeight="1" thickBot="1">
      <c r="A3" s="168">
        <v>16.010000000000002</v>
      </c>
      <c r="B3" s="168">
        <v>16.02</v>
      </c>
      <c r="C3" s="5572">
        <v>16.03</v>
      </c>
      <c r="D3" s="5573"/>
      <c r="E3" s="2848">
        <v>16.04</v>
      </c>
      <c r="F3" s="169">
        <f>+E3+0.01</f>
        <v>16.05</v>
      </c>
      <c r="G3" s="141"/>
      <c r="H3" s="141"/>
      <c r="I3" s="141"/>
    </row>
    <row r="4" spans="1:9" s="115" customFormat="1" ht="15" customHeight="1">
      <c r="A4" s="2098"/>
      <c r="B4" s="5646" t="s">
        <v>784</v>
      </c>
      <c r="C4" s="5648" t="s">
        <v>588</v>
      </c>
      <c r="D4" s="5649"/>
      <c r="E4" s="5654" t="s">
        <v>1336</v>
      </c>
      <c r="F4" s="5639" t="s">
        <v>781</v>
      </c>
      <c r="G4" s="92"/>
      <c r="H4" s="92"/>
      <c r="I4" s="92"/>
    </row>
    <row r="5" spans="1:9" s="115" customFormat="1" ht="31.5" customHeight="1">
      <c r="A5" s="164"/>
      <c r="B5" s="5647"/>
      <c r="C5" s="5650"/>
      <c r="D5" s="5651"/>
      <c r="E5" s="5655"/>
      <c r="F5" s="5640"/>
      <c r="G5" s="92"/>
      <c r="H5" s="92"/>
      <c r="I5" s="92"/>
    </row>
    <row r="6" spans="1:9" s="115" customFormat="1" ht="34.5" customHeight="1">
      <c r="A6" s="164" t="s">
        <v>71</v>
      </c>
      <c r="B6" s="5647"/>
      <c r="C6" s="5652"/>
      <c r="D6" s="5653"/>
      <c r="E6" s="5655"/>
      <c r="F6" s="5640"/>
      <c r="G6" s="92"/>
      <c r="H6" s="92"/>
      <c r="I6" s="92"/>
    </row>
    <row r="7" spans="1:9" s="115" customFormat="1" ht="12" customHeight="1">
      <c r="A7" s="164"/>
      <c r="B7" s="5647"/>
      <c r="C7" s="1162" t="s">
        <v>862</v>
      </c>
      <c r="D7" s="1163">
        <v>1</v>
      </c>
      <c r="E7" s="5655"/>
      <c r="F7" s="5640"/>
      <c r="G7" s="92"/>
      <c r="H7" s="92"/>
      <c r="I7" s="92"/>
    </row>
    <row r="8" spans="1:9" s="115" customFormat="1" ht="12" customHeight="1">
      <c r="A8" s="164"/>
      <c r="B8" s="5647"/>
      <c r="C8" s="1481" t="s">
        <v>863</v>
      </c>
      <c r="D8" s="1164">
        <v>2</v>
      </c>
      <c r="E8" s="5655"/>
      <c r="F8" s="1171"/>
      <c r="G8" s="92"/>
      <c r="H8" s="92"/>
      <c r="I8" s="92"/>
    </row>
    <row r="9" spans="1:9" s="115" customFormat="1" ht="13.5" customHeight="1">
      <c r="A9" s="164"/>
      <c r="B9" s="165"/>
      <c r="C9" s="1174" t="s">
        <v>72</v>
      </c>
      <c r="D9" s="1175"/>
      <c r="E9" s="5656"/>
      <c r="F9" s="1176"/>
      <c r="G9" s="92"/>
      <c r="H9" s="92"/>
      <c r="I9" s="92"/>
    </row>
    <row r="10" spans="1:9" s="120" customFormat="1" ht="14.25" customHeight="1" thickBot="1">
      <c r="A10" s="166"/>
      <c r="B10" s="167" t="s">
        <v>73</v>
      </c>
      <c r="C10" s="117"/>
      <c r="D10" s="118"/>
      <c r="E10" s="119" t="s">
        <v>496</v>
      </c>
      <c r="F10" s="119" t="s">
        <v>496</v>
      </c>
      <c r="G10" s="92"/>
      <c r="H10" s="92"/>
      <c r="I10" s="92"/>
    </row>
    <row r="11" spans="1:9" ht="16.5" customHeight="1">
      <c r="A11" s="179"/>
      <c r="B11" s="5641" t="s">
        <v>176</v>
      </c>
      <c r="C11" s="5642"/>
      <c r="D11" s="5642"/>
      <c r="E11" s="5642"/>
      <c r="F11" s="5642"/>
    </row>
    <row r="12" spans="1:9" ht="13.5">
      <c r="A12" s="124">
        <v>501</v>
      </c>
      <c r="B12" s="3496" t="s">
        <v>177</v>
      </c>
      <c r="C12" s="154"/>
      <c r="D12" s="155"/>
      <c r="E12" s="133"/>
      <c r="F12" s="133"/>
    </row>
    <row r="13" spans="1:9" ht="13.5">
      <c r="A13" s="124">
        <v>502</v>
      </c>
      <c r="B13" s="3497" t="s">
        <v>174</v>
      </c>
      <c r="C13" s="154"/>
      <c r="D13" s="155"/>
      <c r="E13" s="133"/>
      <c r="F13" s="133"/>
    </row>
    <row r="14" spans="1:9" ht="13.5">
      <c r="A14" s="124">
        <v>503</v>
      </c>
      <c r="B14" s="3497" t="s">
        <v>175</v>
      </c>
      <c r="C14" s="154"/>
      <c r="D14" s="155"/>
      <c r="E14" s="133"/>
      <c r="F14" s="133"/>
    </row>
    <row r="15" spans="1:9" ht="27">
      <c r="A15" s="124">
        <v>504</v>
      </c>
      <c r="B15" s="3496" t="s">
        <v>1847</v>
      </c>
      <c r="C15" s="154"/>
      <c r="D15" s="155"/>
      <c r="E15" s="133"/>
      <c r="F15" s="133"/>
    </row>
    <row r="16" spans="1:9" ht="13.5">
      <c r="A16" s="124">
        <v>505</v>
      </c>
      <c r="B16" s="3497" t="s">
        <v>1848</v>
      </c>
      <c r="C16" s="154"/>
      <c r="D16" s="155"/>
      <c r="E16" s="133"/>
      <c r="F16" s="3638"/>
    </row>
    <row r="17" spans="1:6" ht="13.5">
      <c r="A17" s="124">
        <v>506</v>
      </c>
      <c r="B17" s="3496" t="s">
        <v>1446</v>
      </c>
      <c r="C17" s="154"/>
      <c r="D17" s="155"/>
      <c r="E17" s="133"/>
      <c r="F17" s="3638"/>
    </row>
    <row r="18" spans="1:6" ht="13.5">
      <c r="A18" s="124">
        <v>507</v>
      </c>
      <c r="B18" s="3496" t="s">
        <v>782</v>
      </c>
      <c r="C18" s="154"/>
      <c r="D18" s="155"/>
      <c r="E18" s="133"/>
      <c r="F18" s="3638"/>
    </row>
    <row r="19" spans="1:6" ht="13.5">
      <c r="A19" s="124">
        <v>508</v>
      </c>
      <c r="B19" s="3497" t="s">
        <v>178</v>
      </c>
      <c r="C19" s="154"/>
      <c r="D19" s="155"/>
      <c r="E19" s="133"/>
      <c r="F19" s="3638"/>
    </row>
    <row r="20" spans="1:6" ht="13.5">
      <c r="A20" s="124">
        <v>509</v>
      </c>
      <c r="B20" s="3496" t="s">
        <v>617</v>
      </c>
      <c r="C20" s="154"/>
      <c r="D20" s="155"/>
      <c r="E20" s="133"/>
      <c r="F20" s="3638"/>
    </row>
    <row r="21" spans="1:6" ht="13.5">
      <c r="A21" s="124">
        <v>510</v>
      </c>
      <c r="B21" s="3498" t="s">
        <v>715</v>
      </c>
      <c r="C21" s="154"/>
      <c r="D21" s="155"/>
      <c r="E21" s="133"/>
      <c r="F21" s="3638"/>
    </row>
    <row r="22" spans="1:6" ht="27">
      <c r="A22" s="124">
        <v>511</v>
      </c>
      <c r="B22" s="3496" t="s">
        <v>605</v>
      </c>
      <c r="C22" s="154"/>
      <c r="D22" s="155"/>
      <c r="E22" s="133"/>
      <c r="F22" s="3638"/>
    </row>
    <row r="23" spans="1:6" ht="13.5">
      <c r="A23" s="124">
        <v>512</v>
      </c>
      <c r="B23" s="3497" t="s">
        <v>179</v>
      </c>
      <c r="C23" s="154"/>
      <c r="D23" s="155"/>
      <c r="E23" s="133"/>
      <c r="F23" s="3638"/>
    </row>
    <row r="24" spans="1:6" ht="12.75" customHeight="1">
      <c r="A24" s="124">
        <v>513</v>
      </c>
      <c r="B24" s="3496" t="s">
        <v>180</v>
      </c>
      <c r="C24" s="154"/>
      <c r="D24" s="155"/>
      <c r="E24" s="133"/>
      <c r="F24" s="3636"/>
    </row>
    <row r="25" spans="1:6" ht="27.75" thickBot="1">
      <c r="A25" s="124">
        <v>514</v>
      </c>
      <c r="B25" s="3496" t="s">
        <v>181</v>
      </c>
      <c r="C25" s="154"/>
      <c r="D25" s="155"/>
      <c r="E25" s="133"/>
      <c r="F25" s="3637"/>
    </row>
    <row r="26" spans="1:6" ht="16.5" customHeight="1" thickBot="1">
      <c r="A26" s="2870">
        <v>519</v>
      </c>
      <c r="B26" s="2867" t="s">
        <v>31</v>
      </c>
      <c r="C26" s="2868"/>
      <c r="D26" s="2869"/>
      <c r="E26" s="802"/>
      <c r="F26" s="800"/>
    </row>
    <row r="27" spans="1:6" ht="16.5" customHeight="1">
      <c r="A27" s="801"/>
      <c r="B27" s="5643" t="s">
        <v>620</v>
      </c>
      <c r="C27" s="5644"/>
      <c r="D27" s="5644"/>
      <c r="E27" s="5645"/>
    </row>
    <row r="28" spans="1:6" ht="13.5">
      <c r="A28" s="124">
        <v>521</v>
      </c>
      <c r="B28" s="3496" t="s">
        <v>618</v>
      </c>
      <c r="C28" s="154"/>
      <c r="D28" s="155"/>
      <c r="E28" s="133"/>
    </row>
    <row r="29" spans="1:6" ht="13.5">
      <c r="A29" s="124">
        <v>522</v>
      </c>
      <c r="B29" s="3496" t="s">
        <v>1447</v>
      </c>
      <c r="C29" s="154"/>
      <c r="D29" s="155"/>
      <c r="E29" s="133"/>
    </row>
    <row r="30" spans="1:6" ht="13.5">
      <c r="A30" s="124">
        <v>523</v>
      </c>
      <c r="B30" s="3496" t="s">
        <v>619</v>
      </c>
      <c r="C30" s="154"/>
      <c r="D30" s="155"/>
      <c r="E30" s="133"/>
    </row>
    <row r="31" spans="1:6" ht="13.5">
      <c r="A31" s="124">
        <v>524</v>
      </c>
      <c r="B31" s="3496" t="s">
        <v>783</v>
      </c>
      <c r="C31" s="154"/>
      <c r="D31" s="155"/>
      <c r="E31" s="133"/>
    </row>
    <row r="32" spans="1:6" ht="27">
      <c r="A32" s="124">
        <v>525</v>
      </c>
      <c r="B32" s="3496" t="s">
        <v>785</v>
      </c>
      <c r="C32" s="154"/>
      <c r="D32" s="155"/>
      <c r="E32" s="133"/>
    </row>
    <row r="33" spans="1:6" ht="13.5">
      <c r="A33" s="124">
        <v>526</v>
      </c>
      <c r="B33" s="3496" t="s">
        <v>1328</v>
      </c>
      <c r="C33" s="154"/>
      <c r="D33" s="155"/>
      <c r="E33" s="133"/>
    </row>
    <row r="34" spans="1:6" ht="13.5">
      <c r="A34" s="124">
        <v>527</v>
      </c>
      <c r="B34" s="3496" t="s">
        <v>1327</v>
      </c>
      <c r="C34" s="154"/>
      <c r="D34" s="155"/>
      <c r="E34" s="133"/>
    </row>
    <row r="35" spans="1:6" ht="13.5">
      <c r="A35" s="124">
        <v>528</v>
      </c>
      <c r="B35" s="3496" t="s">
        <v>1329</v>
      </c>
      <c r="C35" s="154"/>
      <c r="D35" s="155"/>
      <c r="E35" s="133"/>
    </row>
    <row r="36" spans="1:6" ht="27">
      <c r="A36" s="124">
        <v>529</v>
      </c>
      <c r="B36" s="3496" t="s">
        <v>1849</v>
      </c>
      <c r="C36" s="154"/>
      <c r="D36" s="155"/>
      <c r="E36" s="133"/>
    </row>
    <row r="37" spans="1:6" ht="13.5">
      <c r="A37" s="124">
        <v>530</v>
      </c>
      <c r="B37" s="3496" t="s">
        <v>622</v>
      </c>
      <c r="C37" s="154"/>
      <c r="D37" s="155"/>
      <c r="E37" s="133"/>
    </row>
    <row r="38" spans="1:6" ht="13.5">
      <c r="A38" s="124">
        <v>531</v>
      </c>
      <c r="B38" s="3496" t="s">
        <v>621</v>
      </c>
      <c r="C38" s="154"/>
      <c r="D38" s="155"/>
      <c r="E38" s="133"/>
    </row>
    <row r="39" spans="1:6" ht="30.75" customHeight="1">
      <c r="A39" s="124">
        <v>532</v>
      </c>
      <c r="B39" s="3496" t="s">
        <v>1448</v>
      </c>
      <c r="C39" s="154"/>
      <c r="D39" s="155"/>
      <c r="E39" s="133"/>
    </row>
    <row r="40" spans="1:6" ht="13.5">
      <c r="A40" s="124">
        <v>533</v>
      </c>
      <c r="B40" s="3496" t="s">
        <v>787</v>
      </c>
      <c r="C40" s="154"/>
      <c r="D40" s="155"/>
      <c r="E40" s="133"/>
    </row>
    <row r="41" spans="1:6" ht="13.5">
      <c r="A41" s="124">
        <v>534</v>
      </c>
      <c r="B41" s="3496" t="s">
        <v>788</v>
      </c>
      <c r="C41" s="154"/>
      <c r="D41" s="155"/>
      <c r="E41" s="133"/>
    </row>
    <row r="42" spans="1:6" ht="13.5">
      <c r="A42" s="124">
        <v>535</v>
      </c>
      <c r="B42" s="3496" t="s">
        <v>789</v>
      </c>
      <c r="C42" s="154"/>
      <c r="D42" s="155"/>
      <c r="E42" s="133"/>
    </row>
    <row r="43" spans="1:6" ht="27">
      <c r="A43" s="124">
        <v>536</v>
      </c>
      <c r="B43" s="3496" t="s">
        <v>786</v>
      </c>
      <c r="C43" s="154"/>
      <c r="D43" s="155"/>
      <c r="E43" s="133"/>
    </row>
    <row r="44" spans="1:6" ht="13.5">
      <c r="A44" s="124">
        <v>537</v>
      </c>
      <c r="B44" s="3496" t="s">
        <v>623</v>
      </c>
      <c r="C44" s="154"/>
      <c r="D44" s="155"/>
      <c r="E44" s="133"/>
    </row>
    <row r="45" spans="1:6" ht="13.5">
      <c r="A45" s="124">
        <v>538</v>
      </c>
      <c r="B45" s="3496" t="s">
        <v>790</v>
      </c>
      <c r="C45" s="154"/>
      <c r="D45" s="155"/>
      <c r="E45" s="133"/>
    </row>
    <row r="46" spans="1:6" ht="20.25" customHeight="1" thickBot="1">
      <c r="A46" s="2870">
        <v>549</v>
      </c>
      <c r="B46" s="2864" t="s">
        <v>31</v>
      </c>
      <c r="C46" s="2865"/>
      <c r="D46" s="2866"/>
      <c r="E46" s="803"/>
      <c r="F46" s="1179"/>
    </row>
  </sheetData>
  <customSheetViews>
    <customSheetView guid="{BDF1A126-BD1D-4A5E-80B8-98941684E462}" showPageBreaks="1" showGridLines="0" printArea="1" view="pageLayout">
      <selection activeCell="A5" sqref="A5"/>
      <pageMargins left="0.7" right="0" top="0" bottom="0" header="0" footer="0"/>
      <printOptions horizontalCentered="1" verticalCentered="1"/>
      <pageSetup paperSize="9" orientation="portrait" r:id="rId1"/>
      <headerFooter alignWithMargins="0"/>
    </customSheetView>
    <customSheetView guid="{04F0793E-5444-463D-A1D5-E52E08A4C249}" showPageBreaks="1" showGridLines="0" printArea="1" topLeftCell="A19">
      <selection activeCell="B47" sqref="B47"/>
      <pageMargins left="0" right="0" top="0" bottom="0" header="0" footer="0"/>
      <printOptions horizontalCentered="1" verticalCentered="1"/>
      <pageSetup paperSize="9" orientation="portrait" horizontalDpi="300" verticalDpi="300" r:id="rId2"/>
      <headerFooter alignWithMargins="0"/>
    </customSheetView>
    <customSheetView guid="{925F74B5-C2F5-4E55-AFE4-045C56169B44}" showPageBreaks="1" showGridLines="0" printArea="1" topLeftCell="A19">
      <selection activeCell="B47" sqref="B47"/>
      <pageMargins left="0" right="0" top="0" bottom="0" header="0" footer="0"/>
      <printOptions horizontalCentered="1" verticalCentered="1"/>
      <pageSetup paperSize="9" orientation="portrait" horizontalDpi="300" verticalDpi="300" r:id="rId3"/>
      <headerFooter alignWithMargins="0"/>
    </customSheetView>
    <customSheetView guid="{1FF58891-F32F-4F97-9812-E2D02F4497AA}" showPageBreaks="1" showGridLines="0" printArea="1" view="pageLayout">
      <selection activeCell="B4" sqref="B4:F23"/>
      <pageMargins left="0.7" right="0" top="0" bottom="0" header="0" footer="0"/>
      <printOptions horizontalCentered="1" verticalCentered="1"/>
      <pageSetup paperSize="9" orientation="portrait" r:id="rId4"/>
      <headerFooter alignWithMargins="0"/>
    </customSheetView>
    <customSheetView guid="{2A6091F0-BAF4-46A2-BC20-0DE610E67601}" showPageBreaks="1" showGridLines="0" printArea="1" view="pageLayout">
      <selection activeCell="A5" sqref="A5"/>
      <pageMargins left="0.7" right="0" top="0" bottom="0" header="0" footer="0"/>
      <printOptions horizontalCentered="1" verticalCentered="1"/>
      <pageSetup paperSize="9" orientation="portrait" r:id="rId5"/>
      <headerFooter alignWithMargins="0"/>
    </customSheetView>
    <customSheetView guid="{5111FDC7-EEAC-46C3-8033-47A3563F0C00}" showPageBreaks="1" showGridLines="0" printArea="1" view="pageLayout" topLeftCell="A7">
      <selection activeCell="A46" sqref="A46"/>
      <pageMargins left="0.7" right="0" top="0" bottom="0" header="0" footer="0"/>
      <printOptions horizontalCentered="1" verticalCentered="1"/>
      <pageSetup paperSize="9" orientation="portrait" r:id="rId6"/>
      <headerFooter alignWithMargins="0"/>
    </customSheetView>
    <customSheetView guid="{2A5E79E4-584C-4F65-A220-87928CEA02AF}" showPageBreaks="1" showGridLines="0" printArea="1" view="pageLayout" topLeftCell="A7">
      <selection activeCell="A46" sqref="A46"/>
      <pageMargins left="0.7" right="0" top="0" bottom="0" header="0" footer="0"/>
      <printOptions horizontalCentered="1" verticalCentered="1"/>
      <pageSetup paperSize="9" orientation="portrait" r:id="rId7"/>
      <headerFooter alignWithMargins="0"/>
    </customSheetView>
    <customSheetView guid="{66872EF1-41BD-4D4B-B603-B8B0D03DAD22}" showPageBreaks="1" showGridLines="0" printArea="1" view="pageLayout" topLeftCell="A7">
      <selection activeCell="A46" sqref="A46"/>
      <pageMargins left="0.7" right="0" top="0" bottom="0" header="0" footer="0"/>
      <printOptions horizontalCentered="1" verticalCentered="1"/>
      <pageSetup paperSize="9" orientation="portrait" r:id="rId8"/>
      <headerFooter alignWithMargins="0"/>
    </customSheetView>
    <customSheetView guid="{ACE56013-11B3-4BF4-BD0B-BF59142DAC13}" showPageBreaks="1" showGridLines="0" printArea="1" view="pageLayout">
      <selection sqref="A1:F1"/>
      <pageMargins left="0.7" right="0" top="0" bottom="0" header="0" footer="0"/>
      <printOptions horizontalCentered="1" verticalCentered="1"/>
      <pageSetup paperSize="9" orientation="portrait" r:id="rId9"/>
      <headerFooter alignWithMargins="0"/>
    </customSheetView>
  </customSheetViews>
  <mergeCells count="8">
    <mergeCell ref="A1:F1"/>
    <mergeCell ref="F4:F7"/>
    <mergeCell ref="B11:F11"/>
    <mergeCell ref="B27:E27"/>
    <mergeCell ref="C3:D3"/>
    <mergeCell ref="B4:B8"/>
    <mergeCell ref="C4:D6"/>
    <mergeCell ref="E4:E9"/>
  </mergeCells>
  <printOptions horizontalCentered="1" verticalCentered="1"/>
  <pageMargins left="0.7" right="0" top="0" bottom="0" header="0" footer="0"/>
  <pageSetup paperSize="9" orientation="portrait" r:id="rId10"/>
  <headerFooter alignWithMargins="0"/>
  <drawing r:id="rId11"/>
  <legacyDrawing r:id="rId1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34"/>
  <sheetViews>
    <sheetView showGridLines="0" zoomScaleSheetLayoutView="100" workbookViewId="0">
      <selection sqref="A1:E1"/>
    </sheetView>
  </sheetViews>
  <sheetFormatPr defaultColWidth="8.85546875" defaultRowHeight="12.75"/>
  <cols>
    <col min="1" max="1" width="5.5703125" style="122" customWidth="1"/>
    <col min="2" max="2" width="55" style="122" customWidth="1"/>
    <col min="3" max="3" width="8.140625" style="122" customWidth="1"/>
    <col min="4" max="4" width="8.42578125" style="122" customWidth="1"/>
    <col min="5" max="5" width="18.140625" style="122" customWidth="1"/>
    <col min="6" max="7" width="8.85546875" style="123" customWidth="1"/>
    <col min="8" max="8" width="16.140625" style="123" customWidth="1"/>
    <col min="9" max="16384" width="8.85546875" style="123"/>
  </cols>
  <sheetData>
    <row r="1" spans="1:8" s="140" customFormat="1" ht="36.75" customHeight="1">
      <c r="A1" s="5638" t="s">
        <v>1645</v>
      </c>
      <c r="B1" s="5638"/>
      <c r="C1" s="5638"/>
      <c r="D1" s="5638"/>
      <c r="E1" s="5638"/>
    </row>
    <row r="2" spans="1:8" s="109" customFormat="1" ht="3.75" customHeight="1">
      <c r="A2" s="110"/>
      <c r="B2" s="111"/>
      <c r="C2" s="112"/>
      <c r="D2" s="112"/>
      <c r="F2" s="113"/>
      <c r="G2" s="113"/>
      <c r="H2" s="113"/>
    </row>
    <row r="3" spans="1:8" s="93" customFormat="1" ht="15.75" customHeight="1">
      <c r="A3" s="5567"/>
      <c r="B3" s="5567"/>
      <c r="C3" s="91"/>
      <c r="D3" s="91"/>
      <c r="E3" s="92"/>
      <c r="F3" s="92"/>
      <c r="G3" s="92"/>
      <c r="H3" s="92"/>
    </row>
    <row r="4" spans="1:8" s="93" customFormat="1" ht="5.25" customHeight="1" thickBot="1">
      <c r="A4" s="509"/>
      <c r="B4" s="509"/>
      <c r="C4" s="91"/>
      <c r="D4" s="91"/>
      <c r="E4" s="92"/>
      <c r="F4" s="92"/>
      <c r="G4" s="92"/>
      <c r="H4" s="92"/>
    </row>
    <row r="5" spans="1:8" s="142" customFormat="1" ht="12.75" customHeight="1" thickBot="1">
      <c r="A5" s="168">
        <v>17.010000000000002</v>
      </c>
      <c r="B5" s="3398">
        <v>17.02</v>
      </c>
      <c r="C5" s="5664">
        <v>17.03</v>
      </c>
      <c r="D5" s="5665"/>
      <c r="E5" s="3393">
        <v>17.04</v>
      </c>
      <c r="F5" s="3653">
        <v>17.05</v>
      </c>
      <c r="G5" s="3331"/>
      <c r="H5" s="169">
        <v>17.059999999999999</v>
      </c>
    </row>
    <row r="6" spans="1:8" s="115" customFormat="1" ht="15" customHeight="1" thickBot="1">
      <c r="A6" s="3371"/>
      <c r="B6" s="5666" t="s">
        <v>791</v>
      </c>
      <c r="C6" s="5668" t="s">
        <v>588</v>
      </c>
      <c r="D6" s="5669"/>
      <c r="E6" s="3416" t="s">
        <v>84</v>
      </c>
      <c r="F6" s="5576" t="s">
        <v>85</v>
      </c>
      <c r="G6" s="5577"/>
      <c r="H6" s="5578"/>
    </row>
    <row r="7" spans="1:8" s="115" customFormat="1" ht="108.75" customHeight="1">
      <c r="A7" s="3372"/>
      <c r="B7" s="5667"/>
      <c r="C7" s="5670"/>
      <c r="D7" s="5671"/>
      <c r="E7" s="3417" t="s">
        <v>90</v>
      </c>
      <c r="F7" s="5657" t="s">
        <v>582</v>
      </c>
      <c r="G7" s="5658"/>
      <c r="H7" s="5661" t="s">
        <v>87</v>
      </c>
    </row>
    <row r="8" spans="1:8" s="115" customFormat="1" ht="30.75" customHeight="1">
      <c r="A8" s="3372" t="s">
        <v>71</v>
      </c>
      <c r="B8" s="5667"/>
      <c r="C8" s="5672"/>
      <c r="D8" s="5671"/>
      <c r="E8" s="3415"/>
      <c r="F8" s="3330"/>
      <c r="G8" s="3334"/>
      <c r="H8" s="5662"/>
    </row>
    <row r="9" spans="1:8" s="115" customFormat="1" ht="12" customHeight="1">
      <c r="A9" s="3372"/>
      <c r="B9" s="5667"/>
      <c r="C9" s="3405" t="s">
        <v>1640</v>
      </c>
      <c r="D9" s="3539"/>
      <c r="E9" s="3499"/>
      <c r="F9" s="1169" t="s">
        <v>862</v>
      </c>
      <c r="G9" s="3407">
        <v>1</v>
      </c>
      <c r="H9" s="5662"/>
    </row>
    <row r="10" spans="1:8" s="115" customFormat="1" ht="12" customHeight="1">
      <c r="A10" s="3372"/>
      <c r="B10" s="5667"/>
      <c r="C10" s="3406" t="s">
        <v>1357</v>
      </c>
      <c r="D10" s="3540"/>
      <c r="E10" s="3459"/>
      <c r="F10" s="1172" t="s">
        <v>863</v>
      </c>
      <c r="G10" s="3399">
        <v>2</v>
      </c>
      <c r="H10" s="5662"/>
    </row>
    <row r="11" spans="1:8" s="115" customFormat="1" ht="13.5" customHeight="1" thickBot="1">
      <c r="A11" s="3372"/>
      <c r="B11" s="3396"/>
      <c r="C11" s="3403" t="s">
        <v>72</v>
      </c>
      <c r="D11" s="3404"/>
      <c r="E11" s="1174" t="s">
        <v>1794</v>
      </c>
      <c r="F11" s="5659" t="s">
        <v>1798</v>
      </c>
      <c r="G11" s="5660"/>
      <c r="H11" s="5663"/>
    </row>
    <row r="12" spans="1:8" s="120" customFormat="1" ht="14.25" customHeight="1" thickBot="1">
      <c r="A12" s="3373"/>
      <c r="B12" s="3397" t="s">
        <v>73</v>
      </c>
      <c r="C12" s="3395"/>
      <c r="D12" s="3394"/>
      <c r="E12" s="3400" t="s">
        <v>496</v>
      </c>
      <c r="F12" s="3401"/>
      <c r="G12" s="3402"/>
      <c r="H12" s="3402" t="s">
        <v>496</v>
      </c>
    </row>
    <row r="13" spans="1:8" ht="16.5" customHeight="1">
      <c r="A13" s="179"/>
      <c r="B13" s="664" t="s">
        <v>841</v>
      </c>
      <c r="C13" s="664"/>
      <c r="D13" s="664"/>
      <c r="E13" s="664"/>
      <c r="F13" s="3377"/>
      <c r="G13" s="3377"/>
      <c r="H13" s="3378"/>
    </row>
    <row r="14" spans="1:8" ht="19.5" customHeight="1">
      <c r="A14" s="3374">
        <v>601</v>
      </c>
      <c r="B14" s="3364" t="s">
        <v>592</v>
      </c>
      <c r="C14" s="154"/>
      <c r="D14" s="3368"/>
      <c r="E14" s="3385"/>
      <c r="F14" s="3359"/>
      <c r="G14" s="3389"/>
      <c r="H14" s="3360"/>
    </row>
    <row r="15" spans="1:8" ht="17.25" customHeight="1">
      <c r="A15" s="3374">
        <v>602</v>
      </c>
      <c r="B15" s="3364" t="s">
        <v>1655</v>
      </c>
      <c r="C15" s="154"/>
      <c r="D15" s="3368"/>
      <c r="E15" s="3385"/>
      <c r="F15" s="3357"/>
      <c r="G15" s="3390"/>
      <c r="H15" s="3358"/>
    </row>
    <row r="16" spans="1:8" ht="17.25" customHeight="1">
      <c r="A16" s="3375">
        <v>603</v>
      </c>
      <c r="B16" s="3365" t="s">
        <v>1490</v>
      </c>
      <c r="C16" s="2562"/>
      <c r="D16" s="3370"/>
      <c r="E16" s="3386"/>
      <c r="F16" s="3359"/>
      <c r="G16" s="3389"/>
      <c r="H16" s="3360"/>
    </row>
    <row r="17" spans="1:11" ht="30.75" customHeight="1" thickBot="1">
      <c r="A17" s="3375">
        <v>604</v>
      </c>
      <c r="B17" s="3366" t="s">
        <v>1850</v>
      </c>
      <c r="C17" s="2562"/>
      <c r="D17" s="3387"/>
      <c r="E17" s="3386"/>
      <c r="F17" s="3354"/>
      <c r="G17" s="3392"/>
      <c r="H17" s="3356"/>
    </row>
    <row r="18" spans="1:11" ht="14.25" customHeight="1" thickBot="1">
      <c r="A18" s="3376">
        <v>609</v>
      </c>
      <c r="B18" s="3367" t="s">
        <v>31</v>
      </c>
      <c r="C18" s="2871"/>
      <c r="D18" s="3353"/>
      <c r="E18" s="3363"/>
      <c r="F18" s="3382"/>
      <c r="G18" s="3383"/>
      <c r="H18" s="3384"/>
    </row>
    <row r="19" spans="1:11" ht="16.5" customHeight="1">
      <c r="A19" s="179"/>
      <c r="B19" s="664" t="s">
        <v>1641</v>
      </c>
      <c r="C19" s="664"/>
      <c r="D19" s="664"/>
      <c r="E19" s="2127"/>
      <c r="F19" s="3379"/>
      <c r="G19" s="3388"/>
      <c r="H19" s="3380"/>
    </row>
    <row r="20" spans="1:11" ht="14.25" customHeight="1">
      <c r="A20" s="3374">
        <v>611</v>
      </c>
      <c r="B20" s="3368" t="s">
        <v>173</v>
      </c>
      <c r="C20" s="154"/>
      <c r="D20" s="3368"/>
      <c r="E20" s="3385"/>
      <c r="F20" s="3359"/>
      <c r="G20" s="3389"/>
      <c r="H20" s="3360"/>
    </row>
    <row r="21" spans="1:11" ht="14.25" customHeight="1">
      <c r="A21" s="3374">
        <v>612</v>
      </c>
      <c r="B21" s="3368" t="s">
        <v>169</v>
      </c>
      <c r="C21" s="154"/>
      <c r="D21" s="3368"/>
      <c r="E21" s="3385"/>
      <c r="F21" s="3359"/>
      <c r="G21" s="3389"/>
      <c r="H21" s="3360"/>
    </row>
    <row r="22" spans="1:11" ht="14.25" customHeight="1">
      <c r="A22" s="3374">
        <v>613</v>
      </c>
      <c r="B22" s="3368" t="s">
        <v>580</v>
      </c>
      <c r="C22" s="154"/>
      <c r="D22" s="3368"/>
      <c r="E22" s="3385"/>
      <c r="F22" s="3357"/>
      <c r="G22" s="3390"/>
      <c r="H22" s="3358"/>
    </row>
    <row r="23" spans="1:11" ht="14.25" customHeight="1">
      <c r="A23" s="3374">
        <v>614</v>
      </c>
      <c r="B23" s="3368" t="s">
        <v>581</v>
      </c>
      <c r="C23" s="154"/>
      <c r="D23" s="3368"/>
      <c r="E23" s="3385"/>
      <c r="F23" s="3357"/>
      <c r="G23" s="3390"/>
      <c r="H23" s="3358"/>
    </row>
    <row r="24" spans="1:11" ht="14.25" customHeight="1">
      <c r="A24" s="3374">
        <v>615</v>
      </c>
      <c r="B24" s="3368" t="s">
        <v>170</v>
      </c>
      <c r="C24" s="154"/>
      <c r="D24" s="3368"/>
      <c r="E24" s="3385"/>
      <c r="F24" s="3357"/>
      <c r="G24" s="3390"/>
      <c r="H24" s="3358"/>
      <c r="K24" s="3355"/>
    </row>
    <row r="25" spans="1:11" ht="26.25" customHeight="1">
      <c r="A25" s="635">
        <v>616</v>
      </c>
      <c r="B25" s="3369" t="s">
        <v>1449</v>
      </c>
      <c r="C25" s="154"/>
      <c r="D25" s="3368"/>
      <c r="E25" s="3385"/>
      <c r="F25" s="3357"/>
      <c r="G25" s="3390"/>
      <c r="H25" s="3358"/>
      <c r="K25" s="3355"/>
    </row>
    <row r="26" spans="1:11" ht="15.75" customHeight="1">
      <c r="A26" s="635">
        <v>617</v>
      </c>
      <c r="B26" s="3368" t="s">
        <v>590</v>
      </c>
      <c r="C26" s="154"/>
      <c r="D26" s="3368"/>
      <c r="E26" s="3385"/>
      <c r="F26" s="3359"/>
      <c r="G26" s="3389"/>
      <c r="H26" s="3360"/>
      <c r="I26" s="3354"/>
      <c r="J26" s="3355"/>
    </row>
    <row r="27" spans="1:11" ht="15" customHeight="1">
      <c r="A27" s="635">
        <v>618</v>
      </c>
      <c r="B27" s="3369" t="s">
        <v>589</v>
      </c>
      <c r="C27" s="154"/>
      <c r="D27" s="3368"/>
      <c r="E27" s="3385"/>
      <c r="F27" s="3357"/>
      <c r="G27" s="3390"/>
      <c r="H27" s="3358"/>
    </row>
    <row r="28" spans="1:11" ht="25.5" customHeight="1">
      <c r="A28" s="635">
        <v>619</v>
      </c>
      <c r="B28" s="3369" t="s">
        <v>171</v>
      </c>
      <c r="C28" s="154"/>
      <c r="D28" s="3368"/>
      <c r="E28" s="3385"/>
      <c r="F28" s="3357"/>
      <c r="G28" s="3390"/>
      <c r="H28" s="3358"/>
    </row>
    <row r="29" spans="1:11" ht="16.5" customHeight="1" thickBot="1">
      <c r="A29" s="3302">
        <v>620</v>
      </c>
      <c r="B29" s="3370" t="s">
        <v>172</v>
      </c>
      <c r="C29" s="2562"/>
      <c r="D29" s="3387"/>
      <c r="E29" s="3386"/>
      <c r="F29" s="3361"/>
      <c r="G29" s="3391"/>
      <c r="H29" s="3362"/>
    </row>
    <row r="30" spans="1:11" ht="14.25" customHeight="1" thickBot="1">
      <c r="A30" s="3376">
        <v>629</v>
      </c>
      <c r="B30" s="3367" t="s">
        <v>31</v>
      </c>
      <c r="C30" s="2871"/>
      <c r="D30" s="3353"/>
      <c r="E30" s="3381"/>
      <c r="F30" s="3382"/>
      <c r="G30" s="3383"/>
      <c r="H30" s="3384"/>
    </row>
    <row r="31" spans="1:11" ht="9.9499999999999993" customHeight="1">
      <c r="A31" s="145"/>
      <c r="B31" s="146"/>
      <c r="C31" s="146"/>
      <c r="D31" s="146"/>
      <c r="E31" s="147"/>
    </row>
    <row r="32" spans="1:11" ht="24.95" customHeight="1">
      <c r="A32" s="121"/>
      <c r="B32" s="121"/>
      <c r="C32" s="121"/>
      <c r="D32" s="121"/>
      <c r="E32" s="121"/>
    </row>
    <row r="33" spans="1:5" ht="24.95" customHeight="1">
      <c r="A33" s="121"/>
      <c r="B33" s="121"/>
      <c r="C33" s="121"/>
      <c r="D33" s="130"/>
      <c r="E33" s="121"/>
    </row>
    <row r="34" spans="1:5">
      <c r="D34" s="3408"/>
    </row>
  </sheetData>
  <customSheetViews>
    <customSheetView guid="{BDF1A126-BD1D-4A5E-80B8-98941684E462}" showPageBreaks="1" showGridLines="0" printArea="1" topLeftCell="A4">
      <selection activeCell="B14" sqref="B14"/>
      <pageMargins left="0.73" right="0" top="2.35" bottom="0" header="0.08" footer="0"/>
      <printOptions horizontalCentered="1"/>
      <pageSetup paperSize="9" orientation="portrait" r:id="rId1"/>
      <headerFooter alignWithMargins="0"/>
    </customSheetView>
    <customSheetView guid="{04F0793E-5444-463D-A1D5-E52E08A4C249}" showPageBreaks="1" showGridLines="0" printArea="1">
      <selection activeCell="H13" sqref="H13"/>
      <pageMargins left="0" right="0" top="0" bottom="0" header="0" footer="0"/>
      <printOptions horizontalCentered="1" verticalCentered="1"/>
      <pageSetup paperSize="9" orientation="portrait" horizontalDpi="300" verticalDpi="300" r:id="rId2"/>
      <headerFooter alignWithMargins="0"/>
    </customSheetView>
    <customSheetView guid="{925F74B5-C2F5-4E55-AFE4-045C56169B44}" showPageBreaks="1" showGridLines="0" printArea="1">
      <selection activeCell="H13" sqref="H13"/>
      <pageMargins left="0" right="0" top="0" bottom="0" header="0" footer="0"/>
      <printOptions horizontalCentered="1" verticalCentered="1"/>
      <pageSetup paperSize="9" orientation="portrait" horizontalDpi="300" verticalDpi="300" r:id="rId3"/>
      <headerFooter alignWithMargins="0"/>
    </customSheetView>
    <customSheetView guid="{1FF58891-F32F-4F97-9812-E2D02F4497AA}" showGridLines="0" topLeftCell="A4">
      <selection activeCell="B5" sqref="B5:B23"/>
      <pageMargins left="0.73" right="0" top="2.35" bottom="0" header="0.08" footer="0"/>
      <printOptions horizontalCentered="1"/>
      <pageSetup paperSize="9" orientation="portrait" r:id="rId4"/>
      <headerFooter alignWithMargins="0"/>
    </customSheetView>
    <customSheetView guid="{2A6091F0-BAF4-46A2-BC20-0DE610E67601}" showPageBreaks="1" showGridLines="0" printArea="1" topLeftCell="A4">
      <selection activeCell="B14" sqref="B14"/>
      <pageMargins left="0.73" right="0" top="2.35" bottom="0" header="0.08" footer="0"/>
      <printOptions horizontalCentered="1"/>
      <pageSetup paperSize="9" orientation="portrait" r:id="rId5"/>
      <headerFooter alignWithMargins="0"/>
    </customSheetView>
    <customSheetView guid="{5111FDC7-EEAC-46C3-8033-47A3563F0C00}" showPageBreaks="1" showGridLines="0" printArea="1">
      <selection activeCell="B30" sqref="B30:D30"/>
      <pageMargins left="0.73" right="0" top="2.35" bottom="0" header="0.08" footer="0"/>
      <printOptions horizontalCentered="1"/>
      <pageSetup paperSize="9" orientation="portrait" r:id="rId6"/>
      <headerFooter alignWithMargins="0"/>
    </customSheetView>
    <customSheetView guid="{2A5E79E4-584C-4F65-A220-87928CEA02AF}" showPageBreaks="1" showGridLines="0" printArea="1">
      <selection activeCell="B30" sqref="B30:D30"/>
      <pageMargins left="0.73" right="0" top="2.35" bottom="0" header="0.08" footer="0"/>
      <printOptions horizontalCentered="1"/>
      <pageSetup paperSize="9" orientation="portrait" r:id="rId7"/>
      <headerFooter alignWithMargins="0"/>
    </customSheetView>
    <customSheetView guid="{66872EF1-41BD-4D4B-B603-B8B0D03DAD22}" showPageBreaks="1" showGridLines="0" printArea="1">
      <selection activeCell="B30" sqref="B30:D30"/>
      <pageMargins left="0.73" right="0" top="2.35" bottom="0" header="0.08" footer="0"/>
      <printOptions horizontalCentered="1"/>
      <pageSetup paperSize="9" orientation="portrait" r:id="rId8"/>
      <headerFooter alignWithMargins="0"/>
    </customSheetView>
    <customSheetView guid="{ACE56013-11B3-4BF4-BD0B-BF59142DAC13}" showPageBreaks="1" showGridLines="0" printArea="1">
      <selection activeCell="F1" sqref="F1"/>
      <pageMargins left="0.73" right="0" top="2.35" bottom="0" header="0.08" footer="0"/>
      <printOptions horizontalCentered="1"/>
      <pageSetup paperSize="9" orientation="portrait" r:id="rId9"/>
      <headerFooter alignWithMargins="0"/>
    </customSheetView>
  </customSheetViews>
  <mergeCells count="9">
    <mergeCell ref="F7:G7"/>
    <mergeCell ref="F11:G11"/>
    <mergeCell ref="F6:H6"/>
    <mergeCell ref="H7:H11"/>
    <mergeCell ref="A1:E1"/>
    <mergeCell ref="A3:B3"/>
    <mergeCell ref="C5:D5"/>
    <mergeCell ref="B6:B10"/>
    <mergeCell ref="C6:D8"/>
  </mergeCells>
  <printOptions horizontalCentered="1"/>
  <pageMargins left="0.73" right="0" top="2.35" bottom="0" header="0.08" footer="0"/>
  <pageSetup paperSize="8" orientation="portrait" r:id="rId10"/>
  <headerFooter alignWithMargins="0"/>
  <drawing r:id="rId11"/>
  <legacyDrawing r:id="rId1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51"/>
  <sheetViews>
    <sheetView showGridLines="0" topLeftCell="A45" zoomScaleNormal="100" zoomScaleSheetLayoutView="100" workbookViewId="0">
      <selection activeCell="L73" sqref="L73"/>
    </sheetView>
  </sheetViews>
  <sheetFormatPr defaultColWidth="8.85546875" defaultRowHeight="12.75"/>
  <cols>
    <col min="1" max="1" width="6" style="122" customWidth="1"/>
    <col min="2" max="2" width="32.28515625" style="122" customWidth="1"/>
    <col min="3" max="3" width="11.7109375" style="122" customWidth="1"/>
    <col min="4" max="4" width="12.42578125" style="122" customWidth="1"/>
    <col min="5" max="5" width="12.5703125" style="123" customWidth="1"/>
    <col min="6" max="6" width="12.140625" style="123" customWidth="1"/>
    <col min="7" max="7" width="5" style="123" customWidth="1"/>
    <col min="8" max="16384" width="8.85546875" style="123"/>
  </cols>
  <sheetData>
    <row r="1" spans="1:7" s="140" customFormat="1" ht="35.25" customHeight="1">
      <c r="A1" s="5638" t="s">
        <v>1408</v>
      </c>
      <c r="B1" s="5638"/>
      <c r="C1" s="5638"/>
      <c r="D1" s="5638"/>
      <c r="E1" s="5638"/>
      <c r="F1" s="5638"/>
      <c r="G1" s="5638"/>
    </row>
    <row r="2" spans="1:7" s="140" customFormat="1" ht="10.5" customHeight="1">
      <c r="A2" s="510"/>
      <c r="B2" s="510"/>
      <c r="C2" s="5679"/>
      <c r="D2" s="5679"/>
      <c r="E2" s="5679"/>
      <c r="F2" s="5679"/>
      <c r="G2" s="5679"/>
    </row>
    <row r="3" spans="1:7" s="109" customFormat="1" ht="8.25" customHeight="1" thickBot="1">
      <c r="A3" s="111"/>
      <c r="B3" s="112"/>
      <c r="C3" s="112"/>
      <c r="D3" s="112"/>
      <c r="E3" s="113"/>
      <c r="F3" s="113"/>
    </row>
    <row r="4" spans="1:7" s="93" customFormat="1" ht="17.25" customHeight="1">
      <c r="A4" s="3546">
        <v>18.010000000000002</v>
      </c>
      <c r="B4" s="5608" t="s">
        <v>544</v>
      </c>
      <c r="C4" s="5608"/>
      <c r="D4" s="5608"/>
      <c r="E4" s="5676" t="s">
        <v>1037</v>
      </c>
      <c r="F4" s="5676"/>
      <c r="G4" s="641"/>
    </row>
    <row r="5" spans="1:7" s="93" customFormat="1" ht="21" customHeight="1" thickBot="1">
      <c r="A5" s="629"/>
      <c r="B5" s="5608"/>
      <c r="C5" s="5608"/>
      <c r="D5" s="5608"/>
      <c r="E5" s="5676" t="s">
        <v>1038</v>
      </c>
      <c r="F5" s="5676"/>
      <c r="G5" s="642"/>
    </row>
    <row r="6" spans="1:7" ht="7.5" customHeight="1"/>
    <row r="7" spans="1:7" s="93" customFormat="1" ht="4.5" customHeight="1" thickBot="1">
      <c r="A7" s="630"/>
      <c r="B7" s="630"/>
      <c r="C7" s="630"/>
      <c r="D7" s="631"/>
      <c r="E7" s="92"/>
      <c r="F7" s="92"/>
    </row>
    <row r="8" spans="1:7" s="93" customFormat="1" ht="12" customHeight="1" thickBot="1">
      <c r="A8" s="1181">
        <v>18.02</v>
      </c>
      <c r="B8" s="1182">
        <v>18.03</v>
      </c>
      <c r="C8" s="5680">
        <v>18.04</v>
      </c>
      <c r="D8" s="5681"/>
      <c r="E8" s="5680">
        <v>18.05</v>
      </c>
      <c r="F8" s="5681"/>
    </row>
    <row r="9" spans="1:7" s="93" customFormat="1" ht="15.75" customHeight="1">
      <c r="A9" s="647"/>
      <c r="B9" s="5616" t="s">
        <v>1708</v>
      </c>
      <c r="C9" s="5619" t="s">
        <v>1746</v>
      </c>
      <c r="D9" s="5620"/>
      <c r="E9" s="5628" t="s">
        <v>1589</v>
      </c>
      <c r="F9" s="5629"/>
    </row>
    <row r="10" spans="1:7" s="93" customFormat="1" ht="12" customHeight="1">
      <c r="A10" s="648"/>
      <c r="B10" s="5617"/>
      <c r="C10" s="5621"/>
      <c r="D10" s="5622"/>
      <c r="E10" s="5630"/>
      <c r="F10" s="5631"/>
    </row>
    <row r="11" spans="1:7" s="93" customFormat="1" ht="18.75" customHeight="1">
      <c r="A11" s="648"/>
      <c r="B11" s="5617"/>
      <c r="C11" s="5621"/>
      <c r="D11" s="5622"/>
      <c r="E11" s="5630"/>
      <c r="F11" s="5631"/>
    </row>
    <row r="12" spans="1:7" s="93" customFormat="1" ht="12" customHeight="1">
      <c r="A12" s="648" t="s">
        <v>71</v>
      </c>
      <c r="B12" s="5617"/>
      <c r="C12" s="5626" t="s">
        <v>91</v>
      </c>
      <c r="D12" s="5627"/>
      <c r="E12" s="5632" t="s">
        <v>91</v>
      </c>
      <c r="F12" s="5633"/>
    </row>
    <row r="13" spans="1:7" s="93" customFormat="1" ht="10.5" customHeight="1" thickBot="1">
      <c r="A13" s="649"/>
      <c r="B13" s="5618"/>
      <c r="C13" s="3639" t="s">
        <v>219</v>
      </c>
      <c r="D13" s="3640" t="s">
        <v>219</v>
      </c>
      <c r="E13" s="2621" t="s">
        <v>219</v>
      </c>
      <c r="F13" s="2621" t="s">
        <v>219</v>
      </c>
    </row>
    <row r="14" spans="1:7" s="93" customFormat="1" ht="12" customHeight="1">
      <c r="A14" s="650"/>
      <c r="B14" s="2901"/>
      <c r="C14" s="3547" t="s">
        <v>545</v>
      </c>
      <c r="D14" s="566" t="s">
        <v>546</v>
      </c>
      <c r="E14" s="566" t="s">
        <v>545</v>
      </c>
      <c r="F14" s="566" t="s">
        <v>546</v>
      </c>
    </row>
    <row r="15" spans="1:7" s="93" customFormat="1" ht="16.5" customHeight="1">
      <c r="A15" s="635">
        <v>701</v>
      </c>
      <c r="B15" s="2849" t="s">
        <v>1656</v>
      </c>
      <c r="C15" s="564"/>
      <c r="D15" s="640"/>
      <c r="E15" s="564"/>
      <c r="F15" s="640"/>
    </row>
    <row r="16" spans="1:7" s="93" customFormat="1" ht="16.5" customHeight="1">
      <c r="A16" s="635">
        <v>702</v>
      </c>
      <c r="B16" s="3461" t="s">
        <v>547</v>
      </c>
      <c r="C16" s="625"/>
      <c r="D16" s="627"/>
      <c r="E16" s="625"/>
      <c r="F16" s="627"/>
    </row>
    <row r="17" spans="1:7" s="93" customFormat="1" ht="16.5" customHeight="1">
      <c r="A17" s="635">
        <v>703</v>
      </c>
      <c r="B17" s="3461" t="s">
        <v>548</v>
      </c>
      <c r="C17" s="625"/>
      <c r="D17" s="627"/>
      <c r="E17" s="625"/>
      <c r="F17" s="627"/>
    </row>
    <row r="18" spans="1:7" s="93" customFormat="1" ht="16.5" customHeight="1">
      <c r="A18" s="635">
        <v>704</v>
      </c>
      <c r="B18" s="3461" t="s">
        <v>549</v>
      </c>
      <c r="C18" s="625"/>
      <c r="D18" s="627"/>
      <c r="E18" s="625"/>
      <c r="F18" s="627"/>
    </row>
    <row r="19" spans="1:7" s="93" customFormat="1" ht="23.25" customHeight="1">
      <c r="A19" s="635">
        <v>705</v>
      </c>
      <c r="B19" s="3464" t="s">
        <v>550</v>
      </c>
      <c r="C19" s="643"/>
      <c r="D19" s="644"/>
      <c r="E19" s="643"/>
      <c r="F19" s="644"/>
    </row>
    <row r="20" spans="1:7" s="93" customFormat="1" ht="16.5" customHeight="1" thickBot="1">
      <c r="A20" s="635">
        <v>706</v>
      </c>
      <c r="B20" s="3500" t="s">
        <v>1450</v>
      </c>
      <c r="C20" s="628"/>
      <c r="D20" s="637"/>
      <c r="E20" s="628"/>
      <c r="F20" s="637"/>
    </row>
    <row r="21" spans="1:7" s="93" customFormat="1" ht="16.5" customHeight="1" thickBot="1">
      <c r="A21" s="562"/>
      <c r="B21" s="662"/>
      <c r="C21" s="645"/>
      <c r="D21" s="646"/>
      <c r="E21" s="646"/>
      <c r="F21" s="646"/>
    </row>
    <row r="22" spans="1:7" s="93" customFormat="1" ht="12.75" customHeight="1">
      <c r="A22" s="1188">
        <v>18.059999999999999</v>
      </c>
      <c r="B22" s="4613" t="s">
        <v>1491</v>
      </c>
      <c r="C22" s="4613"/>
      <c r="D22" s="4613"/>
      <c r="E22" s="5676" t="s">
        <v>1037</v>
      </c>
      <c r="F22" s="5676"/>
      <c r="G22" s="641"/>
    </row>
    <row r="23" spans="1:7" s="93" customFormat="1" ht="12.75" customHeight="1" thickBot="1">
      <c r="A23" s="1183"/>
      <c r="B23" s="4613"/>
      <c r="C23" s="4613"/>
      <c r="D23" s="4613"/>
      <c r="E23" s="5676" t="s">
        <v>1493</v>
      </c>
      <c r="F23" s="5676"/>
      <c r="G23" s="642"/>
    </row>
    <row r="24" spans="1:7" s="93" customFormat="1" ht="7.5" customHeight="1">
      <c r="A24" s="1184"/>
      <c r="B24" s="4613"/>
      <c r="C24" s="4613"/>
      <c r="D24" s="4613"/>
      <c r="E24" s="91"/>
      <c r="F24" s="92"/>
    </row>
    <row r="25" spans="1:7" s="93" customFormat="1" ht="6" customHeight="1" thickBot="1">
      <c r="A25" s="1184"/>
      <c r="B25" s="1142"/>
      <c r="C25" s="1142"/>
      <c r="D25" s="1142"/>
      <c r="E25" s="91"/>
      <c r="F25" s="92"/>
    </row>
    <row r="26" spans="1:7" s="93" customFormat="1" ht="12.75" customHeight="1" thickBot="1">
      <c r="A26" s="2577">
        <v>18.07</v>
      </c>
      <c r="B26" s="1185">
        <v>18.079999999999998</v>
      </c>
      <c r="C26" s="1186"/>
      <c r="D26" s="1187"/>
      <c r="E26" s="5686">
        <v>18.09</v>
      </c>
      <c r="F26" s="5687"/>
    </row>
    <row r="27" spans="1:7" s="563" customFormat="1" ht="27.75" customHeight="1">
      <c r="A27" s="1193"/>
      <c r="B27" s="5691" t="s">
        <v>1346</v>
      </c>
      <c r="C27" s="5692"/>
      <c r="D27" s="5693"/>
      <c r="E27" s="5682" t="s">
        <v>219</v>
      </c>
      <c r="F27" s="5683"/>
      <c r="G27" s="799"/>
    </row>
    <row r="28" spans="1:7" s="563" customFormat="1" ht="5.25" customHeight="1" thickBot="1">
      <c r="A28" s="1190"/>
      <c r="B28" s="5694"/>
      <c r="C28" s="5695"/>
      <c r="D28" s="5696"/>
      <c r="E28" s="5684"/>
      <c r="F28" s="5685"/>
      <c r="G28" s="799"/>
    </row>
    <row r="29" spans="1:7" s="563" customFormat="1" ht="24.75" customHeight="1">
      <c r="A29" s="635">
        <v>711</v>
      </c>
      <c r="B29" s="656" t="s">
        <v>612</v>
      </c>
      <c r="C29" s="5677" t="s">
        <v>551</v>
      </c>
      <c r="D29" s="5678"/>
      <c r="E29" s="568"/>
      <c r="F29" s="654"/>
    </row>
    <row r="30" spans="1:7" s="563" customFormat="1" ht="23.25" customHeight="1">
      <c r="A30" s="635">
        <v>712</v>
      </c>
      <c r="B30" s="656" t="s">
        <v>613</v>
      </c>
      <c r="C30" s="5677" t="s">
        <v>551</v>
      </c>
      <c r="D30" s="5678"/>
      <c r="E30" s="568"/>
      <c r="F30" s="654"/>
    </row>
    <row r="31" spans="1:7" s="563" customFormat="1" ht="16.5" customHeight="1">
      <c r="A31" s="635">
        <v>713</v>
      </c>
      <c r="B31" s="656" t="s">
        <v>1851</v>
      </c>
      <c r="C31" s="5677" t="s">
        <v>551</v>
      </c>
      <c r="D31" s="5678"/>
      <c r="E31" s="568"/>
      <c r="F31" s="654"/>
    </row>
    <row r="32" spans="1:7" s="563" customFormat="1" ht="16.5" customHeight="1">
      <c r="A32" s="635">
        <v>714</v>
      </c>
      <c r="B32" s="656" t="s">
        <v>552</v>
      </c>
      <c r="C32" s="624"/>
      <c r="D32" s="657"/>
      <c r="E32" s="568"/>
      <c r="F32" s="654"/>
    </row>
    <row r="33" spans="1:6" s="563" customFormat="1" ht="16.5" customHeight="1">
      <c r="A33" s="635">
        <v>715</v>
      </c>
      <c r="B33" s="656" t="s">
        <v>553</v>
      </c>
      <c r="C33" s="624"/>
      <c r="D33" s="657"/>
      <c r="E33" s="568"/>
      <c r="F33" s="654"/>
    </row>
    <row r="34" spans="1:6" s="563" customFormat="1" ht="16.5" customHeight="1">
      <c r="A34" s="635">
        <v>716</v>
      </c>
      <c r="B34" s="656" t="s">
        <v>554</v>
      </c>
      <c r="C34" s="624"/>
      <c r="D34" s="657"/>
      <c r="E34" s="568"/>
      <c r="F34" s="654"/>
    </row>
    <row r="35" spans="1:6" s="563" customFormat="1" ht="16.5" customHeight="1">
      <c r="A35" s="635">
        <v>717</v>
      </c>
      <c r="B35" s="656" t="s">
        <v>555</v>
      </c>
      <c r="C35" s="624"/>
      <c r="D35" s="657"/>
      <c r="E35" s="568"/>
      <c r="F35" s="654"/>
    </row>
    <row r="36" spans="1:6" s="563" customFormat="1" ht="16.5" customHeight="1">
      <c r="A36" s="635">
        <v>718</v>
      </c>
      <c r="B36" s="5673" t="s">
        <v>556</v>
      </c>
      <c r="C36" s="5674"/>
      <c r="D36" s="5675"/>
      <c r="E36" s="568"/>
      <c r="F36" s="654"/>
    </row>
    <row r="37" spans="1:6" s="563" customFormat="1" ht="16.5" customHeight="1">
      <c r="A37" s="635">
        <v>719</v>
      </c>
      <c r="B37" s="5673" t="s">
        <v>557</v>
      </c>
      <c r="C37" s="5674"/>
      <c r="D37" s="5675"/>
      <c r="E37" s="568"/>
      <c r="F37" s="654"/>
    </row>
    <row r="38" spans="1:6" s="563" customFormat="1" ht="16.5" customHeight="1">
      <c r="A38" s="635">
        <v>720</v>
      </c>
      <c r="B38" s="5673" t="s">
        <v>1852</v>
      </c>
      <c r="C38" s="5674"/>
      <c r="D38" s="5675"/>
      <c r="E38" s="568"/>
      <c r="F38" s="654"/>
    </row>
    <row r="39" spans="1:6" s="563" customFormat="1" ht="16.5" customHeight="1">
      <c r="A39" s="635">
        <v>721</v>
      </c>
      <c r="B39" s="5673" t="s">
        <v>1853</v>
      </c>
      <c r="C39" s="5674"/>
      <c r="D39" s="5675"/>
      <c r="E39" s="568"/>
      <c r="F39" s="654"/>
    </row>
    <row r="40" spans="1:6" s="563" customFormat="1" ht="16.5" customHeight="1">
      <c r="A40" s="635">
        <v>722</v>
      </c>
      <c r="B40" s="5673" t="s">
        <v>558</v>
      </c>
      <c r="C40" s="5674"/>
      <c r="D40" s="5675"/>
      <c r="E40" s="3641"/>
      <c r="F40" s="3642"/>
    </row>
    <row r="41" spans="1:6" s="563" customFormat="1" ht="16.5" customHeight="1">
      <c r="A41" s="635">
        <v>723</v>
      </c>
      <c r="B41" s="656" t="s">
        <v>559</v>
      </c>
      <c r="C41" s="624"/>
      <c r="D41" s="657"/>
      <c r="E41" s="3641"/>
      <c r="F41" s="3642"/>
    </row>
    <row r="42" spans="1:6" s="563" customFormat="1" ht="16.5" customHeight="1">
      <c r="A42" s="635">
        <v>724</v>
      </c>
      <c r="B42" s="656" t="s">
        <v>1451</v>
      </c>
      <c r="C42" s="624"/>
      <c r="D42" s="657"/>
      <c r="E42" s="3641"/>
      <c r="F42" s="3642"/>
    </row>
    <row r="43" spans="1:6" s="563" customFormat="1" ht="16.5" customHeight="1">
      <c r="A43" s="635">
        <v>725</v>
      </c>
      <c r="B43" s="5673" t="s">
        <v>560</v>
      </c>
      <c r="C43" s="5674"/>
      <c r="D43" s="5675"/>
      <c r="E43" s="3641"/>
      <c r="F43" s="3642"/>
    </row>
    <row r="44" spans="1:6" s="563" customFormat="1" ht="16.5" customHeight="1">
      <c r="A44" s="635">
        <v>726</v>
      </c>
      <c r="B44" s="656" t="s">
        <v>559</v>
      </c>
      <c r="C44" s="624"/>
      <c r="D44" s="657"/>
      <c r="E44" s="568"/>
      <c r="F44" s="654"/>
    </row>
    <row r="45" spans="1:6" s="93" customFormat="1" ht="20.25" customHeight="1">
      <c r="A45" s="635">
        <v>727</v>
      </c>
      <c r="B45" s="656" t="s">
        <v>1451</v>
      </c>
      <c r="C45" s="624"/>
      <c r="D45" s="657"/>
      <c r="E45" s="568"/>
      <c r="F45" s="654"/>
    </row>
    <row r="46" spans="1:6" s="93" customFormat="1" ht="16.5" customHeight="1">
      <c r="A46" s="635">
        <v>728</v>
      </c>
      <c r="B46" s="5673" t="s">
        <v>561</v>
      </c>
      <c r="C46" s="5674"/>
      <c r="D46" s="5675"/>
      <c r="E46" s="571"/>
      <c r="F46" s="638"/>
    </row>
    <row r="47" spans="1:6" s="93" customFormat="1" ht="16.5" customHeight="1">
      <c r="A47" s="635">
        <v>729</v>
      </c>
      <c r="B47" s="3461" t="s">
        <v>563</v>
      </c>
      <c r="C47" s="3462"/>
      <c r="D47" s="3463"/>
      <c r="E47" s="658"/>
      <c r="F47" s="659"/>
    </row>
    <row r="48" spans="1:6" s="93" customFormat="1" ht="16.5" customHeight="1">
      <c r="A48" s="635">
        <v>730</v>
      </c>
      <c r="B48" s="3461" t="s">
        <v>562</v>
      </c>
      <c r="C48" s="3462"/>
      <c r="D48" s="3463"/>
      <c r="E48" s="658"/>
      <c r="F48" s="659"/>
    </row>
    <row r="49" spans="1:6" s="93" customFormat="1" ht="16.5" customHeight="1" thickBot="1">
      <c r="A49" s="635">
        <v>731</v>
      </c>
      <c r="B49" s="3464" t="s">
        <v>316</v>
      </c>
      <c r="C49" s="3465"/>
      <c r="D49" s="3466"/>
      <c r="E49" s="658"/>
      <c r="F49" s="659"/>
    </row>
    <row r="50" spans="1:6" s="93" customFormat="1" ht="13.5" customHeight="1" thickBot="1">
      <c r="A50" s="1192">
        <v>739</v>
      </c>
      <c r="B50" s="5688" t="s">
        <v>564</v>
      </c>
      <c r="C50" s="5689"/>
      <c r="D50" s="5690"/>
      <c r="E50" s="660"/>
      <c r="F50" s="661"/>
    </row>
    <row r="51" spans="1:6" s="93" customFormat="1" ht="5.25" customHeight="1">
      <c r="A51" s="5609"/>
      <c r="B51" s="5609"/>
      <c r="C51" s="5609"/>
      <c r="D51" s="5609"/>
      <c r="E51" s="5609"/>
      <c r="F51" s="92"/>
    </row>
  </sheetData>
  <customSheetViews>
    <customSheetView guid="{BDF1A126-BD1D-4A5E-80B8-98941684E462}" showPageBreaks="1" showGridLines="0" printArea="1">
      <selection activeCell="B16" sqref="B16"/>
      <pageMargins left="0.56999999999999995" right="0" top="0" bottom="0" header="0" footer="0"/>
      <printOptions horizontalCentered="1" verticalCentered="1"/>
      <pageSetup paperSize="9" orientation="portrait" r:id="rId1"/>
      <headerFooter alignWithMargins="0"/>
    </customSheetView>
    <customSheetView guid="{04F0793E-5444-463D-A1D5-E52E08A4C249}" showPageBreaks="1" showGridLines="0" printArea="1" topLeftCell="A25">
      <selection activeCell="B51" sqref="B51"/>
      <pageMargins left="0" right="0" top="0" bottom="0" header="0" footer="0"/>
      <printOptions horizontalCentered="1" verticalCentered="1"/>
      <pageSetup paperSize="9" orientation="portrait" horizontalDpi="300" verticalDpi="300" r:id="rId2"/>
      <headerFooter alignWithMargins="0"/>
    </customSheetView>
    <customSheetView guid="{925F74B5-C2F5-4E55-AFE4-045C56169B44}" showPageBreaks="1" showGridLines="0" printArea="1" topLeftCell="A25">
      <selection activeCell="B51" sqref="B51"/>
      <pageMargins left="0" right="0" top="0" bottom="0" header="0" footer="0"/>
      <printOptions horizontalCentered="1" verticalCentered="1"/>
      <pageSetup paperSize="9" orientation="portrait" horizontalDpi="300" verticalDpi="300" r:id="rId3"/>
      <headerFooter alignWithMargins="0"/>
    </customSheetView>
    <customSheetView guid="{1FF58891-F32F-4F97-9812-E2D02F4497AA}" showGridLines="0">
      <selection activeCell="B4" sqref="B4:D24"/>
      <pageMargins left="0.56999999999999995" right="0" top="0" bottom="0" header="0" footer="0"/>
      <printOptions horizontalCentered="1" verticalCentered="1"/>
      <pageSetup paperSize="9" orientation="portrait" r:id="rId4"/>
      <headerFooter alignWithMargins="0"/>
    </customSheetView>
    <customSheetView guid="{2A6091F0-BAF4-46A2-BC20-0DE610E67601}" showPageBreaks="1" showGridLines="0" printArea="1">
      <selection activeCell="B16" sqref="B16"/>
      <pageMargins left="0.56999999999999995" right="0" top="0" bottom="0" header="0" footer="0"/>
      <printOptions horizontalCentered="1" verticalCentered="1"/>
      <pageSetup paperSize="9" orientation="portrait" r:id="rId5"/>
      <headerFooter alignWithMargins="0"/>
    </customSheetView>
    <customSheetView guid="{5111FDC7-EEAC-46C3-8033-47A3563F0C00}" showPageBreaks="1" showGridLines="0" printArea="1">
      <selection activeCell="C9" sqref="C9:D11"/>
      <pageMargins left="0.56999999999999995" right="0" top="0" bottom="0" header="0" footer="0"/>
      <printOptions horizontalCentered="1" verticalCentered="1"/>
      <pageSetup paperSize="9" orientation="portrait" r:id="rId6"/>
      <headerFooter alignWithMargins="0"/>
    </customSheetView>
    <customSheetView guid="{2A5E79E4-584C-4F65-A220-87928CEA02AF}" showPageBreaks="1" showGridLines="0" printArea="1">
      <selection activeCell="C9" sqref="C9:D11"/>
      <pageMargins left="0.56999999999999995" right="0" top="0" bottom="0" header="0" footer="0"/>
      <printOptions horizontalCentered="1" verticalCentered="1"/>
      <pageSetup paperSize="9" orientation="portrait" r:id="rId7"/>
      <headerFooter alignWithMargins="0"/>
    </customSheetView>
    <customSheetView guid="{66872EF1-41BD-4D4B-B603-B8B0D03DAD22}" showPageBreaks="1" showGridLines="0" printArea="1">
      <selection activeCell="D14" sqref="D14"/>
      <pageMargins left="0.56999999999999995" right="0" top="0" bottom="0" header="0" footer="0"/>
      <printOptions horizontalCentered="1" verticalCentered="1"/>
      <pageSetup paperSize="9" orientation="portrait" r:id="rId8"/>
      <headerFooter alignWithMargins="0"/>
    </customSheetView>
    <customSheetView guid="{ACE56013-11B3-4BF4-BD0B-BF59142DAC13}" showPageBreaks="1" showGridLines="0" printArea="1">
      <selection activeCell="D14" sqref="D14"/>
      <pageMargins left="0.56999999999999995" right="0" top="0" bottom="0" header="0" footer="0"/>
      <printOptions horizontalCentered="1" verticalCentered="1"/>
      <pageSetup paperSize="9" orientation="portrait" r:id="rId9"/>
      <headerFooter alignWithMargins="0"/>
    </customSheetView>
  </customSheetViews>
  <mergeCells count="30">
    <mergeCell ref="E26:F26"/>
    <mergeCell ref="B50:D50"/>
    <mergeCell ref="C30:D30"/>
    <mergeCell ref="B37:D37"/>
    <mergeCell ref="B9:B13"/>
    <mergeCell ref="C9:D11"/>
    <mergeCell ref="C12:D12"/>
    <mergeCell ref="B36:D36"/>
    <mergeCell ref="B43:D43"/>
    <mergeCell ref="B40:D40"/>
    <mergeCell ref="B39:D39"/>
    <mergeCell ref="B38:D38"/>
    <mergeCell ref="C31:D31"/>
    <mergeCell ref="B27:D28"/>
    <mergeCell ref="A51:E51"/>
    <mergeCell ref="B46:D46"/>
    <mergeCell ref="A1:G1"/>
    <mergeCell ref="B4:D5"/>
    <mergeCell ref="E4:F4"/>
    <mergeCell ref="E5:F5"/>
    <mergeCell ref="C29:D29"/>
    <mergeCell ref="E22:F22"/>
    <mergeCell ref="E23:F23"/>
    <mergeCell ref="B22:D24"/>
    <mergeCell ref="C2:G2"/>
    <mergeCell ref="C8:D8"/>
    <mergeCell ref="E8:F8"/>
    <mergeCell ref="E27:F28"/>
    <mergeCell ref="E9:F11"/>
    <mergeCell ref="E12:F12"/>
  </mergeCells>
  <printOptions horizontalCentered="1" verticalCentered="1"/>
  <pageMargins left="0.56999999999999995" right="0" top="0" bottom="0" header="0" footer="0"/>
  <pageSetup paperSize="9" orientation="portrait" r:id="rId10"/>
  <headerFooter alignWithMargins="0"/>
  <drawing r:id="rId11"/>
  <legacyDrawing r:id="rId1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77"/>
  <sheetViews>
    <sheetView showGridLines="0" view="pageBreakPreview" topLeftCell="A45" zoomScaleNormal="100" zoomScaleSheetLayoutView="100" workbookViewId="0">
      <selection activeCell="E76" sqref="E76"/>
    </sheetView>
  </sheetViews>
  <sheetFormatPr defaultColWidth="8.85546875" defaultRowHeight="12.75"/>
  <cols>
    <col min="1" max="1" width="6" style="122" customWidth="1"/>
    <col min="2" max="2" width="32.28515625" style="122" customWidth="1"/>
    <col min="3" max="3" width="11.7109375" style="122" customWidth="1"/>
    <col min="4" max="4" width="21.85546875" style="122" customWidth="1"/>
    <col min="5" max="5" width="12.28515625" style="123" customWidth="1"/>
    <col min="6" max="6" width="11.7109375" style="123" customWidth="1"/>
    <col min="7" max="7" width="5" style="123" customWidth="1"/>
    <col min="8" max="16384" width="8.85546875" style="123"/>
  </cols>
  <sheetData>
    <row r="1" spans="1:7" s="140" customFormat="1" ht="34.5" customHeight="1">
      <c r="A1" s="5704" t="s">
        <v>1407</v>
      </c>
      <c r="B1" s="5704"/>
      <c r="C1" s="5704"/>
      <c r="D1" s="5704"/>
      <c r="E1" s="5704"/>
      <c r="F1" s="2129"/>
      <c r="G1" s="2129"/>
    </row>
    <row r="2" spans="1:7" s="140" customFormat="1" ht="2.25" customHeight="1" thickBot="1">
      <c r="A2" s="1145"/>
      <c r="B2" s="1145"/>
      <c r="C2" s="1145"/>
      <c r="D2" s="1145"/>
      <c r="E2" s="1145"/>
      <c r="F2" s="1145"/>
      <c r="G2" s="1145"/>
    </row>
    <row r="3" spans="1:7" ht="16.5" customHeight="1">
      <c r="A3" s="2619">
        <v>18.100000000000001</v>
      </c>
      <c r="B3" s="4613" t="s">
        <v>1492</v>
      </c>
      <c r="C3" s="4613"/>
      <c r="D3" s="4613"/>
      <c r="E3" s="2130" t="s">
        <v>1037</v>
      </c>
      <c r="F3" s="5722"/>
      <c r="G3" s="563"/>
    </row>
    <row r="4" spans="1:7" ht="12.75" customHeight="1" thickBot="1">
      <c r="A4" s="629"/>
      <c r="B4" s="4613"/>
      <c r="C4" s="4613"/>
      <c r="D4" s="4613"/>
      <c r="E4" s="2128" t="s">
        <v>1590</v>
      </c>
      <c r="F4" s="5723"/>
      <c r="G4" s="563"/>
    </row>
    <row r="5" spans="1:7" ht="4.5" customHeight="1">
      <c r="A5" s="629"/>
      <c r="B5" s="4613"/>
      <c r="C5" s="4613"/>
      <c r="D5" s="4613"/>
      <c r="E5" s="652"/>
      <c r="F5" s="557"/>
      <c r="G5" s="563"/>
    </row>
    <row r="6" spans="1:7" ht="13.5" customHeight="1" thickBot="1">
      <c r="A6" s="2619">
        <v>18.11</v>
      </c>
      <c r="B6" s="5721" t="s">
        <v>1901</v>
      </c>
      <c r="C6" s="5721"/>
      <c r="D6" s="5721"/>
      <c r="F6" s="2620" t="s">
        <v>219</v>
      </c>
      <c r="G6" s="563"/>
    </row>
    <row r="7" spans="1:7" ht="13.5" customHeight="1">
      <c r="A7" s="629"/>
      <c r="B7" s="5721"/>
      <c r="C7" s="5721"/>
      <c r="D7" s="5721"/>
      <c r="E7" s="1194"/>
      <c r="F7" s="2765"/>
      <c r="G7" s="563"/>
    </row>
    <row r="8" spans="1:7" ht="13.5" customHeight="1" thickBot="1">
      <c r="A8" s="629"/>
      <c r="B8" s="5721"/>
      <c r="C8" s="5721"/>
      <c r="D8" s="5721"/>
      <c r="E8" s="2766"/>
      <c r="F8" s="2767"/>
      <c r="G8" s="563"/>
    </row>
    <row r="9" spans="1:7" ht="7.5" customHeight="1">
      <c r="A9" s="629"/>
      <c r="B9" s="5721"/>
      <c r="C9" s="5721"/>
      <c r="D9" s="5721"/>
      <c r="E9" s="652"/>
      <c r="F9" s="557"/>
      <c r="G9" s="563"/>
    </row>
    <row r="10" spans="1:7" ht="4.5" customHeight="1" thickBot="1">
      <c r="A10" s="629"/>
      <c r="B10" s="5721"/>
      <c r="C10" s="5721"/>
      <c r="D10" s="5721"/>
      <c r="E10" s="652"/>
      <c r="F10" s="557"/>
      <c r="G10" s="563"/>
    </row>
    <row r="11" spans="1:7" ht="13.5" customHeight="1" thickBot="1">
      <c r="A11" s="1464">
        <v>18.12</v>
      </c>
      <c r="B11" s="5697" t="s">
        <v>1591</v>
      </c>
      <c r="C11" s="5697"/>
      <c r="D11" s="5697"/>
      <c r="E11" s="2850" t="s">
        <v>1037</v>
      </c>
      <c r="F11" s="2770"/>
      <c r="G11" s="563"/>
    </row>
    <row r="12" spans="1:7" ht="13.5" customHeight="1" thickBot="1">
      <c r="A12" s="629"/>
      <c r="B12" s="5697"/>
      <c r="C12" s="5697"/>
      <c r="D12" s="5697"/>
      <c r="E12" s="2851" t="s">
        <v>1657</v>
      </c>
      <c r="F12" s="2771"/>
      <c r="G12" s="563"/>
    </row>
    <row r="13" spans="1:7" ht="9" customHeight="1" thickBot="1">
      <c r="A13" s="123"/>
      <c r="B13" s="2570"/>
      <c r="C13" s="2570"/>
      <c r="D13" s="2570"/>
      <c r="E13" s="652"/>
      <c r="F13" s="557"/>
      <c r="G13" s="563"/>
    </row>
    <row r="14" spans="1:7" s="1463" customFormat="1" ht="14.25" customHeight="1" thickBot="1">
      <c r="A14" s="1464"/>
      <c r="B14" s="5701">
        <v>18.13</v>
      </c>
      <c r="C14" s="5702"/>
      <c r="D14" s="5703"/>
      <c r="E14" s="5719">
        <v>18.14</v>
      </c>
      <c r="F14" s="5720"/>
    </row>
    <row r="15" spans="1:7" ht="12.75" customHeight="1">
      <c r="A15" s="1189"/>
      <c r="B15" s="5710" t="s">
        <v>812</v>
      </c>
      <c r="C15" s="5711"/>
      <c r="D15" s="5712"/>
      <c r="E15" s="5713" t="s">
        <v>219</v>
      </c>
      <c r="F15" s="5714"/>
    </row>
    <row r="16" spans="1:7" ht="12.75" customHeight="1">
      <c r="A16" s="663"/>
      <c r="B16" s="5691"/>
      <c r="C16" s="5692"/>
      <c r="D16" s="5693"/>
      <c r="E16" s="5715"/>
      <c r="F16" s="5716"/>
    </row>
    <row r="17" spans="1:7" ht="15.75" customHeight="1" thickBot="1">
      <c r="A17" s="1190"/>
      <c r="B17" s="5694"/>
      <c r="C17" s="5695"/>
      <c r="D17" s="5696"/>
      <c r="E17" s="5717"/>
      <c r="F17" s="5718"/>
    </row>
    <row r="18" spans="1:7" ht="15" customHeight="1">
      <c r="A18" s="634">
        <v>741</v>
      </c>
      <c r="B18" s="5705" t="s">
        <v>565</v>
      </c>
      <c r="C18" s="5706"/>
      <c r="D18" s="5707"/>
      <c r="E18" s="5708"/>
      <c r="F18" s="5709"/>
    </row>
    <row r="19" spans="1:7" ht="15" customHeight="1">
      <c r="A19" s="635">
        <v>742</v>
      </c>
      <c r="B19" s="656" t="s">
        <v>566</v>
      </c>
      <c r="C19" s="5677"/>
      <c r="D19" s="5678"/>
      <c r="E19" s="568"/>
      <c r="F19" s="654"/>
    </row>
    <row r="20" spans="1:7" ht="15" customHeight="1">
      <c r="A20" s="635">
        <v>743</v>
      </c>
      <c r="B20" s="5673" t="s">
        <v>614</v>
      </c>
      <c r="C20" s="5674"/>
      <c r="D20" s="5675"/>
      <c r="E20" s="568"/>
      <c r="F20" s="654"/>
    </row>
    <row r="21" spans="1:7" ht="15" customHeight="1">
      <c r="A21" s="635">
        <v>744</v>
      </c>
      <c r="B21" s="656" t="s">
        <v>567</v>
      </c>
      <c r="C21" s="5677"/>
      <c r="D21" s="5678"/>
      <c r="E21" s="568"/>
      <c r="F21" s="654"/>
    </row>
    <row r="22" spans="1:7" ht="15" customHeight="1">
      <c r="A22" s="635">
        <v>745</v>
      </c>
      <c r="B22" s="656" t="s">
        <v>1452</v>
      </c>
      <c r="C22" s="624"/>
      <c r="D22" s="657"/>
      <c r="E22" s="568"/>
      <c r="F22" s="654"/>
    </row>
    <row r="23" spans="1:7" ht="15" customHeight="1">
      <c r="A23" s="635">
        <v>746</v>
      </c>
      <c r="B23" s="656" t="s">
        <v>568</v>
      </c>
      <c r="C23" s="624"/>
      <c r="D23" s="657"/>
      <c r="E23" s="568"/>
      <c r="F23" s="654"/>
    </row>
    <row r="24" spans="1:7" ht="15" customHeight="1">
      <c r="A24" s="635">
        <v>747</v>
      </c>
      <c r="B24" s="656" t="s">
        <v>584</v>
      </c>
      <c r="C24" s="624"/>
      <c r="D24" s="657"/>
      <c r="E24" s="568"/>
      <c r="F24" s="654"/>
    </row>
    <row r="25" spans="1:7" ht="24.75" customHeight="1" thickBot="1">
      <c r="A25" s="636">
        <v>748</v>
      </c>
      <c r="B25" s="5698" t="s">
        <v>569</v>
      </c>
      <c r="C25" s="5699"/>
      <c r="D25" s="5700"/>
      <c r="E25" s="572"/>
      <c r="F25" s="653"/>
    </row>
    <row r="26" spans="1:7" ht="13.5" thickBot="1">
      <c r="A26" s="1191">
        <v>749</v>
      </c>
      <c r="B26" s="5688" t="s">
        <v>570</v>
      </c>
      <c r="C26" s="5689"/>
      <c r="D26" s="5690"/>
      <c r="E26" s="660"/>
      <c r="F26" s="661"/>
    </row>
    <row r="27" spans="1:7" s="109" customFormat="1" ht="9" customHeight="1" thickBot="1">
      <c r="A27" s="111"/>
      <c r="B27" s="112"/>
      <c r="C27" s="112"/>
      <c r="D27" s="112"/>
      <c r="E27" s="113"/>
      <c r="F27" s="113"/>
    </row>
    <row r="28" spans="1:7" s="93" customFormat="1" ht="15.75" customHeight="1">
      <c r="A28" s="1462">
        <v>18.149999999999999</v>
      </c>
      <c r="B28" s="5608" t="s">
        <v>1592</v>
      </c>
      <c r="C28" s="5608"/>
      <c r="D28" s="5608"/>
      <c r="E28" s="2128" t="s">
        <v>1037</v>
      </c>
      <c r="F28" s="2131"/>
      <c r="G28" s="563"/>
    </row>
    <row r="29" spans="1:7" s="93" customFormat="1" ht="11.25" customHeight="1" thickBot="1">
      <c r="A29" s="629"/>
      <c r="B29" s="5608"/>
      <c r="C29" s="5608"/>
      <c r="D29" s="5608"/>
      <c r="E29" s="2128" t="s">
        <v>1494</v>
      </c>
      <c r="F29" s="2132"/>
      <c r="G29" s="563"/>
    </row>
    <row r="30" spans="1:7" s="93" customFormat="1" ht="4.5" customHeight="1">
      <c r="A30" s="629"/>
      <c r="B30" s="651"/>
      <c r="C30" s="651"/>
      <c r="D30" s="651"/>
      <c r="E30" s="652"/>
      <c r="F30" s="652"/>
      <c r="G30" s="563"/>
    </row>
    <row r="31" spans="1:7" s="93" customFormat="1" ht="3.75" customHeight="1" thickBot="1">
      <c r="A31" s="629"/>
      <c r="B31" s="1146"/>
      <c r="C31" s="1146"/>
      <c r="D31" s="1146"/>
      <c r="E31" s="652"/>
      <c r="F31" s="652"/>
      <c r="G31" s="563"/>
    </row>
    <row r="32" spans="1:7" s="109" customFormat="1" ht="14.25" customHeight="1" thickBot="1">
      <c r="A32" s="1464">
        <v>18.16</v>
      </c>
      <c r="B32" s="5701">
        <v>18.170000000000002</v>
      </c>
      <c r="C32" s="5702"/>
      <c r="D32" s="5703"/>
      <c r="E32" s="5719">
        <v>18.18</v>
      </c>
      <c r="F32" s="5720"/>
    </row>
    <row r="33" spans="1:7" ht="12.75" customHeight="1">
      <c r="A33" s="1189"/>
      <c r="B33" s="5724" t="s">
        <v>842</v>
      </c>
      <c r="C33" s="5725"/>
      <c r="D33" s="5725"/>
      <c r="E33" s="1194"/>
      <c r="F33" s="1195"/>
    </row>
    <row r="34" spans="1:7" ht="12.75" customHeight="1" thickBot="1">
      <c r="A34" s="663"/>
      <c r="B34" s="5726"/>
      <c r="C34" s="5608"/>
      <c r="D34" s="5608"/>
      <c r="E34" s="5727" t="s">
        <v>219</v>
      </c>
      <c r="F34" s="5728"/>
    </row>
    <row r="35" spans="1:7" ht="15" customHeight="1">
      <c r="A35" s="634">
        <v>751</v>
      </c>
      <c r="B35" s="5705" t="s">
        <v>1642</v>
      </c>
      <c r="C35" s="5706"/>
      <c r="D35" s="5707"/>
      <c r="E35" s="5708"/>
      <c r="F35" s="5709"/>
    </row>
    <row r="36" spans="1:7" ht="15" customHeight="1">
      <c r="A36" s="635">
        <v>752</v>
      </c>
      <c r="B36" s="656" t="s">
        <v>566</v>
      </c>
      <c r="C36" s="5677"/>
      <c r="D36" s="5678"/>
      <c r="E36" s="568"/>
      <c r="F36" s="654"/>
    </row>
    <row r="37" spans="1:7" ht="15" customHeight="1">
      <c r="A37" s="635">
        <v>753</v>
      </c>
      <c r="B37" s="5673" t="s">
        <v>585</v>
      </c>
      <c r="C37" s="5674"/>
      <c r="D37" s="5675"/>
      <c r="E37" s="568"/>
      <c r="F37" s="654"/>
    </row>
    <row r="38" spans="1:7" ht="15" customHeight="1">
      <c r="A38" s="635">
        <v>754</v>
      </c>
      <c r="B38" s="656" t="s">
        <v>586</v>
      </c>
      <c r="C38" s="5677"/>
      <c r="D38" s="5678"/>
      <c r="E38" s="568"/>
      <c r="F38" s="654"/>
    </row>
    <row r="39" spans="1:7" ht="15" customHeight="1">
      <c r="A39" s="635">
        <v>755</v>
      </c>
      <c r="B39" s="656" t="s">
        <v>49</v>
      </c>
      <c r="C39" s="624"/>
      <c r="D39" s="657"/>
      <c r="E39" s="568"/>
      <c r="F39" s="654"/>
    </row>
    <row r="40" spans="1:7" ht="15" customHeight="1">
      <c r="A40" s="635">
        <v>756</v>
      </c>
      <c r="B40" s="656" t="s">
        <v>1453</v>
      </c>
      <c r="C40" s="624"/>
      <c r="D40" s="657"/>
      <c r="E40" s="568"/>
      <c r="F40" s="654"/>
    </row>
    <row r="41" spans="1:7" ht="15" customHeight="1">
      <c r="A41" s="635">
        <v>757</v>
      </c>
      <c r="B41" s="656" t="s">
        <v>1454</v>
      </c>
      <c r="C41" s="624"/>
      <c r="D41" s="657"/>
      <c r="E41" s="568"/>
      <c r="F41" s="654"/>
    </row>
    <row r="42" spans="1:7" ht="15" customHeight="1">
      <c r="A42" s="635">
        <v>758</v>
      </c>
      <c r="B42" s="5673" t="s">
        <v>1455</v>
      </c>
      <c r="C42" s="5674"/>
      <c r="D42" s="5675"/>
      <c r="E42" s="572"/>
      <c r="F42" s="653"/>
    </row>
    <row r="43" spans="1:7" ht="15" customHeight="1" thickBot="1">
      <c r="A43" s="636">
        <v>759</v>
      </c>
      <c r="B43" s="5698" t="s">
        <v>1456</v>
      </c>
      <c r="C43" s="5699"/>
      <c r="D43" s="5700"/>
      <c r="E43" s="572"/>
      <c r="F43" s="653"/>
    </row>
    <row r="44" spans="1:7" ht="13.5" thickBot="1">
      <c r="A44" s="1191">
        <v>769</v>
      </c>
      <c r="B44" s="5688" t="s">
        <v>587</v>
      </c>
      <c r="C44" s="5689"/>
      <c r="D44" s="5690"/>
      <c r="E44" s="660"/>
      <c r="F44" s="661"/>
    </row>
    <row r="45" spans="1:7" ht="6.75" customHeight="1" thickBot="1"/>
    <row r="46" spans="1:7" ht="12" customHeight="1">
      <c r="A46" s="1462">
        <v>18.190000000000001</v>
      </c>
      <c r="B46" s="5608" t="s">
        <v>1457</v>
      </c>
      <c r="C46" s="5608"/>
      <c r="D46" s="5608"/>
      <c r="E46" s="2130" t="s">
        <v>1037</v>
      </c>
      <c r="F46" s="2131"/>
      <c r="G46" s="563"/>
    </row>
    <row r="47" spans="1:7" ht="12" customHeight="1" thickBot="1">
      <c r="A47" s="629"/>
      <c r="B47" s="5608"/>
      <c r="C47" s="5608"/>
      <c r="D47" s="5608"/>
      <c r="E47" s="2768" t="s">
        <v>1358</v>
      </c>
      <c r="F47" s="2132"/>
      <c r="G47" s="563"/>
    </row>
    <row r="48" spans="1:7">
      <c r="A48" s="629"/>
      <c r="B48" s="1306"/>
      <c r="C48" s="1306"/>
      <c r="D48" s="1306"/>
      <c r="E48" s="2769" t="s">
        <v>1359</v>
      </c>
      <c r="F48" s="652"/>
      <c r="G48" s="563"/>
    </row>
    <row r="49" spans="1:7" ht="2.25" customHeight="1" thickBot="1">
      <c r="A49" s="629"/>
      <c r="B49" s="1306"/>
      <c r="C49" s="1306"/>
      <c r="D49" s="1306"/>
      <c r="E49" s="652"/>
      <c r="F49" s="652"/>
      <c r="G49" s="563"/>
    </row>
    <row r="50" spans="1:7" ht="12.75" customHeight="1" thickBot="1">
      <c r="A50" s="1464">
        <v>18.2</v>
      </c>
      <c r="B50" s="5701">
        <v>18.21</v>
      </c>
      <c r="C50" s="5702"/>
      <c r="D50" s="5703"/>
      <c r="E50" s="5719">
        <v>18.22</v>
      </c>
      <c r="F50" s="5720"/>
      <c r="G50" s="109"/>
    </row>
    <row r="51" spans="1:7">
      <c r="A51" s="1189"/>
      <c r="B51" s="5724" t="s">
        <v>843</v>
      </c>
      <c r="C51" s="5725"/>
      <c r="D51" s="5725"/>
      <c r="E51" s="1194"/>
      <c r="F51" s="1195"/>
    </row>
    <row r="52" spans="1:7" ht="13.5" thickBot="1">
      <c r="A52" s="663"/>
      <c r="B52" s="5726"/>
      <c r="C52" s="5608"/>
      <c r="D52" s="5608"/>
      <c r="E52" s="5727" t="s">
        <v>219</v>
      </c>
      <c r="F52" s="5728"/>
    </row>
    <row r="53" spans="1:7">
      <c r="A53" s="634">
        <v>771</v>
      </c>
      <c r="B53" s="5705" t="s">
        <v>844</v>
      </c>
      <c r="C53" s="5706"/>
      <c r="D53" s="5707"/>
      <c r="E53" s="5708"/>
      <c r="F53" s="5709"/>
    </row>
    <row r="54" spans="1:7">
      <c r="A54" s="655">
        <v>772</v>
      </c>
      <c r="B54" s="656" t="s">
        <v>1458</v>
      </c>
      <c r="C54" s="5677"/>
      <c r="D54" s="5678"/>
      <c r="E54" s="568"/>
      <c r="F54" s="1305"/>
    </row>
    <row r="55" spans="1:7" ht="13.5" thickBot="1">
      <c r="A55" s="655">
        <v>773</v>
      </c>
      <c r="B55" s="5673" t="s">
        <v>845</v>
      </c>
      <c r="C55" s="5674"/>
      <c r="D55" s="5675"/>
      <c r="E55" s="568"/>
      <c r="F55" s="1305"/>
    </row>
    <row r="56" spans="1:7" ht="13.5" thickBot="1">
      <c r="A56" s="1191">
        <v>779</v>
      </c>
      <c r="B56" s="5688" t="s">
        <v>846</v>
      </c>
      <c r="C56" s="5689"/>
      <c r="D56" s="5690"/>
      <c r="E56" s="660"/>
      <c r="F56" s="661"/>
    </row>
    <row r="60" spans="1:7" ht="15" customHeight="1"/>
    <row r="61" spans="1:7" ht="15" customHeight="1"/>
    <row r="62" spans="1:7" ht="12.75" customHeight="1">
      <c r="A62" s="123"/>
      <c r="B62" s="123"/>
      <c r="C62" s="123"/>
      <c r="D62" s="123"/>
    </row>
    <row r="63" spans="1:7">
      <c r="A63" s="123"/>
      <c r="B63" s="123"/>
      <c r="C63" s="123"/>
      <c r="D63" s="123"/>
    </row>
    <row r="64" spans="1:7">
      <c r="A64" s="123"/>
      <c r="B64" s="123"/>
      <c r="C64" s="123"/>
      <c r="D64" s="123"/>
    </row>
    <row r="65" spans="1:4">
      <c r="A65" s="123"/>
      <c r="B65" s="123"/>
      <c r="C65" s="123"/>
      <c r="D65" s="123"/>
    </row>
    <row r="66" spans="1:4" ht="15" customHeight="1">
      <c r="A66" s="123"/>
      <c r="B66" s="123"/>
      <c r="C66" s="123"/>
      <c r="D66" s="123"/>
    </row>
    <row r="67" spans="1:4">
      <c r="A67" s="123"/>
      <c r="B67" s="123"/>
      <c r="C67" s="123"/>
      <c r="D67" s="123"/>
    </row>
    <row r="68" spans="1:4">
      <c r="A68" s="123"/>
      <c r="B68" s="123"/>
      <c r="C68" s="123"/>
      <c r="D68" s="123"/>
    </row>
    <row r="69" spans="1:4">
      <c r="A69" s="123"/>
      <c r="B69" s="123"/>
      <c r="C69" s="123"/>
      <c r="D69" s="123"/>
    </row>
    <row r="70" spans="1:4">
      <c r="A70" s="123"/>
      <c r="B70" s="123"/>
      <c r="C70" s="123"/>
      <c r="D70" s="123"/>
    </row>
    <row r="71" spans="1:4">
      <c r="A71" s="123"/>
      <c r="B71" s="123"/>
      <c r="C71" s="123"/>
      <c r="D71" s="123"/>
    </row>
    <row r="72" spans="1:4">
      <c r="A72" s="123"/>
      <c r="B72" s="123"/>
      <c r="C72" s="123"/>
      <c r="D72" s="123"/>
    </row>
    <row r="73" spans="1:4">
      <c r="A73" s="123"/>
      <c r="B73" s="123"/>
      <c r="C73" s="123"/>
      <c r="D73" s="123"/>
    </row>
    <row r="74" spans="1:4">
      <c r="A74" s="123"/>
      <c r="B74" s="123"/>
      <c r="C74" s="123"/>
      <c r="D74" s="123"/>
    </row>
    <row r="75" spans="1:4">
      <c r="A75" s="123"/>
      <c r="B75" s="123"/>
      <c r="C75" s="123"/>
      <c r="D75" s="123"/>
    </row>
    <row r="76" spans="1:4">
      <c r="A76" s="123"/>
      <c r="B76" s="123"/>
      <c r="C76" s="123"/>
      <c r="D76" s="123"/>
    </row>
    <row r="77" spans="1:4">
      <c r="A77" s="123"/>
      <c r="B77" s="123"/>
      <c r="C77" s="123"/>
      <c r="D77" s="123"/>
    </row>
  </sheetData>
  <customSheetViews>
    <customSheetView guid="{BDF1A126-BD1D-4A5E-80B8-98941684E462}" showPageBreaks="1" showGridLines="0" printArea="1" view="pageBreakPreview">
      <selection activeCell="L17" sqref="L17"/>
      <pageMargins left="0.64" right="0" top="0.59" bottom="0" header="0" footer="0"/>
      <printOptions horizontalCentered="1" verticalCentered="1"/>
      <pageSetup paperSize="9" orientation="portrait" r:id="rId1"/>
      <headerFooter alignWithMargins="0"/>
    </customSheetView>
    <customSheetView guid="{04F0793E-5444-463D-A1D5-E52E08A4C249}" showPageBreaks="1" showGridLines="0" printArea="1" topLeftCell="A19">
      <selection activeCell="B46" sqref="B46:D46"/>
      <pageMargins left="0" right="0" top="0" bottom="0" header="0" footer="0"/>
      <printOptions horizontalCentered="1" verticalCentered="1"/>
      <pageSetup paperSize="9" orientation="portrait" horizontalDpi="300" verticalDpi="300" r:id="rId2"/>
      <headerFooter alignWithMargins="0"/>
    </customSheetView>
    <customSheetView guid="{925F74B5-C2F5-4E55-AFE4-045C56169B44}" showPageBreaks="1" showGridLines="0" printArea="1" topLeftCell="A19">
      <selection activeCell="B46" sqref="B46:D46"/>
      <pageMargins left="0" right="0" top="0" bottom="0" header="0" footer="0"/>
      <printOptions horizontalCentered="1" verticalCentered="1"/>
      <pageSetup paperSize="9" orientation="portrait" horizontalDpi="300" verticalDpi="300" r:id="rId3"/>
      <headerFooter alignWithMargins="0"/>
    </customSheetView>
    <customSheetView guid="{1FF58891-F32F-4F97-9812-E2D02F4497AA}" showPageBreaks="1" showGridLines="0" printArea="1" view="pageBreakPreview">
      <selection activeCell="B3" sqref="B3:D23"/>
      <pageMargins left="0.64" right="0" top="0.59" bottom="0" header="0" footer="0"/>
      <printOptions horizontalCentered="1" verticalCentered="1"/>
      <pageSetup paperSize="9" orientation="portrait" r:id="rId4"/>
      <headerFooter alignWithMargins="0"/>
    </customSheetView>
    <customSheetView guid="{2A6091F0-BAF4-46A2-BC20-0DE610E67601}" showPageBreaks="1" showGridLines="0" printArea="1" view="pageBreakPreview">
      <selection activeCell="L17" sqref="L17"/>
      <pageMargins left="0.64" right="0" top="0.59" bottom="0" header="0" footer="0"/>
      <printOptions horizontalCentered="1" verticalCentered="1"/>
      <pageSetup paperSize="9" orientation="portrait" r:id="rId5"/>
      <headerFooter alignWithMargins="0"/>
    </customSheetView>
    <customSheetView guid="{5111FDC7-EEAC-46C3-8033-47A3563F0C00}" showPageBreaks="1" showGridLines="0" printArea="1" view="pageBreakPreview">
      <selection activeCell="E11" sqref="E11:E12"/>
      <pageMargins left="0.64" right="0" top="0.59" bottom="0" header="0" footer="0"/>
      <printOptions horizontalCentered="1" verticalCentered="1"/>
      <pageSetup paperSize="9" orientation="portrait" r:id="rId6"/>
      <headerFooter alignWithMargins="0"/>
    </customSheetView>
    <customSheetView guid="{2A5E79E4-584C-4F65-A220-87928CEA02AF}" showPageBreaks="1" showGridLines="0" printArea="1" view="pageBreakPreview">
      <selection activeCell="E11" sqref="E11:E12"/>
      <pageMargins left="0.64" right="0" top="0.59" bottom="0" header="0" footer="0"/>
      <printOptions horizontalCentered="1" verticalCentered="1"/>
      <pageSetup paperSize="9" orientation="portrait" r:id="rId7"/>
      <headerFooter alignWithMargins="0"/>
    </customSheetView>
    <customSheetView guid="{66872EF1-41BD-4D4B-B603-B8B0D03DAD22}" showPageBreaks="1" showGridLines="0" printArea="1" view="pageBreakPreview">
      <selection activeCell="E11" sqref="E11:E12"/>
      <pageMargins left="0.64" right="0" top="0.59" bottom="0" header="0" footer="0"/>
      <printOptions horizontalCentered="1" verticalCentered="1"/>
      <pageSetup paperSize="9" orientation="portrait" r:id="rId8"/>
      <headerFooter alignWithMargins="0"/>
    </customSheetView>
    <customSheetView guid="{ACE56013-11B3-4BF4-BD0B-BF59142DAC13}" showPageBreaks="1" showGridLines="0" printArea="1" view="pageBreakPreview">
      <selection activeCell="E11" sqref="E11:E12"/>
      <pageMargins left="0.64" right="0" top="0.59" bottom="0" header="0" footer="0"/>
      <printOptions horizontalCentered="1" verticalCentered="1"/>
      <pageSetup paperSize="9" orientation="portrait" r:id="rId9"/>
      <headerFooter alignWithMargins="0"/>
    </customSheetView>
  </customSheetViews>
  <mergeCells count="39">
    <mergeCell ref="B56:D56"/>
    <mergeCell ref="B46:D47"/>
    <mergeCell ref="B50:D50"/>
    <mergeCell ref="E50:F50"/>
    <mergeCell ref="B51:D52"/>
    <mergeCell ref="B53:D53"/>
    <mergeCell ref="E53:F53"/>
    <mergeCell ref="C54:D54"/>
    <mergeCell ref="B55:D55"/>
    <mergeCell ref="E52:F52"/>
    <mergeCell ref="E32:F32"/>
    <mergeCell ref="B35:D35"/>
    <mergeCell ref="E35:F35"/>
    <mergeCell ref="B33:D34"/>
    <mergeCell ref="E34:F34"/>
    <mergeCell ref="A1:E1"/>
    <mergeCell ref="B28:D29"/>
    <mergeCell ref="B18:D18"/>
    <mergeCell ref="E18:F18"/>
    <mergeCell ref="C19:D19"/>
    <mergeCell ref="B20:D20"/>
    <mergeCell ref="C21:D21"/>
    <mergeCell ref="B25:D25"/>
    <mergeCell ref="B26:D26"/>
    <mergeCell ref="B15:D17"/>
    <mergeCell ref="E15:F17"/>
    <mergeCell ref="B14:D14"/>
    <mergeCell ref="E14:F14"/>
    <mergeCell ref="B3:D5"/>
    <mergeCell ref="B6:D10"/>
    <mergeCell ref="F3:F4"/>
    <mergeCell ref="B44:D44"/>
    <mergeCell ref="B42:D42"/>
    <mergeCell ref="B11:D12"/>
    <mergeCell ref="C36:D36"/>
    <mergeCell ref="B37:D37"/>
    <mergeCell ref="C38:D38"/>
    <mergeCell ref="B43:D43"/>
    <mergeCell ref="B32:D32"/>
  </mergeCells>
  <printOptions horizontalCentered="1" verticalCentered="1"/>
  <pageMargins left="0.64" right="0" top="0.59" bottom="0" header="0" footer="0"/>
  <pageSetup paperSize="9" orientation="portrait" r:id="rId10"/>
  <headerFooter alignWithMargins="0"/>
  <drawing r:id="rId11"/>
  <legacyDrawing r:id="rId1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79"/>
  <sheetViews>
    <sheetView showGridLines="0" topLeftCell="A39" zoomScaleSheetLayoutView="100" workbookViewId="0">
      <selection activeCell="I66" sqref="I66"/>
    </sheetView>
  </sheetViews>
  <sheetFormatPr defaultColWidth="8.85546875" defaultRowHeight="12.75"/>
  <cols>
    <col min="1" max="1" width="4.85546875" style="122" customWidth="1"/>
    <col min="2" max="2" width="60.5703125" style="122" customWidth="1"/>
    <col min="3" max="3" width="8.7109375" style="122" customWidth="1"/>
    <col min="4" max="4" width="8.140625" style="122" customWidth="1"/>
    <col min="5" max="5" width="11.140625" style="122" customWidth="1"/>
    <col min="6" max="8" width="8.85546875" style="123"/>
    <col min="9" max="9" width="9.140625" style="123" customWidth="1"/>
    <col min="10" max="16384" width="8.85546875" style="123"/>
  </cols>
  <sheetData>
    <row r="1" spans="1:7" s="140" customFormat="1" ht="36.75" customHeight="1">
      <c r="A1" s="5638" t="s">
        <v>1348</v>
      </c>
      <c r="B1" s="5638"/>
      <c r="C1" s="5638"/>
      <c r="D1" s="5638"/>
      <c r="E1" s="5638"/>
    </row>
    <row r="2" spans="1:7" s="109" customFormat="1" ht="3.75" customHeight="1">
      <c r="A2" s="110"/>
      <c r="B2" s="111"/>
      <c r="C2" s="112"/>
      <c r="D2" s="112"/>
      <c r="F2" s="113"/>
      <c r="G2" s="113"/>
    </row>
    <row r="3" spans="1:7" s="93" customFormat="1" ht="5.25" customHeight="1" thickBot="1">
      <c r="A3" s="509"/>
      <c r="B3" s="509"/>
      <c r="C3" s="91"/>
      <c r="D3" s="91"/>
      <c r="E3" s="92"/>
      <c r="F3" s="92"/>
      <c r="G3" s="92"/>
    </row>
    <row r="4" spans="1:7" s="142" customFormat="1" ht="12.75" customHeight="1" thickBot="1">
      <c r="A4" s="2096">
        <v>19.010000000000002</v>
      </c>
      <c r="B4" s="168">
        <v>19.02</v>
      </c>
      <c r="C4" s="5572">
        <v>19.03</v>
      </c>
      <c r="D4" s="5573"/>
      <c r="E4" s="2848">
        <v>19.04</v>
      </c>
      <c r="F4" s="141"/>
      <c r="G4" s="141"/>
    </row>
    <row r="5" spans="1:7" s="115" customFormat="1" ht="13.5" customHeight="1">
      <c r="A5" s="2137"/>
      <c r="B5" s="5733" t="s">
        <v>1658</v>
      </c>
      <c r="C5" s="5736" t="s">
        <v>1686</v>
      </c>
      <c r="D5" s="5737"/>
      <c r="E5" s="5730" t="s">
        <v>90</v>
      </c>
      <c r="F5" s="92"/>
      <c r="G5" s="92"/>
    </row>
    <row r="6" spans="1:7" s="115" customFormat="1" ht="13.5" customHeight="1">
      <c r="A6" s="2135"/>
      <c r="B6" s="5734"/>
      <c r="C6" s="5738"/>
      <c r="D6" s="5739"/>
      <c r="E6" s="5731"/>
      <c r="F6" s="92"/>
      <c r="G6" s="92"/>
    </row>
    <row r="7" spans="1:7" s="115" customFormat="1" ht="36.75" customHeight="1">
      <c r="A7" s="2135" t="s">
        <v>71</v>
      </c>
      <c r="B7" s="5734"/>
      <c r="C7" s="5738"/>
      <c r="D7" s="5739"/>
      <c r="E7" s="5731"/>
      <c r="F7" s="92"/>
      <c r="G7" s="92"/>
    </row>
    <row r="8" spans="1:7" s="115" customFormat="1" ht="12" customHeight="1">
      <c r="A8" s="2135"/>
      <c r="B8" s="5735"/>
      <c r="C8" s="5738"/>
      <c r="D8" s="5739"/>
      <c r="E8" s="5731"/>
      <c r="F8" s="92"/>
      <c r="G8" s="92"/>
    </row>
    <row r="9" spans="1:7" s="120" customFormat="1" ht="13.5" customHeight="1">
      <c r="A9" s="2135"/>
      <c r="B9" s="2138"/>
      <c r="C9" s="2140" t="s">
        <v>862</v>
      </c>
      <c r="D9" s="2133">
        <v>1</v>
      </c>
      <c r="E9" s="2147"/>
      <c r="F9" s="92"/>
      <c r="G9" s="92"/>
    </row>
    <row r="10" spans="1:7" s="120" customFormat="1" ht="13.5" customHeight="1">
      <c r="A10" s="2135"/>
      <c r="B10" s="2139"/>
      <c r="C10" s="2141" t="s">
        <v>863</v>
      </c>
      <c r="D10" s="116">
        <v>2</v>
      </c>
      <c r="E10" s="2148"/>
      <c r="F10" s="92"/>
      <c r="G10" s="92"/>
    </row>
    <row r="11" spans="1:7" s="120" customFormat="1" ht="13.5" customHeight="1">
      <c r="A11" s="2135"/>
      <c r="B11" s="2139"/>
      <c r="C11" s="2142" t="s">
        <v>72</v>
      </c>
      <c r="D11" s="2134"/>
      <c r="E11" s="2148"/>
      <c r="F11" s="92"/>
      <c r="G11" s="92"/>
    </row>
    <row r="12" spans="1:7" s="120" customFormat="1" ht="13.5" customHeight="1">
      <c r="A12" s="2135"/>
      <c r="B12" s="2145" t="s">
        <v>73</v>
      </c>
      <c r="C12" s="2143"/>
      <c r="D12" s="2136"/>
      <c r="E12" s="2149" t="s">
        <v>496</v>
      </c>
      <c r="F12" s="92"/>
      <c r="G12" s="92"/>
    </row>
    <row r="13" spans="1:7" ht="13.5" customHeight="1">
      <c r="A13" s="2144"/>
      <c r="B13" s="5643" t="s">
        <v>636</v>
      </c>
      <c r="C13" s="5644"/>
      <c r="D13" s="5644"/>
      <c r="E13" s="5644"/>
    </row>
    <row r="14" spans="1:7" ht="15" customHeight="1">
      <c r="A14" s="124">
        <v>801</v>
      </c>
      <c r="B14" s="1466" t="s">
        <v>1854</v>
      </c>
      <c r="C14" s="1465"/>
      <c r="D14" s="155"/>
      <c r="E14" s="133"/>
    </row>
    <row r="15" spans="1:7" ht="15" customHeight="1">
      <c r="A15" s="124">
        <v>802</v>
      </c>
      <c r="B15" s="555" t="s">
        <v>607</v>
      </c>
      <c r="C15" s="1465"/>
      <c r="D15" s="155"/>
      <c r="E15" s="133"/>
    </row>
    <row r="16" spans="1:7" ht="15" customHeight="1">
      <c r="A16" s="124">
        <v>803</v>
      </c>
      <c r="B16" s="1466" t="s">
        <v>608</v>
      </c>
      <c r="C16" s="1465"/>
      <c r="D16" s="155"/>
      <c r="E16" s="133"/>
    </row>
    <row r="17" spans="1:6" ht="15" customHeight="1">
      <c r="A17" s="124">
        <v>804</v>
      </c>
      <c r="B17" s="555" t="s">
        <v>1338</v>
      </c>
      <c r="C17" s="1465"/>
      <c r="D17" s="155"/>
      <c r="E17" s="133"/>
    </row>
    <row r="18" spans="1:6" ht="15" customHeight="1">
      <c r="A18" s="124">
        <v>805</v>
      </c>
      <c r="B18" s="555" t="s">
        <v>633</v>
      </c>
      <c r="C18" s="1465"/>
      <c r="D18" s="155"/>
      <c r="E18" s="133"/>
    </row>
    <row r="19" spans="1:6" ht="15" customHeight="1">
      <c r="A19" s="124">
        <v>806</v>
      </c>
      <c r="B19" s="555" t="s">
        <v>640</v>
      </c>
      <c r="C19" s="1465"/>
      <c r="D19" s="155"/>
      <c r="E19" s="133"/>
    </row>
    <row r="20" spans="1:6" ht="15" customHeight="1">
      <c r="A20" s="124">
        <v>807</v>
      </c>
      <c r="B20" s="555" t="s">
        <v>634</v>
      </c>
      <c r="C20" s="1465"/>
      <c r="D20" s="155"/>
      <c r="E20" s="133"/>
    </row>
    <row r="21" spans="1:6" ht="15" customHeight="1">
      <c r="A21" s="124">
        <v>808</v>
      </c>
      <c r="B21" s="555" t="s">
        <v>609</v>
      </c>
      <c r="C21" s="1465"/>
      <c r="D21" s="155"/>
      <c r="E21" s="133"/>
    </row>
    <row r="22" spans="1:6" ht="15" customHeight="1">
      <c r="A22" s="124">
        <v>809</v>
      </c>
      <c r="B22" s="555" t="s">
        <v>635</v>
      </c>
      <c r="C22" s="1465"/>
      <c r="D22" s="155"/>
      <c r="E22" s="133"/>
    </row>
    <row r="23" spans="1:6" ht="15" customHeight="1">
      <c r="A23" s="124">
        <v>810</v>
      </c>
      <c r="B23" s="555" t="s">
        <v>631</v>
      </c>
      <c r="C23" s="1465"/>
      <c r="D23" s="155"/>
      <c r="E23" s="133"/>
    </row>
    <row r="24" spans="1:6" ht="15" customHeight="1">
      <c r="A24" s="124">
        <v>811</v>
      </c>
      <c r="B24" s="555" t="s">
        <v>632</v>
      </c>
      <c r="C24" s="1465"/>
      <c r="D24" s="155"/>
      <c r="E24" s="133"/>
    </row>
    <row r="25" spans="1:6" ht="28.5" customHeight="1">
      <c r="A25" s="124">
        <v>812</v>
      </c>
      <c r="B25" s="556" t="s">
        <v>637</v>
      </c>
      <c r="C25" s="1465"/>
      <c r="D25" s="155"/>
      <c r="E25" s="133"/>
    </row>
    <row r="26" spans="1:6" ht="25.5" customHeight="1">
      <c r="A26" s="124">
        <v>813</v>
      </c>
      <c r="B26" s="125" t="s">
        <v>1799</v>
      </c>
      <c r="C26" s="1465"/>
      <c r="D26" s="155"/>
      <c r="E26" s="133"/>
    </row>
    <row r="27" spans="1:6" ht="15" customHeight="1">
      <c r="A27" s="124">
        <v>814</v>
      </c>
      <c r="B27" s="555" t="s">
        <v>606</v>
      </c>
      <c r="C27" s="1465"/>
      <c r="D27" s="155"/>
      <c r="E27" s="133"/>
    </row>
    <row r="28" spans="1:6" ht="15" customHeight="1">
      <c r="A28" s="2873">
        <v>819</v>
      </c>
      <c r="B28" s="2867" t="s">
        <v>31</v>
      </c>
      <c r="C28" s="2868"/>
      <c r="D28" s="2869"/>
      <c r="E28" s="2146"/>
    </row>
    <row r="29" spans="1:6" ht="15" customHeight="1">
      <c r="A29" s="801"/>
      <c r="B29" s="5729" t="s">
        <v>638</v>
      </c>
      <c r="C29" s="5644"/>
      <c r="D29" s="5644"/>
      <c r="E29" s="5645"/>
    </row>
    <row r="30" spans="1:6" ht="27.75" customHeight="1">
      <c r="A30" s="124">
        <v>820</v>
      </c>
      <c r="B30" s="1466" t="s">
        <v>610</v>
      </c>
      <c r="C30" s="154"/>
      <c r="D30" s="155"/>
      <c r="E30" s="133"/>
    </row>
    <row r="31" spans="1:6" ht="15" customHeight="1">
      <c r="A31" s="801"/>
      <c r="B31" s="5732" t="s">
        <v>1337</v>
      </c>
      <c r="C31" s="5644"/>
      <c r="D31" s="5644"/>
      <c r="E31" s="5645"/>
    </row>
    <row r="32" spans="1:6" ht="15" customHeight="1">
      <c r="A32" s="124">
        <v>821</v>
      </c>
      <c r="B32" s="555" t="s">
        <v>1643</v>
      </c>
      <c r="C32" s="154"/>
      <c r="D32" s="155"/>
      <c r="E32" s="133"/>
      <c r="F32" s="2915" t="s">
        <v>1712</v>
      </c>
    </row>
    <row r="33" spans="1:5" ht="10.5" customHeight="1">
      <c r="A33" s="124">
        <v>822</v>
      </c>
      <c r="B33" s="555" t="s">
        <v>611</v>
      </c>
      <c r="C33" s="154"/>
      <c r="D33" s="155"/>
      <c r="E33" s="133"/>
    </row>
    <row r="34" spans="1:5" ht="37.5" customHeight="1">
      <c r="A34" s="124">
        <v>823</v>
      </c>
      <c r="B34" s="1466" t="s">
        <v>1459</v>
      </c>
      <c r="C34" s="154"/>
      <c r="D34" s="155"/>
      <c r="E34" s="133"/>
    </row>
    <row r="35" spans="1:5" ht="15" customHeight="1">
      <c r="A35" s="801"/>
      <c r="B35" s="5732" t="s">
        <v>639</v>
      </c>
      <c r="C35" s="5644"/>
      <c r="D35" s="5644"/>
      <c r="E35" s="5645"/>
    </row>
    <row r="36" spans="1:5" ht="15" customHeight="1">
      <c r="A36" s="124">
        <v>824</v>
      </c>
      <c r="B36" s="1466" t="s">
        <v>1620</v>
      </c>
      <c r="C36" s="154"/>
      <c r="D36" s="155"/>
      <c r="E36" s="133"/>
    </row>
    <row r="37" spans="1:5" ht="15" customHeight="1">
      <c r="A37" s="124">
        <v>825</v>
      </c>
      <c r="B37" s="1466" t="s">
        <v>1621</v>
      </c>
      <c r="C37" s="154"/>
      <c r="D37" s="155"/>
      <c r="E37" s="133"/>
    </row>
    <row r="38" spans="1:5" ht="15" customHeight="1">
      <c r="A38" s="124">
        <v>826</v>
      </c>
      <c r="B38" s="555" t="s">
        <v>1554</v>
      </c>
      <c r="C38" s="154"/>
      <c r="D38" s="155"/>
      <c r="E38" s="133"/>
    </row>
    <row r="39" spans="1:5" ht="15" customHeight="1">
      <c r="A39" s="124">
        <v>827</v>
      </c>
      <c r="B39" s="555" t="s">
        <v>1555</v>
      </c>
      <c r="C39" s="154"/>
      <c r="D39" s="155"/>
      <c r="E39" s="133"/>
    </row>
    <row r="40" spans="1:5" ht="15" customHeight="1">
      <c r="A40" s="124">
        <v>828</v>
      </c>
      <c r="B40" s="555" t="s">
        <v>625</v>
      </c>
      <c r="C40" s="154"/>
      <c r="D40" s="155"/>
      <c r="E40" s="133"/>
    </row>
    <row r="41" spans="1:5" ht="15" customHeight="1">
      <c r="A41" s="124">
        <v>829</v>
      </c>
      <c r="B41" s="555" t="s">
        <v>626</v>
      </c>
      <c r="C41" s="154"/>
      <c r="D41" s="155"/>
      <c r="E41" s="133"/>
    </row>
    <row r="42" spans="1:5" ht="15" customHeight="1">
      <c r="A42" s="124">
        <v>830</v>
      </c>
      <c r="B42" s="555" t="s">
        <v>627</v>
      </c>
      <c r="C42" s="154"/>
      <c r="D42" s="155"/>
      <c r="E42" s="133"/>
    </row>
    <row r="43" spans="1:5" ht="15" customHeight="1">
      <c r="A43" s="124">
        <v>831</v>
      </c>
      <c r="B43" s="555" t="s">
        <v>628</v>
      </c>
      <c r="C43" s="154"/>
      <c r="D43" s="155"/>
      <c r="E43" s="133"/>
    </row>
    <row r="44" spans="1:5" ht="13.5" customHeight="1">
      <c r="A44" s="2872">
        <v>832</v>
      </c>
      <c r="B44" s="2864" t="s">
        <v>31</v>
      </c>
      <c r="C44" s="2865"/>
      <c r="D44" s="2866"/>
      <c r="E44" s="803"/>
    </row>
    <row r="45" spans="1:5" ht="13.5" customHeight="1"/>
    <row r="46" spans="1:5" ht="13.5" customHeight="1"/>
    <row r="47" spans="1:5" ht="13.5" customHeight="1"/>
    <row r="48" spans="1:5"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sheetData>
  <customSheetViews>
    <customSheetView guid="{BDF1A126-BD1D-4A5E-80B8-98941684E462}" showPageBreaks="1" showGridLines="0" printArea="1" topLeftCell="A7">
      <selection activeCell="B17" sqref="B17"/>
      <pageMargins left="0.73" right="0" top="0.51" bottom="0" header="0" footer="0"/>
      <printOptions horizontalCentered="1" verticalCentered="1"/>
      <pageSetup paperSize="9" orientation="portrait" r:id="rId1"/>
      <headerFooter alignWithMargins="0"/>
    </customSheetView>
    <customSheetView guid="{04F0793E-5444-463D-A1D5-E52E08A4C249}" showPageBreaks="1" showGridLines="0" printArea="1" topLeftCell="A28">
      <selection activeCell="K17" sqref="K17"/>
      <pageMargins left="0" right="0" top="0" bottom="0" header="0" footer="0"/>
      <printOptions horizontalCentered="1" verticalCentered="1"/>
      <pageSetup paperSize="9" orientation="portrait" horizontalDpi="300" verticalDpi="300" r:id="rId2"/>
      <headerFooter alignWithMargins="0"/>
    </customSheetView>
    <customSheetView guid="{925F74B5-C2F5-4E55-AFE4-045C56169B44}" showPageBreaks="1" showGridLines="0" printArea="1" topLeftCell="A28">
      <selection activeCell="K17" sqref="K17"/>
      <pageMargins left="0" right="0" top="0" bottom="0" header="0" footer="0"/>
      <printOptions horizontalCentered="1" verticalCentered="1"/>
      <pageSetup paperSize="9" orientation="portrait" horizontalDpi="300" verticalDpi="300" r:id="rId3"/>
      <headerFooter alignWithMargins="0"/>
    </customSheetView>
    <customSheetView guid="{1FF58891-F32F-4F97-9812-E2D02F4497AA}" showGridLines="0" topLeftCell="A25">
      <selection activeCell="B5" sqref="B5:E23"/>
      <pageMargins left="0.73" right="0" top="0.51" bottom="0" header="0" footer="0"/>
      <printOptions horizontalCentered="1" verticalCentered="1"/>
      <pageSetup paperSize="9" orientation="portrait" r:id="rId4"/>
      <headerFooter alignWithMargins="0"/>
    </customSheetView>
    <customSheetView guid="{2A6091F0-BAF4-46A2-BC20-0DE610E67601}" showPageBreaks="1" showGridLines="0" printArea="1" topLeftCell="A7">
      <selection activeCell="B17" sqref="B17"/>
      <pageMargins left="0.73" right="0" top="0.51" bottom="0" header="0" footer="0"/>
      <printOptions horizontalCentered="1" verticalCentered="1"/>
      <pageSetup paperSize="9" orientation="portrait" r:id="rId5"/>
      <headerFooter alignWithMargins="0"/>
    </customSheetView>
    <customSheetView guid="{5111FDC7-EEAC-46C3-8033-47A3563F0C00}" showPageBreaks="1" showGridLines="0" printArea="1" topLeftCell="A10">
      <selection activeCell="B30" sqref="B30"/>
      <pageMargins left="0.73" right="0" top="0.51" bottom="0" header="0" footer="0"/>
      <printOptions horizontalCentered="1" verticalCentered="1"/>
      <pageSetup paperSize="9" orientation="portrait" r:id="rId6"/>
      <headerFooter alignWithMargins="0"/>
    </customSheetView>
    <customSheetView guid="{2A5E79E4-584C-4F65-A220-87928CEA02AF}" showPageBreaks="1" showGridLines="0" printArea="1" topLeftCell="A10">
      <selection activeCell="B30" sqref="B30"/>
      <pageMargins left="0.73" right="0" top="0.51" bottom="0" header="0" footer="0"/>
      <printOptions horizontalCentered="1" verticalCentered="1"/>
      <pageSetup paperSize="9" orientation="portrait" r:id="rId7"/>
      <headerFooter alignWithMargins="0"/>
    </customSheetView>
    <customSheetView guid="{66872EF1-41BD-4D4B-B603-B8B0D03DAD22}" showPageBreaks="1" showGridLines="0" printArea="1" topLeftCell="A25">
      <selection activeCell="B15" sqref="B15"/>
      <pageMargins left="0.73" right="0" top="0.51" bottom="0" header="0" footer="0"/>
      <printOptions horizontalCentered="1" verticalCentered="1"/>
      <pageSetup paperSize="9" orientation="portrait" r:id="rId8"/>
      <headerFooter alignWithMargins="0"/>
    </customSheetView>
    <customSheetView guid="{ACE56013-11B3-4BF4-BD0B-BF59142DAC13}" showPageBreaks="1" showGridLines="0" printArea="1" topLeftCell="A18">
      <selection activeCell="B39" sqref="B39"/>
      <pageMargins left="0.73" right="0" top="0.51" bottom="0" header="0" footer="0"/>
      <printOptions horizontalCentered="1" verticalCentered="1"/>
      <pageSetup paperSize="9" orientation="portrait" r:id="rId9"/>
      <headerFooter alignWithMargins="0"/>
    </customSheetView>
  </customSheetViews>
  <mergeCells count="9">
    <mergeCell ref="B29:E29"/>
    <mergeCell ref="E5:E8"/>
    <mergeCell ref="B31:E31"/>
    <mergeCell ref="B35:E35"/>
    <mergeCell ref="A1:E1"/>
    <mergeCell ref="C4:D4"/>
    <mergeCell ref="B5:B8"/>
    <mergeCell ref="B13:E13"/>
    <mergeCell ref="C5:D8"/>
  </mergeCells>
  <printOptions horizontalCentered="1" verticalCentered="1"/>
  <pageMargins left="0.73" right="0" top="0.51" bottom="0" header="0" footer="0"/>
  <pageSetup paperSize="9" orientation="portrait" r:id="rId10"/>
  <headerFooter alignWithMargins="0"/>
  <drawing r:id="rId11"/>
  <legacyDrawing r:id="rId1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28"/>
  <sheetViews>
    <sheetView zoomScaleNormal="100" workbookViewId="0">
      <selection activeCell="M1" sqref="M1"/>
    </sheetView>
  </sheetViews>
  <sheetFormatPr defaultRowHeight="12.75"/>
  <cols>
    <col min="1" max="1" width="4.85546875" customWidth="1"/>
    <col min="4" max="4" width="40.5703125" customWidth="1"/>
    <col min="5" max="5" width="13.7109375" customWidth="1"/>
    <col min="6" max="6" width="5.140625" customWidth="1"/>
    <col min="7" max="7" width="4.28515625" customWidth="1"/>
  </cols>
  <sheetData>
    <row r="1" spans="1:9" s="79" customFormat="1" ht="16.5">
      <c r="A1" s="5771" t="s">
        <v>1361</v>
      </c>
      <c r="B1" s="5771"/>
      <c r="C1" s="5771"/>
      <c r="D1" s="5771"/>
      <c r="E1" s="5771"/>
      <c r="F1" s="5771"/>
      <c r="G1" s="5771"/>
    </row>
    <row r="2" spans="1:9" s="79" customFormat="1"/>
    <row r="3" spans="1:9" s="79" customFormat="1" ht="13.5" thickBot="1"/>
    <row r="4" spans="1:9" ht="16.5" customHeight="1">
      <c r="A4" s="1449">
        <v>20.010000000000002</v>
      </c>
      <c r="B4" s="4613" t="s">
        <v>835</v>
      </c>
      <c r="C4" s="4613"/>
      <c r="D4" s="4613"/>
      <c r="E4" s="2128" t="s">
        <v>1037</v>
      </c>
      <c r="F4" s="2150"/>
      <c r="G4" s="2151"/>
    </row>
    <row r="5" spans="1:9" ht="27.75" customHeight="1" thickBot="1">
      <c r="A5" s="1448"/>
      <c r="B5" s="4613"/>
      <c r="C5" s="4613"/>
      <c r="D5" s="4613"/>
      <c r="E5" s="2128" t="s">
        <v>1039</v>
      </c>
      <c r="F5" s="2152"/>
      <c r="G5" s="2153"/>
    </row>
    <row r="6" spans="1:9" s="79" customFormat="1" ht="25.5" customHeight="1" thickBot="1">
      <c r="A6" s="629"/>
      <c r="B6" s="1146"/>
      <c r="C6" s="1146"/>
      <c r="D6" s="1146"/>
      <c r="E6" s="652"/>
      <c r="F6" s="652"/>
      <c r="G6" s="563"/>
    </row>
    <row r="7" spans="1:9" s="79" customFormat="1" ht="18.75" customHeight="1" thickBot="1">
      <c r="A7" s="1196"/>
      <c r="B7" s="5776">
        <v>20.02</v>
      </c>
      <c r="C7" s="5777"/>
      <c r="D7" s="5778"/>
      <c r="E7" s="5776">
        <v>20.03</v>
      </c>
      <c r="F7" s="5778"/>
      <c r="G7" s="563"/>
    </row>
    <row r="8" spans="1:9">
      <c r="A8" s="1453"/>
      <c r="B8" s="5772" t="s">
        <v>1687</v>
      </c>
      <c r="C8" s="5773"/>
      <c r="D8" s="5773"/>
      <c r="E8" s="1455"/>
      <c r="F8" s="1195"/>
      <c r="G8" s="563"/>
    </row>
    <row r="9" spans="1:9" ht="20.25" customHeight="1" thickBot="1">
      <c r="A9" s="1454"/>
      <c r="B9" s="5774"/>
      <c r="C9" s="5775"/>
      <c r="D9" s="5775"/>
      <c r="E9" s="5779" t="s">
        <v>219</v>
      </c>
      <c r="F9" s="5780"/>
      <c r="G9" s="123"/>
    </row>
    <row r="10" spans="1:9" ht="18" customHeight="1">
      <c r="A10" s="1457">
        <v>1</v>
      </c>
      <c r="B10" s="5755" t="s">
        <v>1596</v>
      </c>
      <c r="C10" s="5756"/>
      <c r="D10" s="5757"/>
      <c r="E10" s="5748"/>
      <c r="F10" s="5749"/>
      <c r="G10" s="123"/>
    </row>
    <row r="11" spans="1:9" ht="17.25" customHeight="1">
      <c r="A11" s="1458">
        <v>2</v>
      </c>
      <c r="B11" s="5758" t="s">
        <v>629</v>
      </c>
      <c r="C11" s="5759"/>
      <c r="D11" s="5760"/>
      <c r="E11" s="804"/>
      <c r="F11" s="1305"/>
      <c r="G11" s="123"/>
      <c r="I11" s="2764"/>
    </row>
    <row r="12" spans="1:9" ht="17.25" customHeight="1" thickBot="1">
      <c r="A12" s="1458">
        <v>3</v>
      </c>
      <c r="B12" s="5761" t="s">
        <v>1460</v>
      </c>
      <c r="C12" s="5762"/>
      <c r="D12" s="5763"/>
      <c r="E12" s="1451"/>
      <c r="F12" s="1452"/>
      <c r="G12" s="123"/>
    </row>
    <row r="13" spans="1:9" ht="17.25" customHeight="1" thickBot="1">
      <c r="A13" s="1459">
        <v>4</v>
      </c>
      <c r="B13" s="2563" t="s">
        <v>18</v>
      </c>
      <c r="C13" s="1197"/>
      <c r="D13" s="1198"/>
      <c r="E13" s="805"/>
      <c r="F13" s="806"/>
      <c r="G13" s="123"/>
    </row>
    <row r="14" spans="1:9">
      <c r="A14" s="122"/>
      <c r="B14" s="122"/>
      <c r="C14" s="122"/>
      <c r="D14" s="122"/>
      <c r="E14" s="123"/>
      <c r="F14" s="123"/>
      <c r="G14" s="123"/>
    </row>
    <row r="15" spans="1:9" ht="13.5" thickBot="1"/>
    <row r="16" spans="1:9" ht="17.25" customHeight="1">
      <c r="A16" s="3548">
        <v>20.04</v>
      </c>
      <c r="B16" s="5608" t="s">
        <v>1688</v>
      </c>
      <c r="C16" s="5608"/>
      <c r="D16" s="5608"/>
      <c r="E16" s="2128" t="s">
        <v>57</v>
      </c>
      <c r="F16" s="2150"/>
      <c r="G16" s="2151"/>
    </row>
    <row r="17" spans="1:10" ht="13.5" customHeight="1">
      <c r="A17" s="629"/>
      <c r="B17" s="5608"/>
      <c r="C17" s="5608"/>
      <c r="D17" s="5608"/>
      <c r="E17" s="2156" t="s">
        <v>1360</v>
      </c>
      <c r="F17" s="2154"/>
      <c r="G17" s="2155"/>
      <c r="J17" s="2762"/>
    </row>
    <row r="18" spans="1:10" s="79" customFormat="1" ht="13.5" customHeight="1" thickBot="1">
      <c r="A18" s="629"/>
      <c r="B18" s="2097"/>
      <c r="C18" s="2097"/>
      <c r="D18" s="2097"/>
      <c r="E18" s="2157" t="s">
        <v>1472</v>
      </c>
      <c r="F18" s="2152"/>
      <c r="G18" s="2153"/>
    </row>
    <row r="19" spans="1:10" s="79" customFormat="1" ht="7.5" customHeight="1" thickBot="1">
      <c r="A19" s="629"/>
      <c r="B19" s="1146"/>
      <c r="C19" s="1146"/>
      <c r="D19" s="1146"/>
      <c r="E19" s="652"/>
      <c r="F19" s="652"/>
      <c r="G19" s="563"/>
    </row>
    <row r="20" spans="1:10" s="79" customFormat="1" ht="4.5" hidden="1" customHeight="1" thickBot="1">
      <c r="A20" s="629"/>
      <c r="B20" s="1146"/>
      <c r="C20" s="1146"/>
      <c r="D20" s="1146"/>
      <c r="E20" s="652"/>
      <c r="F20" s="652"/>
      <c r="G20" s="563"/>
    </row>
    <row r="21" spans="1:10" s="79" customFormat="1">
      <c r="A21" s="1450"/>
      <c r="B21" s="5768">
        <v>20.05</v>
      </c>
      <c r="C21" s="5768"/>
      <c r="D21" s="5767"/>
      <c r="E21" s="5766">
        <v>20.059999999999999</v>
      </c>
      <c r="F21" s="5767"/>
      <c r="G21" s="123"/>
    </row>
    <row r="22" spans="1:10" ht="30" customHeight="1" thickBot="1">
      <c r="A22" s="1456"/>
      <c r="B22" s="5769" t="s">
        <v>1689</v>
      </c>
      <c r="C22" s="5770"/>
      <c r="D22" s="5770"/>
      <c r="E22" s="5764" t="s">
        <v>219</v>
      </c>
      <c r="F22" s="5765"/>
      <c r="G22" s="123"/>
    </row>
    <row r="23" spans="1:10" ht="17.25" customHeight="1">
      <c r="A23" s="1457">
        <v>1</v>
      </c>
      <c r="B23" s="5750" t="s">
        <v>642</v>
      </c>
      <c r="C23" s="5751"/>
      <c r="D23" s="5752"/>
      <c r="E23" s="5753"/>
      <c r="F23" s="5754"/>
      <c r="G23" s="123"/>
    </row>
    <row r="24" spans="1:10" ht="17.25" customHeight="1">
      <c r="A24" s="1458">
        <v>2</v>
      </c>
      <c r="B24" s="5740" t="s">
        <v>641</v>
      </c>
      <c r="C24" s="5741"/>
      <c r="D24" s="5742"/>
      <c r="E24" s="5743"/>
      <c r="F24" s="5744"/>
      <c r="G24" s="123"/>
    </row>
    <row r="25" spans="1:10" ht="17.25" customHeight="1">
      <c r="A25" s="1458">
        <v>3</v>
      </c>
      <c r="B25" s="5740" t="s">
        <v>630</v>
      </c>
      <c r="C25" s="5741"/>
      <c r="D25" s="5742"/>
      <c r="E25" s="5743"/>
      <c r="F25" s="5744"/>
      <c r="G25" s="123"/>
    </row>
    <row r="26" spans="1:10" ht="17.25" customHeight="1">
      <c r="A26" s="1458">
        <v>4</v>
      </c>
      <c r="B26" s="5740" t="s">
        <v>643</v>
      </c>
      <c r="C26" s="5741"/>
      <c r="D26" s="5742"/>
      <c r="E26" s="5743"/>
      <c r="F26" s="5744"/>
      <c r="G26" s="123"/>
    </row>
    <row r="27" spans="1:10" ht="17.25" customHeight="1" thickBot="1">
      <c r="A27" s="1458">
        <v>5</v>
      </c>
      <c r="B27" s="5745" t="s">
        <v>644</v>
      </c>
      <c r="C27" s="5746"/>
      <c r="D27" s="5747"/>
      <c r="E27" s="5748"/>
      <c r="F27" s="5749"/>
      <c r="G27" s="123"/>
    </row>
    <row r="28" spans="1:10" ht="17.25" customHeight="1" thickBot="1">
      <c r="A28" s="1459">
        <v>6</v>
      </c>
      <c r="B28" s="2783" t="s">
        <v>18</v>
      </c>
      <c r="C28" s="1197"/>
      <c r="D28" s="1198"/>
      <c r="E28" s="1447"/>
      <c r="F28" s="806"/>
      <c r="G28" s="123"/>
    </row>
  </sheetData>
  <customSheetViews>
    <customSheetView guid="{BDF1A126-BD1D-4A5E-80B8-98941684E462}" showPageBreaks="1" printArea="1">
      <selection activeCell="B12" sqref="B12:D12"/>
      <pageMargins left="0.98" right="0.44" top="0.75" bottom="0.75" header="0.28000000000000003" footer="0.3"/>
      <pageSetup paperSize="9" orientation="portrait" r:id="rId1"/>
    </customSheetView>
    <customSheetView guid="{04F0793E-5444-463D-A1D5-E52E08A4C249}">
      <selection activeCell="B25" sqref="B25:D25"/>
      <pageMargins left="0.7" right="0.7" top="0.75" bottom="0.75" header="0.3" footer="0.3"/>
      <pageSetup orientation="portrait" r:id="rId2"/>
    </customSheetView>
    <customSheetView guid="{925F74B5-C2F5-4E55-AFE4-045C56169B44}">
      <selection activeCell="B25" sqref="B25:D25"/>
      <pageMargins left="0.7" right="0.7" top="0.75" bottom="0.75" header="0.3" footer="0.3"/>
      <pageSetup orientation="portrait" r:id="rId3"/>
    </customSheetView>
    <customSheetView guid="{1FF58891-F32F-4F97-9812-E2D02F4497AA}">
      <selection activeCell="B4" sqref="B4:D23"/>
      <pageMargins left="0.98" right="0.44" top="0.75" bottom="0.75" header="0.28000000000000003" footer="0.3"/>
      <pageSetup paperSize="9" orientation="portrait" r:id="rId4"/>
    </customSheetView>
    <customSheetView guid="{2A6091F0-BAF4-46A2-BC20-0DE610E67601}" showPageBreaks="1" printArea="1">
      <selection activeCell="B12" sqref="B12:D12"/>
      <pageMargins left="0.98" right="0.44" top="0.75" bottom="0.75" header="0.28000000000000003" footer="0.3"/>
      <pageSetup paperSize="9" orientation="portrait" r:id="rId5"/>
    </customSheetView>
    <customSheetView guid="{5111FDC7-EEAC-46C3-8033-47A3563F0C00}" showPageBreaks="1" printArea="1" hiddenRows="1">
      <selection activeCell="B22" sqref="B22:D22"/>
      <pageMargins left="0.98" right="0.44" top="0.75" bottom="0.75" header="0.28000000000000003" footer="0.3"/>
      <pageSetup paperSize="9" orientation="portrait" r:id="rId6"/>
    </customSheetView>
    <customSheetView guid="{2A5E79E4-584C-4F65-A220-87928CEA02AF}" showPageBreaks="1" printArea="1" hiddenRows="1">
      <selection activeCell="B22" sqref="B22:D22"/>
      <pageMargins left="0.98" right="0.44" top="0.75" bottom="0.75" header="0.28000000000000003" footer="0.3"/>
      <pageSetup paperSize="9" orientation="portrait" r:id="rId7"/>
    </customSheetView>
    <customSheetView guid="{66872EF1-41BD-4D4B-B603-B8B0D03DAD22}" showPageBreaks="1" printArea="1" hiddenRows="1">
      <selection activeCell="B22" sqref="B22:D22"/>
      <pageMargins left="0.98" right="0.44" top="0.75" bottom="0.75" header="0.28000000000000003" footer="0.3"/>
      <pageSetup paperSize="9" orientation="portrait" r:id="rId8"/>
    </customSheetView>
    <customSheetView guid="{ACE56013-11B3-4BF4-BD0B-BF59142DAC13}" showPageBreaks="1" printArea="1" hiddenRows="1">
      <selection activeCell="B22" sqref="B22:D22"/>
      <pageMargins left="0.98" right="0.44" top="0.75" bottom="0.75" header="0.28000000000000003" footer="0.3"/>
      <pageSetup paperSize="9" orientation="portrait" r:id="rId9"/>
    </customSheetView>
  </customSheetViews>
  <mergeCells count="25">
    <mergeCell ref="A1:G1"/>
    <mergeCell ref="B8:D9"/>
    <mergeCell ref="B4:D5"/>
    <mergeCell ref="B7:D7"/>
    <mergeCell ref="E7:F7"/>
    <mergeCell ref="E9:F9"/>
    <mergeCell ref="B10:D10"/>
    <mergeCell ref="E25:F25"/>
    <mergeCell ref="B11:D11"/>
    <mergeCell ref="B12:D12"/>
    <mergeCell ref="E10:F10"/>
    <mergeCell ref="B16:D17"/>
    <mergeCell ref="E22:F22"/>
    <mergeCell ref="E21:F21"/>
    <mergeCell ref="B21:D21"/>
    <mergeCell ref="B22:D22"/>
    <mergeCell ref="B26:D26"/>
    <mergeCell ref="E26:F26"/>
    <mergeCell ref="B27:D27"/>
    <mergeCell ref="E27:F27"/>
    <mergeCell ref="B23:D23"/>
    <mergeCell ref="E23:F23"/>
    <mergeCell ref="B24:D24"/>
    <mergeCell ref="B25:D25"/>
    <mergeCell ref="E24:F24"/>
  </mergeCells>
  <pageMargins left="0.98" right="0.44" top="0.75" bottom="0.75" header="0.28000000000000003" footer="0.3"/>
  <pageSetup paperSize="9" orientation="portrait" r:id="rId10"/>
  <drawing r:id="rId11"/>
  <legacyDrawing r:id="rId1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59"/>
  <sheetViews>
    <sheetView showGridLines="0" view="pageLayout" zoomScaleNormal="100" zoomScaleSheetLayoutView="100" workbookViewId="0">
      <selection activeCell="R22" sqref="R22"/>
    </sheetView>
  </sheetViews>
  <sheetFormatPr defaultColWidth="3.28515625" defaultRowHeight="11.25" customHeight="1"/>
  <cols>
    <col min="1" max="1" width="1.7109375" style="418" customWidth="1"/>
    <col min="2" max="2" width="8.7109375" style="623" customWidth="1"/>
    <col min="3" max="3" width="4.7109375" style="418" customWidth="1"/>
    <col min="4" max="4" width="7.42578125" style="418" customWidth="1"/>
    <col min="5" max="5" width="5.7109375" style="418" customWidth="1"/>
    <col min="6" max="6" width="12.7109375" style="418" customWidth="1"/>
    <col min="7" max="7" width="4.7109375" style="418" customWidth="1"/>
    <col min="8" max="9" width="6.140625" style="418" customWidth="1"/>
    <col min="10" max="10" width="6.7109375" style="418" customWidth="1"/>
    <col min="11" max="12" width="8.7109375" style="418" customWidth="1"/>
    <col min="13" max="13" width="12.7109375" style="418" customWidth="1"/>
    <col min="14" max="14" width="2.7109375" style="418" customWidth="1"/>
    <col min="15" max="16" width="8.7109375" style="418" customWidth="1"/>
    <col min="17" max="28" width="6.7109375" style="418" customWidth="1"/>
    <col min="29" max="16384" width="3.28515625" style="418"/>
  </cols>
  <sheetData>
    <row r="1" spans="1:18" s="283" customFormat="1" ht="20.100000000000001" customHeight="1">
      <c r="A1" s="574"/>
      <c r="B1" s="2089" t="s">
        <v>1412</v>
      </c>
    </row>
    <row r="2" spans="1:18" s="286" customFormat="1" ht="11.25" customHeight="1">
      <c r="A2" s="575"/>
      <c r="B2" s="576"/>
      <c r="C2" s="335"/>
      <c r="E2" s="335"/>
      <c r="F2" s="335"/>
    </row>
    <row r="3" spans="1:18" ht="12.75" customHeight="1" thickBot="1">
      <c r="A3" s="575"/>
      <c r="B3" s="283"/>
    </row>
    <row r="4" spans="1:18" s="579" customFormat="1" ht="11.25" customHeight="1">
      <c r="A4" s="577"/>
      <c r="B4" s="578"/>
      <c r="C4" s="5834">
        <v>21.01</v>
      </c>
      <c r="D4" s="5835"/>
      <c r="E4" s="5832">
        <f>+C4+0.01</f>
        <v>21.020000000000003</v>
      </c>
      <c r="F4" s="5836"/>
      <c r="G4" s="5835"/>
      <c r="H4" s="5832">
        <f>+E4+0.01</f>
        <v>21.030000000000005</v>
      </c>
      <c r="I4" s="5836"/>
      <c r="J4" s="5835"/>
      <c r="K4" s="5832">
        <f>+H4+0.01</f>
        <v>21.040000000000006</v>
      </c>
      <c r="L4" s="5836"/>
      <c r="M4" s="5832">
        <f>+K4+0.01</f>
        <v>21.050000000000008</v>
      </c>
      <c r="N4" s="5835"/>
      <c r="O4" s="5832">
        <f>+M4+0.01</f>
        <v>21.060000000000009</v>
      </c>
      <c r="P4" s="5833"/>
    </row>
    <row r="5" spans="1:18" ht="11.25" customHeight="1">
      <c r="A5" s="580"/>
      <c r="B5" s="5799" t="s">
        <v>1392</v>
      </c>
      <c r="C5" s="5802" t="s">
        <v>836</v>
      </c>
      <c r="D5" s="5803"/>
      <c r="E5" s="5806" t="s">
        <v>1393</v>
      </c>
      <c r="F5" s="5807"/>
      <c r="G5" s="5803"/>
      <c r="H5" s="2254" t="s">
        <v>837</v>
      </c>
      <c r="I5" s="2255"/>
      <c r="J5" s="2256"/>
      <c r="K5" s="5825" t="s">
        <v>838</v>
      </c>
      <c r="L5" s="5826"/>
      <c r="M5" s="5823" t="s">
        <v>1391</v>
      </c>
      <c r="N5" s="5824"/>
      <c r="O5" s="5825" t="s">
        <v>839</v>
      </c>
      <c r="P5" s="5828"/>
    </row>
    <row r="6" spans="1:18" ht="11.25" customHeight="1">
      <c r="A6" s="575"/>
      <c r="B6" s="5800"/>
      <c r="C6" s="5804"/>
      <c r="D6" s="5805"/>
      <c r="E6" s="5808"/>
      <c r="F6" s="5804"/>
      <c r="G6" s="5805"/>
      <c r="H6" s="1040"/>
      <c r="I6" s="2175"/>
      <c r="J6" s="1039"/>
      <c r="K6" s="5827"/>
      <c r="L6" s="4490"/>
      <c r="M6" s="4042"/>
      <c r="N6" s="4043"/>
      <c r="O6" s="5827"/>
      <c r="P6" s="5829"/>
    </row>
    <row r="7" spans="1:18" ht="11.25" customHeight="1">
      <c r="A7" s="575"/>
      <c r="B7" s="5800"/>
      <c r="C7" s="5804"/>
      <c r="D7" s="5805"/>
      <c r="E7" s="5808"/>
      <c r="F7" s="5804"/>
      <c r="G7" s="5805"/>
      <c r="H7" s="1040"/>
      <c r="I7" s="2175"/>
      <c r="J7" s="1039"/>
      <c r="K7" s="2257"/>
      <c r="L7" s="2258"/>
      <c r="M7" s="4042"/>
      <c r="N7" s="4043"/>
      <c r="O7" s="2257"/>
      <c r="P7" s="2259"/>
    </row>
    <row r="8" spans="1:18" ht="11.25" customHeight="1">
      <c r="A8" s="575"/>
      <c r="B8" s="5800"/>
      <c r="C8" s="5804"/>
      <c r="D8" s="5805"/>
      <c r="E8" s="5808"/>
      <c r="F8" s="5804"/>
      <c r="G8" s="5805"/>
      <c r="H8" s="1040"/>
      <c r="I8" s="2175"/>
      <c r="J8" s="1039"/>
      <c r="K8" s="2257"/>
      <c r="L8" s="2258"/>
      <c r="M8" s="4042"/>
      <c r="N8" s="4043"/>
      <c r="O8" s="2257"/>
      <c r="P8" s="2259"/>
      <c r="Q8" s="581"/>
      <c r="R8" s="582"/>
    </row>
    <row r="9" spans="1:18" ht="11.25" customHeight="1">
      <c r="A9" s="575"/>
      <c r="B9" s="5800"/>
      <c r="C9" s="5804"/>
      <c r="D9" s="5805"/>
      <c r="E9" s="2177"/>
      <c r="F9" s="2260"/>
      <c r="G9" s="2176"/>
      <c r="H9" s="1040"/>
      <c r="I9" s="2175"/>
      <c r="J9" s="1039"/>
      <c r="K9" s="2257"/>
      <c r="L9" s="2258"/>
      <c r="M9" s="4042"/>
      <c r="N9" s="4043"/>
      <c r="O9" s="2257"/>
      <c r="P9" s="2259"/>
      <c r="Q9" s="581"/>
      <c r="R9" s="582"/>
    </row>
    <row r="10" spans="1:18" ht="11.25" customHeight="1">
      <c r="A10" s="575"/>
      <c r="B10" s="5800"/>
      <c r="C10" s="2173"/>
      <c r="D10" s="2174"/>
      <c r="E10" s="2177"/>
      <c r="F10" s="2260"/>
      <c r="G10" s="2176"/>
      <c r="H10" s="1040"/>
      <c r="I10" s="2175"/>
      <c r="J10" s="1039"/>
      <c r="K10" s="2257"/>
      <c r="L10" s="2258"/>
      <c r="M10" s="4042"/>
      <c r="N10" s="4043"/>
      <c r="O10" s="2257"/>
      <c r="P10" s="2259"/>
      <c r="Q10" s="581"/>
      <c r="R10" s="582"/>
    </row>
    <row r="11" spans="1:18" ht="11.25" customHeight="1">
      <c r="A11" s="575"/>
      <c r="B11" s="5800"/>
      <c r="C11" s="2173"/>
      <c r="D11" s="2174"/>
      <c r="E11" s="2177"/>
      <c r="F11" s="2260"/>
      <c r="G11" s="2176"/>
      <c r="H11" s="1040"/>
      <c r="I11" s="2175"/>
      <c r="J11" s="1039"/>
      <c r="K11" s="2257"/>
      <c r="L11" s="2258"/>
      <c r="M11" s="4042"/>
      <c r="N11" s="4043"/>
      <c r="O11" s="2257"/>
      <c r="P11" s="2259"/>
      <c r="Q11" s="581"/>
      <c r="R11" s="582"/>
    </row>
    <row r="12" spans="1:18" ht="11.25" customHeight="1">
      <c r="A12" s="575"/>
      <c r="B12" s="5800"/>
      <c r="C12" s="2173"/>
      <c r="D12" s="2174"/>
      <c r="E12" s="2172"/>
      <c r="F12" s="2173"/>
      <c r="G12" s="2174"/>
      <c r="H12" s="1040"/>
      <c r="I12" s="2175"/>
      <c r="J12" s="1039"/>
      <c r="K12" s="2172"/>
      <c r="L12" s="2173"/>
      <c r="M12" s="4042"/>
      <c r="N12" s="4043"/>
      <c r="O12" s="2172"/>
      <c r="P12" s="2261"/>
      <c r="Q12" s="581"/>
      <c r="R12" s="582"/>
    </row>
    <row r="13" spans="1:18" ht="11.25" customHeight="1">
      <c r="A13" s="575"/>
      <c r="B13" s="5800"/>
      <c r="C13" s="2173"/>
      <c r="D13" s="2174"/>
      <c r="E13" s="2262" t="s">
        <v>1042</v>
      </c>
      <c r="F13" s="2263"/>
      <c r="G13" s="2264">
        <v>1</v>
      </c>
      <c r="H13" s="1040"/>
      <c r="I13" s="2175"/>
      <c r="J13" s="1039"/>
      <c r="K13" s="2172"/>
      <c r="L13" s="2173"/>
      <c r="M13" s="4042"/>
      <c r="N13" s="4043"/>
      <c r="O13" s="2172"/>
      <c r="P13" s="2261"/>
      <c r="Q13" s="581"/>
      <c r="R13" s="582"/>
    </row>
    <row r="14" spans="1:18" ht="11.25" customHeight="1">
      <c r="A14" s="575"/>
      <c r="B14" s="5800"/>
      <c r="C14" s="2173"/>
      <c r="D14" s="2174"/>
      <c r="E14" s="1489" t="s">
        <v>1043</v>
      </c>
      <c r="F14" s="1784"/>
      <c r="G14" s="2168">
        <v>2</v>
      </c>
      <c r="H14" s="1040"/>
      <c r="I14" s="2175"/>
      <c r="J14" s="1039"/>
      <c r="K14" s="2172"/>
      <c r="L14" s="2173"/>
      <c r="M14" s="2172"/>
      <c r="N14" s="2174"/>
      <c r="O14" s="2172"/>
      <c r="P14" s="2261"/>
      <c r="Q14" s="581"/>
      <c r="R14" s="582"/>
    </row>
    <row r="15" spans="1:18" ht="11.25" customHeight="1">
      <c r="A15" s="575"/>
      <c r="B15" s="5800"/>
      <c r="C15" s="2173"/>
      <c r="D15" s="2174"/>
      <c r="E15" s="5809" t="s">
        <v>1395</v>
      </c>
      <c r="F15" s="5810"/>
      <c r="G15" s="4472">
        <v>3</v>
      </c>
      <c r="H15" s="1040"/>
      <c r="I15" s="2175"/>
      <c r="J15" s="1039"/>
      <c r="K15" s="2172"/>
      <c r="L15" s="2173"/>
      <c r="M15" s="2172"/>
      <c r="N15" s="2174"/>
      <c r="O15" s="2172"/>
      <c r="P15" s="2261"/>
      <c r="Q15" s="581"/>
      <c r="R15" s="582"/>
    </row>
    <row r="16" spans="1:18" ht="11.25" customHeight="1">
      <c r="A16" s="575"/>
      <c r="B16" s="5800"/>
      <c r="C16" s="1775"/>
      <c r="D16" s="1775"/>
      <c r="E16" s="5811"/>
      <c r="F16" s="5812"/>
      <c r="G16" s="5830"/>
      <c r="H16" s="2025"/>
      <c r="I16" s="2265"/>
      <c r="J16" s="2266"/>
      <c r="K16" s="2025"/>
      <c r="L16" s="2265"/>
      <c r="M16" s="2267"/>
      <c r="N16" s="2268"/>
      <c r="O16" s="2025"/>
      <c r="P16" s="2269"/>
      <c r="Q16" s="581"/>
      <c r="R16" s="582"/>
    </row>
    <row r="17" spans="1:18" ht="11.25" customHeight="1">
      <c r="A17" s="575"/>
      <c r="B17" s="5800"/>
      <c r="C17" s="1685" t="s">
        <v>862</v>
      </c>
      <c r="D17" s="2270">
        <v>1</v>
      </c>
      <c r="E17" s="5813"/>
      <c r="F17" s="5814"/>
      <c r="G17" s="5831"/>
      <c r="H17" s="2025"/>
      <c r="I17" s="2265"/>
      <c r="J17" s="2266"/>
      <c r="K17" s="2025"/>
      <c r="L17" s="2265"/>
      <c r="M17" s="2271" t="s">
        <v>1040</v>
      </c>
      <c r="N17" s="2270">
        <v>1</v>
      </c>
      <c r="O17" s="2025"/>
      <c r="P17" s="2269"/>
      <c r="Q17" s="581"/>
      <c r="R17" s="582"/>
    </row>
    <row r="18" spans="1:18" ht="11.25" customHeight="1">
      <c r="A18" s="575"/>
      <c r="B18" s="5800"/>
      <c r="C18" s="2272" t="s">
        <v>12</v>
      </c>
      <c r="D18" s="2287">
        <v>21.03</v>
      </c>
      <c r="E18" s="1472"/>
      <c r="F18" s="1472"/>
      <c r="G18" s="1472"/>
      <c r="H18" s="2021"/>
      <c r="I18" s="2005"/>
      <c r="J18" s="2169"/>
      <c r="K18" s="1487"/>
      <c r="L18" s="2167"/>
      <c r="M18" s="2273" t="s">
        <v>1041</v>
      </c>
      <c r="N18" s="2274">
        <v>2</v>
      </c>
      <c r="O18" s="1487"/>
      <c r="P18" s="2275"/>
      <c r="Q18" s="581"/>
      <c r="R18" s="582"/>
    </row>
    <row r="19" spans="1:18" ht="11.25" customHeight="1">
      <c r="A19" s="575"/>
      <c r="B19" s="5800"/>
      <c r="C19" s="1472" t="s">
        <v>863</v>
      </c>
      <c r="D19" s="1859">
        <v>2</v>
      </c>
      <c r="E19" s="1490"/>
      <c r="F19" s="5815" t="s">
        <v>1394</v>
      </c>
      <c r="G19" s="1472"/>
      <c r="H19" s="1490"/>
      <c r="I19" s="1472"/>
      <c r="J19" s="1491"/>
      <c r="K19" s="1489"/>
      <c r="L19" s="2167"/>
      <c r="M19" s="2276"/>
      <c r="N19" s="2277"/>
      <c r="O19" s="1489"/>
      <c r="P19" s="2275"/>
      <c r="Q19" s="581"/>
      <c r="R19" s="582"/>
    </row>
    <row r="20" spans="1:18" ht="11.25" customHeight="1">
      <c r="A20" s="575"/>
      <c r="B20" s="5800"/>
      <c r="C20" s="2278"/>
      <c r="D20" s="2279"/>
      <c r="E20" s="1472"/>
      <c r="F20" s="5816"/>
      <c r="G20" s="1472"/>
      <c r="H20" s="2170"/>
      <c r="I20" s="2171"/>
      <c r="J20" s="2280"/>
      <c r="K20" s="1040"/>
      <c r="L20" s="2167"/>
      <c r="M20" s="2170"/>
      <c r="N20" s="2280"/>
      <c r="O20" s="1040"/>
      <c r="P20" s="2275"/>
      <c r="Q20" s="581"/>
      <c r="R20" s="582"/>
    </row>
    <row r="21" spans="1:18" ht="11.25" customHeight="1">
      <c r="A21" s="575"/>
      <c r="B21" s="5800"/>
      <c r="C21" s="2281"/>
      <c r="D21" s="2280"/>
      <c r="E21" s="1472"/>
      <c r="F21" s="5816"/>
      <c r="G21" s="1472"/>
      <c r="H21" s="2282"/>
      <c r="I21" s="2281"/>
      <c r="J21" s="2280"/>
      <c r="K21" s="1550"/>
      <c r="L21" s="2283"/>
      <c r="M21" s="2282"/>
      <c r="N21" s="2280"/>
      <c r="O21" s="1550"/>
      <c r="P21" s="2284"/>
      <c r="Q21" s="581"/>
      <c r="R21" s="582"/>
    </row>
    <row r="22" spans="1:18" ht="11.25" customHeight="1">
      <c r="A22" s="575"/>
      <c r="B22" s="5800"/>
      <c r="C22" s="2281"/>
      <c r="D22" s="2280"/>
      <c r="E22" s="1472"/>
      <c r="F22" s="5817"/>
      <c r="G22" s="1472"/>
      <c r="H22" s="2282"/>
      <c r="I22" s="2281"/>
      <c r="J22" s="2280"/>
      <c r="K22" s="1550"/>
      <c r="L22" s="2283"/>
      <c r="M22" s="2282"/>
      <c r="N22" s="2280"/>
      <c r="O22" s="1550"/>
      <c r="P22" s="2284"/>
      <c r="Q22" s="581"/>
      <c r="R22" s="582"/>
    </row>
    <row r="23" spans="1:18" ht="11.25" customHeight="1" thickBot="1">
      <c r="A23" s="575"/>
      <c r="B23" s="5801"/>
      <c r="C23" s="2285"/>
      <c r="D23" s="2285"/>
      <c r="E23" s="2026"/>
      <c r="F23" s="2285"/>
      <c r="G23" s="2027"/>
      <c r="H23" s="2286" t="s">
        <v>65</v>
      </c>
      <c r="I23" s="2286" t="s">
        <v>1</v>
      </c>
      <c r="J23" s="2286" t="s">
        <v>2</v>
      </c>
      <c r="K23" s="4509" t="s">
        <v>536</v>
      </c>
      <c r="L23" s="5818"/>
      <c r="M23" s="2026"/>
      <c r="N23" s="2027"/>
      <c r="O23" s="4509" t="s">
        <v>537</v>
      </c>
      <c r="P23" s="5819"/>
      <c r="Q23" s="581"/>
      <c r="R23" s="582"/>
    </row>
    <row r="24" spans="1:18" ht="10.5" customHeight="1" thickBot="1">
      <c r="A24" s="586"/>
      <c r="B24" s="493"/>
      <c r="C24" s="584"/>
      <c r="D24" s="584"/>
      <c r="E24" s="584"/>
      <c r="F24" s="584"/>
      <c r="G24" s="584"/>
      <c r="H24" s="584"/>
      <c r="I24" s="584"/>
      <c r="J24" s="584"/>
      <c r="K24" s="584"/>
      <c r="L24" s="584"/>
      <c r="M24" s="584"/>
      <c r="N24" s="584"/>
      <c r="O24" s="584"/>
      <c r="P24" s="584"/>
    </row>
    <row r="25" spans="1:18" ht="17.25" customHeight="1">
      <c r="A25" s="1562"/>
      <c r="B25" s="1518">
        <v>1</v>
      </c>
      <c r="C25" s="587"/>
      <c r="D25" s="588"/>
      <c r="E25" s="589"/>
      <c r="F25" s="590"/>
      <c r="G25" s="588"/>
      <c r="H25" s="591"/>
      <c r="I25" s="591"/>
      <c r="J25" s="591"/>
      <c r="K25" s="5820" t="s">
        <v>1855</v>
      </c>
      <c r="L25" s="5821"/>
      <c r="M25" s="589"/>
      <c r="N25" s="588"/>
      <c r="O25" s="5820" t="s">
        <v>538</v>
      </c>
      <c r="P25" s="5822"/>
    </row>
    <row r="26" spans="1:18" ht="17.25" customHeight="1">
      <c r="A26" s="1562"/>
      <c r="B26" s="1517">
        <v>2</v>
      </c>
      <c r="C26" s="592"/>
      <c r="D26" s="593"/>
      <c r="E26" s="594"/>
      <c r="F26" s="595"/>
      <c r="G26" s="593"/>
      <c r="H26" s="596"/>
      <c r="I26" s="596"/>
      <c r="J26" s="596"/>
      <c r="K26" s="5784" t="s">
        <v>1855</v>
      </c>
      <c r="L26" s="5785"/>
      <c r="M26" s="594"/>
      <c r="N26" s="593"/>
      <c r="O26" s="5784" t="s">
        <v>538</v>
      </c>
      <c r="P26" s="5786"/>
    </row>
    <row r="27" spans="1:18" ht="17.25" customHeight="1" thickBot="1">
      <c r="A27" s="1562"/>
      <c r="B27" s="1517">
        <v>3</v>
      </c>
      <c r="C27" s="597"/>
      <c r="D27" s="598"/>
      <c r="E27" s="599"/>
      <c r="F27" s="600"/>
      <c r="G27" s="598"/>
      <c r="H27" s="601"/>
      <c r="I27" s="601"/>
      <c r="J27" s="601"/>
      <c r="K27" s="5796" t="s">
        <v>1855</v>
      </c>
      <c r="L27" s="5797"/>
      <c r="M27" s="599"/>
      <c r="N27" s="598"/>
      <c r="O27" s="5796" t="s">
        <v>538</v>
      </c>
      <c r="P27" s="5798"/>
    </row>
    <row r="28" spans="1:18" ht="17.25" customHeight="1" thickTop="1">
      <c r="A28" s="1562"/>
      <c r="B28" s="1516">
        <v>4</v>
      </c>
      <c r="C28" s="602"/>
      <c r="D28" s="603"/>
      <c r="E28" s="604"/>
      <c r="F28" s="605"/>
      <c r="G28" s="603"/>
      <c r="H28" s="606"/>
      <c r="I28" s="606"/>
      <c r="J28" s="606"/>
      <c r="K28" s="5781" t="s">
        <v>1855</v>
      </c>
      <c r="L28" s="5782"/>
      <c r="M28" s="604"/>
      <c r="N28" s="603"/>
      <c r="O28" s="5781" t="s">
        <v>538</v>
      </c>
      <c r="P28" s="5783"/>
    </row>
    <row r="29" spans="1:18" ht="17.25" customHeight="1">
      <c r="A29" s="1562"/>
      <c r="B29" s="1516">
        <v>5</v>
      </c>
      <c r="C29" s="592"/>
      <c r="D29" s="593"/>
      <c r="E29" s="594"/>
      <c r="F29" s="595"/>
      <c r="G29" s="593"/>
      <c r="H29" s="596"/>
      <c r="I29" s="596"/>
      <c r="J29" s="596"/>
      <c r="K29" s="5784" t="s">
        <v>1855</v>
      </c>
      <c r="L29" s="5785"/>
      <c r="M29" s="594"/>
      <c r="N29" s="593"/>
      <c r="O29" s="5784" t="s">
        <v>538</v>
      </c>
      <c r="P29" s="5786"/>
    </row>
    <row r="30" spans="1:18" ht="17.25" customHeight="1" thickBot="1">
      <c r="A30" s="1562"/>
      <c r="B30" s="1516">
        <v>6</v>
      </c>
      <c r="C30" s="607"/>
      <c r="D30" s="608"/>
      <c r="E30" s="609"/>
      <c r="F30" s="610"/>
      <c r="G30" s="608"/>
      <c r="H30" s="611"/>
      <c r="I30" s="611"/>
      <c r="J30" s="611"/>
      <c r="K30" s="5787" t="s">
        <v>1855</v>
      </c>
      <c r="L30" s="5788"/>
      <c r="M30" s="609"/>
      <c r="N30" s="608"/>
      <c r="O30" s="5787" t="s">
        <v>538</v>
      </c>
      <c r="P30" s="5789"/>
    </row>
    <row r="31" spans="1:18" ht="17.25" customHeight="1" thickTop="1">
      <c r="A31" s="1562"/>
      <c r="B31" s="1517">
        <v>7</v>
      </c>
      <c r="C31" s="602"/>
      <c r="D31" s="603"/>
      <c r="E31" s="604"/>
      <c r="F31" s="605"/>
      <c r="G31" s="603"/>
      <c r="H31" s="606"/>
      <c r="I31" s="606"/>
      <c r="J31" s="606"/>
      <c r="K31" s="5781" t="s">
        <v>1855</v>
      </c>
      <c r="L31" s="5782"/>
      <c r="M31" s="604"/>
      <c r="N31" s="603"/>
      <c r="O31" s="5781" t="s">
        <v>538</v>
      </c>
      <c r="P31" s="5783"/>
    </row>
    <row r="32" spans="1:18" ht="17.25" customHeight="1">
      <c r="A32" s="1562"/>
      <c r="B32" s="1517">
        <v>8</v>
      </c>
      <c r="C32" s="592"/>
      <c r="D32" s="593"/>
      <c r="E32" s="594"/>
      <c r="F32" s="595"/>
      <c r="G32" s="593"/>
      <c r="H32" s="596"/>
      <c r="I32" s="596"/>
      <c r="J32" s="596"/>
      <c r="K32" s="5784" t="s">
        <v>1855</v>
      </c>
      <c r="L32" s="5785"/>
      <c r="M32" s="594"/>
      <c r="N32" s="593"/>
      <c r="O32" s="5784" t="s">
        <v>538</v>
      </c>
      <c r="P32" s="5786"/>
    </row>
    <row r="33" spans="1:16" ht="17.25" customHeight="1" thickBot="1">
      <c r="A33" s="1562"/>
      <c r="B33" s="1517">
        <v>9</v>
      </c>
      <c r="C33" s="607"/>
      <c r="D33" s="608"/>
      <c r="E33" s="609"/>
      <c r="F33" s="610"/>
      <c r="G33" s="608"/>
      <c r="H33" s="611"/>
      <c r="I33" s="611"/>
      <c r="J33" s="611"/>
      <c r="K33" s="5787" t="s">
        <v>1855</v>
      </c>
      <c r="L33" s="5788"/>
      <c r="M33" s="609"/>
      <c r="N33" s="608"/>
      <c r="O33" s="5787" t="s">
        <v>538</v>
      </c>
      <c r="P33" s="5789"/>
    </row>
    <row r="34" spans="1:16" ht="17.25" customHeight="1" thickTop="1">
      <c r="A34" s="1562"/>
      <c r="B34" s="1516">
        <v>10</v>
      </c>
      <c r="C34" s="612"/>
      <c r="D34" s="613"/>
      <c r="E34" s="614"/>
      <c r="F34" s="615"/>
      <c r="G34" s="613"/>
      <c r="H34" s="616"/>
      <c r="I34" s="616"/>
      <c r="J34" s="616"/>
      <c r="K34" s="5790" t="s">
        <v>1855</v>
      </c>
      <c r="L34" s="5791"/>
      <c r="M34" s="614"/>
      <c r="N34" s="613"/>
      <c r="O34" s="5790" t="s">
        <v>538</v>
      </c>
      <c r="P34" s="5792"/>
    </row>
    <row r="35" spans="1:16" ht="17.25" customHeight="1">
      <c r="A35" s="1562"/>
      <c r="B35" s="1516">
        <v>11</v>
      </c>
      <c r="C35" s="592"/>
      <c r="D35" s="593"/>
      <c r="E35" s="594"/>
      <c r="F35" s="595"/>
      <c r="G35" s="593"/>
      <c r="H35" s="596"/>
      <c r="I35" s="596"/>
      <c r="J35" s="596"/>
      <c r="K35" s="5784" t="s">
        <v>1855</v>
      </c>
      <c r="L35" s="5785"/>
      <c r="M35" s="594"/>
      <c r="N35" s="593"/>
      <c r="O35" s="5784" t="s">
        <v>538</v>
      </c>
      <c r="P35" s="5786"/>
    </row>
    <row r="36" spans="1:16" ht="17.25" customHeight="1" thickBot="1">
      <c r="A36" s="1562"/>
      <c r="B36" s="1516">
        <v>12</v>
      </c>
      <c r="C36" s="617"/>
      <c r="D36" s="618"/>
      <c r="E36" s="619"/>
      <c r="F36" s="620"/>
      <c r="G36" s="618"/>
      <c r="H36" s="621"/>
      <c r="I36" s="621"/>
      <c r="J36" s="621"/>
      <c r="K36" s="5793" t="s">
        <v>1855</v>
      </c>
      <c r="L36" s="5794"/>
      <c r="M36" s="619"/>
      <c r="N36" s="618"/>
      <c r="O36" s="5793" t="s">
        <v>538</v>
      </c>
      <c r="P36" s="5795"/>
    </row>
    <row r="37" spans="1:16" ht="17.25" customHeight="1" thickTop="1">
      <c r="A37" s="1562"/>
      <c r="B37" s="1517">
        <v>13</v>
      </c>
      <c r="C37" s="602"/>
      <c r="D37" s="603"/>
      <c r="E37" s="604"/>
      <c r="F37" s="605"/>
      <c r="G37" s="603"/>
      <c r="H37" s="606"/>
      <c r="I37" s="606"/>
      <c r="J37" s="606"/>
      <c r="K37" s="5781" t="s">
        <v>1855</v>
      </c>
      <c r="L37" s="5782"/>
      <c r="M37" s="604"/>
      <c r="N37" s="603"/>
      <c r="O37" s="5781" t="s">
        <v>538</v>
      </c>
      <c r="P37" s="5783"/>
    </row>
    <row r="38" spans="1:16" ht="17.25" customHeight="1">
      <c r="A38" s="1562"/>
      <c r="B38" s="1517">
        <v>14</v>
      </c>
      <c r="C38" s="592"/>
      <c r="D38" s="593"/>
      <c r="E38" s="594"/>
      <c r="F38" s="595"/>
      <c r="G38" s="593"/>
      <c r="H38" s="596"/>
      <c r="I38" s="596"/>
      <c r="J38" s="596"/>
      <c r="K38" s="5784" t="s">
        <v>1855</v>
      </c>
      <c r="L38" s="5785"/>
      <c r="M38" s="594"/>
      <c r="N38" s="593"/>
      <c r="O38" s="5784" t="s">
        <v>538</v>
      </c>
      <c r="P38" s="5786"/>
    </row>
    <row r="39" spans="1:16" ht="17.25" customHeight="1" thickBot="1">
      <c r="A39" s="1562"/>
      <c r="B39" s="1515">
        <v>15</v>
      </c>
      <c r="C39" s="607"/>
      <c r="D39" s="608"/>
      <c r="E39" s="609"/>
      <c r="F39" s="610"/>
      <c r="G39" s="608"/>
      <c r="H39" s="611"/>
      <c r="I39" s="611"/>
      <c r="J39" s="611"/>
      <c r="K39" s="5787" t="s">
        <v>1855</v>
      </c>
      <c r="L39" s="5788"/>
      <c r="M39" s="609"/>
      <c r="N39" s="608"/>
      <c r="O39" s="5787" t="s">
        <v>538</v>
      </c>
      <c r="P39" s="5789"/>
    </row>
    <row r="40" spans="1:16" ht="11.25" customHeight="1">
      <c r="A40" s="586"/>
      <c r="B40" s="622"/>
    </row>
    <row r="41" spans="1:16" ht="11.25" customHeight="1">
      <c r="A41" s="586"/>
      <c r="B41" s="622"/>
    </row>
    <row r="42" spans="1:16" ht="11.25" customHeight="1">
      <c r="B42" s="622"/>
    </row>
    <row r="43" spans="1:16" ht="11.25" customHeight="1">
      <c r="B43" s="622"/>
    </row>
    <row r="44" spans="1:16" ht="11.25" customHeight="1">
      <c r="B44" s="622"/>
    </row>
    <row r="45" spans="1:16" ht="11.25" customHeight="1">
      <c r="B45" s="622"/>
    </row>
    <row r="46" spans="1:16" ht="11.25" customHeight="1">
      <c r="B46" s="622"/>
    </row>
    <row r="47" spans="1:16" ht="11.25" customHeight="1">
      <c r="B47" s="622"/>
    </row>
    <row r="48" spans="1:16" ht="11.25" customHeight="1">
      <c r="B48" s="622"/>
    </row>
    <row r="49" spans="2:2" ht="11.25" customHeight="1">
      <c r="B49" s="622"/>
    </row>
    <row r="50" spans="2:2" ht="11.25" customHeight="1">
      <c r="B50" s="622"/>
    </row>
    <row r="51" spans="2:2" ht="11.25" customHeight="1">
      <c r="B51" s="622"/>
    </row>
    <row r="52" spans="2:2" ht="11.25" customHeight="1">
      <c r="B52" s="622"/>
    </row>
    <row r="53" spans="2:2" ht="11.25" customHeight="1">
      <c r="B53" s="622"/>
    </row>
    <row r="54" spans="2:2" ht="11.25" customHeight="1">
      <c r="B54" s="622"/>
    </row>
    <row r="55" spans="2:2" ht="11.25" customHeight="1">
      <c r="B55" s="622"/>
    </row>
    <row r="56" spans="2:2" ht="11.25" customHeight="1">
      <c r="B56" s="622"/>
    </row>
    <row r="57" spans="2:2" ht="11.25" customHeight="1">
      <c r="B57" s="622"/>
    </row>
    <row r="58" spans="2:2" ht="11.25" customHeight="1">
      <c r="B58" s="622"/>
    </row>
    <row r="59" spans="2:2" ht="11.25" customHeight="1">
      <c r="B59" s="622"/>
    </row>
  </sheetData>
  <customSheetViews>
    <customSheetView guid="{BDF1A126-BD1D-4A5E-80B8-98941684E462}" showPageBreaks="1" showGridLines="0" printArea="1" view="pageLayout">
      <selection activeCell="R9" sqref="R9"/>
      <colBreaks count="1" manualBreakCount="1">
        <brk id="20" max="1048575" man="1"/>
      </colBreaks>
      <pageMargins left="0.5" right="0.5" top="0.5" bottom="0" header="0" footer="0"/>
      <pageSetup paperSize="9" orientation="landscape" r:id="rId1"/>
      <headerFooter alignWithMargins="0">
        <oddFooter>&amp;L&amp;"Arial Narrow,Regular"&amp;8&amp;D&amp;C&amp;"Arial Narrow,Regular"&amp;8&amp;F</oddFooter>
      </headerFooter>
    </customSheetView>
    <customSheetView guid="{04F0793E-5444-463D-A1D5-E52E08A4C249}" showPageBreaks="1" showGridLines="0" printArea="1" view="pageLayout" topLeftCell="A4">
      <selection activeCell="M5" sqref="M5:N13"/>
      <colBreaks count="1" manualBreakCount="1">
        <brk id="20" max="1048575" man="1"/>
      </colBreaks>
      <pageMargins left="0.5" right="0.5" top="0.5" bottom="0" header="0" footer="0"/>
      <pageSetup paperSize="9" orientation="landscape" r:id="rId2"/>
      <headerFooter alignWithMargins="0">
        <oddFooter>&amp;L&amp;"Arial Narrow,Regular"&amp;8&amp;D&amp;C&amp;"Arial Narrow,Regular"&amp;8&amp;F</oddFooter>
      </headerFooter>
    </customSheetView>
    <customSheetView guid="{925F74B5-C2F5-4E55-AFE4-045C56169B44}" showPageBreaks="1" showGridLines="0" printArea="1" view="pageLayout" topLeftCell="A4">
      <selection activeCell="M5" sqref="M5:N13"/>
      <colBreaks count="1" manualBreakCount="1">
        <brk id="20" max="1048575" man="1"/>
      </colBreaks>
      <pageMargins left="0.5" right="0.5" top="0.5" bottom="0" header="0" footer="0"/>
      <pageSetup paperSize="9" orientation="landscape" r:id="rId3"/>
      <headerFooter alignWithMargins="0">
        <oddFooter>&amp;L&amp;"Arial Narrow,Regular"&amp;8&amp;D&amp;C&amp;"Arial Narrow,Regular"&amp;8&amp;F</oddFooter>
      </headerFooter>
    </customSheetView>
    <customSheetView guid="{1FF58891-F32F-4F97-9812-E2D02F4497AA}" showPageBreaks="1" showGridLines="0" printArea="1" view="pageLayout">
      <selection activeCell="B5" sqref="B5:B23"/>
      <colBreaks count="1" manualBreakCount="1">
        <brk id="20" max="1048575" man="1"/>
      </colBreaks>
      <pageMargins left="0.5" right="0.5" top="0.5" bottom="0" header="0" footer="0"/>
      <pageSetup paperSize="9" orientation="landscape" r:id="rId4"/>
      <headerFooter alignWithMargins="0">
        <oddFooter>&amp;L&amp;"Arial Narrow,Regular"&amp;8&amp;D&amp;C&amp;"Arial Narrow,Regular"&amp;8&amp;F</oddFooter>
      </headerFooter>
    </customSheetView>
    <customSheetView guid="{2A6091F0-BAF4-46A2-BC20-0DE610E67601}" showPageBreaks="1" showGridLines="0" printArea="1" view="pageLayout">
      <selection activeCell="R9" sqref="R9"/>
      <colBreaks count="1" manualBreakCount="1">
        <brk id="20" max="1048575" man="1"/>
      </colBreaks>
      <pageMargins left="0.5" right="0.5" top="0.5" bottom="0" header="0" footer="0"/>
      <pageSetup paperSize="9" orientation="landscape" r:id="rId5"/>
      <headerFooter alignWithMargins="0">
        <oddFooter>&amp;L&amp;"Arial Narrow,Regular"&amp;8&amp;D&amp;C&amp;"Arial Narrow,Regular"&amp;8&amp;F</oddFooter>
      </headerFooter>
    </customSheetView>
    <customSheetView guid="{5111FDC7-EEAC-46C3-8033-47A3563F0C00}" showPageBreaks="1" showGridLines="0" printArea="1" view="pageLayout">
      <selection activeCell="O25" sqref="O25:P25"/>
      <colBreaks count="1" manualBreakCount="1">
        <brk id="20" max="1048575" man="1"/>
      </colBreaks>
      <pageMargins left="0.5" right="0.5" top="0.5" bottom="0" header="0" footer="0"/>
      <pageSetup paperSize="9" orientation="landscape" r:id="rId6"/>
      <headerFooter alignWithMargins="0">
        <oddFooter>&amp;L&amp;"Arial Narrow,Regular"&amp;8&amp;D&amp;C&amp;"Arial Narrow,Regular"&amp;8&amp;F</oddFooter>
      </headerFooter>
    </customSheetView>
    <customSheetView guid="{2A5E79E4-584C-4F65-A220-87928CEA02AF}" showPageBreaks="1" showGridLines="0" printArea="1" view="pageLayout">
      <selection activeCell="O25" sqref="O25:P25"/>
      <colBreaks count="1" manualBreakCount="1">
        <brk id="20" max="1048575" man="1"/>
      </colBreaks>
      <pageMargins left="0.5" right="0.5" top="0.5" bottom="0" header="0" footer="0"/>
      <pageSetup paperSize="9" orientation="landscape" r:id="rId7"/>
      <headerFooter alignWithMargins="0">
        <oddFooter>&amp;L&amp;"Arial Narrow,Regular"&amp;8&amp;D&amp;C&amp;"Arial Narrow,Regular"&amp;8&amp;F</oddFooter>
      </headerFooter>
    </customSheetView>
    <customSheetView guid="{66872EF1-41BD-4D4B-B603-B8B0D03DAD22}" showPageBreaks="1" showGridLines="0" printArea="1" view="pageLayout">
      <selection activeCell="O25" sqref="O25:P25"/>
      <colBreaks count="1" manualBreakCount="1">
        <brk id="20" max="1048575" man="1"/>
      </colBreaks>
      <pageMargins left="0.5" right="0.5" top="0.5" bottom="0" header="0" footer="0"/>
      <pageSetup paperSize="9" orientation="landscape" r:id="rId8"/>
      <headerFooter alignWithMargins="0">
        <oddFooter>&amp;L&amp;"Arial Narrow,Regular"&amp;8&amp;D&amp;C&amp;"Arial Narrow,Regular"&amp;8&amp;F</oddFooter>
      </headerFooter>
    </customSheetView>
    <customSheetView guid="{ACE56013-11B3-4BF4-BD0B-BF59142DAC13}" showPageBreaks="1" showGridLines="0" printArea="1" view="pageLayout">
      <selection activeCell="O25" sqref="O25:P25"/>
      <colBreaks count="1" manualBreakCount="1">
        <brk id="20" max="1048575" man="1"/>
      </colBreaks>
      <pageMargins left="0.5" right="0.5" top="0.5" bottom="0" header="0" footer="0"/>
      <pageSetup paperSize="9" orientation="landscape" r:id="rId9"/>
      <headerFooter alignWithMargins="0">
        <oddFooter>&amp;L&amp;"Arial Narrow,Regular"&amp;8&amp;D&amp;C&amp;"Arial Narrow,Regular"&amp;8&amp;F</oddFooter>
      </headerFooter>
    </customSheetView>
  </customSheetViews>
  <mergeCells count="47">
    <mergeCell ref="G15:G17"/>
    <mergeCell ref="O4:P4"/>
    <mergeCell ref="C4:D4"/>
    <mergeCell ref="E4:G4"/>
    <mergeCell ref="H4:J4"/>
    <mergeCell ref="K4:L4"/>
    <mergeCell ref="M4:N4"/>
    <mergeCell ref="K27:L27"/>
    <mergeCell ref="O27:P27"/>
    <mergeCell ref="B5:B23"/>
    <mergeCell ref="C5:D9"/>
    <mergeCell ref="E5:G8"/>
    <mergeCell ref="E15:F17"/>
    <mergeCell ref="F19:F22"/>
    <mergeCell ref="K23:L23"/>
    <mergeCell ref="O23:P23"/>
    <mergeCell ref="K25:L25"/>
    <mergeCell ref="O25:P25"/>
    <mergeCell ref="K26:L26"/>
    <mergeCell ref="O26:P26"/>
    <mergeCell ref="M5:N13"/>
    <mergeCell ref="K5:L6"/>
    <mergeCell ref="O5:P6"/>
    <mergeCell ref="K28:L28"/>
    <mergeCell ref="O28:P28"/>
    <mergeCell ref="K29:L29"/>
    <mergeCell ref="O29:P29"/>
    <mergeCell ref="K30:L30"/>
    <mergeCell ref="O30:P30"/>
    <mergeCell ref="K31:L31"/>
    <mergeCell ref="O31:P31"/>
    <mergeCell ref="K32:L32"/>
    <mergeCell ref="O32:P32"/>
    <mergeCell ref="K33:L33"/>
    <mergeCell ref="O33:P33"/>
    <mergeCell ref="K34:L34"/>
    <mergeCell ref="O34:P34"/>
    <mergeCell ref="K35:L35"/>
    <mergeCell ref="O35:P35"/>
    <mergeCell ref="K36:L36"/>
    <mergeCell ref="O36:P36"/>
    <mergeCell ref="K37:L37"/>
    <mergeCell ref="O37:P37"/>
    <mergeCell ref="K38:L38"/>
    <mergeCell ref="O38:P38"/>
    <mergeCell ref="K39:L39"/>
    <mergeCell ref="O39:P39"/>
  </mergeCells>
  <pageMargins left="0.5" right="0.5" top="0.5" bottom="0" header="0" footer="0"/>
  <pageSetup paperSize="9" orientation="landscape" r:id="rId10"/>
  <headerFooter alignWithMargins="0">
    <oddFooter>&amp;L&amp;"Arial Narrow,Regular"&amp;8&amp;D&amp;C&amp;"Arial Narrow,Regular"&amp;8&amp;F</oddFooter>
  </headerFooter>
  <colBreaks count="1" manualBreakCount="1">
    <brk id="20" max="1048575" man="1"/>
  </colBreaks>
  <drawing r:id="rId11"/>
  <legacy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36</vt:i4>
      </vt:variant>
    </vt:vector>
  </HeadingPairs>
  <TitlesOfParts>
    <vt:vector size="69" baseType="lpstr">
      <vt:lpstr>Cover Nam</vt:lpstr>
      <vt:lpstr>ToC</vt:lpstr>
      <vt:lpstr>01 HH Roster</vt:lpstr>
      <vt:lpstr>02A HOUSING </vt:lpstr>
      <vt:lpstr>02B HOUSING COST</vt:lpstr>
      <vt:lpstr>02C Domestic Workers </vt:lpstr>
      <vt:lpstr>2D ACCESS</vt:lpstr>
      <vt:lpstr>2E Food Adequacy</vt:lpstr>
      <vt:lpstr>03 Education</vt:lpstr>
      <vt:lpstr>04 Health</vt:lpstr>
      <vt:lpstr>5 Durables</vt:lpstr>
      <vt:lpstr>LABOUR FORCE 6A-B</vt:lpstr>
      <vt:lpstr>6C</vt:lpstr>
      <vt:lpstr>6D</vt:lpstr>
      <vt:lpstr>6E</vt:lpstr>
      <vt:lpstr>7 agric activities</vt:lpstr>
      <vt:lpstr>07 Agric (2)</vt:lpstr>
      <vt:lpstr> 8 REMITTANCES</vt:lpstr>
      <vt:lpstr>9a HH inc source</vt:lpstr>
      <vt:lpstr>9b HH debts</vt:lpstr>
      <vt:lpstr>10 indiv INCOME</vt:lpstr>
      <vt:lpstr>11 oth HH  income </vt:lpstr>
      <vt:lpstr>sec 12- 1&amp;12mo expend</vt:lpstr>
      <vt:lpstr>sec 13 - 3 mo clothes furn</vt:lpstr>
      <vt:lpstr>sec 14 - 12 mo- appl and oth</vt:lpstr>
      <vt:lpstr>15 health exp- 12 mo</vt:lpstr>
      <vt:lpstr>sec 16 - 12 mo leisure</vt:lpstr>
      <vt:lpstr>sec 17 -12 moECD&amp;adult  &amp;ITC</vt:lpstr>
      <vt:lpstr>Sec 18 transport- 12 months</vt:lpstr>
      <vt:lpstr>Sec 18- con't. 12 months</vt:lpstr>
      <vt:lpstr>sec 19 -12 mo gifts, finance, </vt:lpstr>
      <vt:lpstr>Sec 20- savings and investments</vt:lpstr>
      <vt:lpstr>Sec 21 ANTHRO</vt:lpstr>
      <vt:lpstr>'01 HH Roster'!Print_Area</vt:lpstr>
      <vt:lpstr>'02A HOUSING '!Print_Area</vt:lpstr>
      <vt:lpstr>'02B HOUSING COST'!Print_Area</vt:lpstr>
      <vt:lpstr>'02C Domestic Workers '!Print_Area</vt:lpstr>
      <vt:lpstr>'03 Education'!Print_Area</vt:lpstr>
      <vt:lpstr>'04 Health'!Print_Area</vt:lpstr>
      <vt:lpstr>'07 Agric (2)'!Print_Area</vt:lpstr>
      <vt:lpstr>'10 indiv INCOME'!Print_Area</vt:lpstr>
      <vt:lpstr>'11 oth HH  income '!Print_Area</vt:lpstr>
      <vt:lpstr>'15 health exp- 12 mo'!Print_Area</vt:lpstr>
      <vt:lpstr>'2D ACCESS'!Print_Area</vt:lpstr>
      <vt:lpstr>'2E Food Adequacy'!Print_Area</vt:lpstr>
      <vt:lpstr>'5 Durables'!Print_Area</vt:lpstr>
      <vt:lpstr>'6C'!Print_Area</vt:lpstr>
      <vt:lpstr>'6D'!Print_Area</vt:lpstr>
      <vt:lpstr>'6E'!Print_Area</vt:lpstr>
      <vt:lpstr>'7 agric activities'!Print_Area</vt:lpstr>
      <vt:lpstr>'9a HH inc source'!Print_Area</vt:lpstr>
      <vt:lpstr>'9b HH debts'!Print_Area</vt:lpstr>
      <vt:lpstr>'Cover Nam'!Print_Area</vt:lpstr>
      <vt:lpstr>'sec 12- 1&amp;12mo expend'!Print_Area</vt:lpstr>
      <vt:lpstr>'sec 13 - 3 mo clothes furn'!Print_Area</vt:lpstr>
      <vt:lpstr>'sec 14 - 12 mo- appl and oth'!Print_Area</vt:lpstr>
      <vt:lpstr>'sec 16 - 12 mo leisure'!Print_Area</vt:lpstr>
      <vt:lpstr>'Sec 18- con''t. 12 months'!Print_Area</vt:lpstr>
      <vt:lpstr>'Sec 18 transport- 12 months'!Print_Area</vt:lpstr>
      <vt:lpstr>'sec 19 -12 mo gifts, finance, '!Print_Area</vt:lpstr>
      <vt:lpstr>'Sec 20- savings and investments'!Print_Area</vt:lpstr>
      <vt:lpstr>'Sec 21 ANTHRO'!Print_Area</vt:lpstr>
      <vt:lpstr>ToC!Print_Area</vt:lpstr>
      <vt:lpstr>'01 HH Roster'!Print_Titles</vt:lpstr>
      <vt:lpstr>'03 Education'!Print_Titles</vt:lpstr>
      <vt:lpstr>'04 Health'!Print_Titles</vt:lpstr>
      <vt:lpstr>'10 indiv INCOME'!Print_Titles</vt:lpstr>
      <vt:lpstr>'6E'!Print_Titles</vt:lpstr>
      <vt:lpstr>'LABOUR FORCE 6A-B'!Print_Titles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Fransina Amutenya</cp:lastModifiedBy>
  <cp:lastPrinted>2015-03-19T10:36:29Z</cp:lastPrinted>
  <dcterms:created xsi:type="dcterms:W3CDTF">1996-11-27T10:00:04Z</dcterms:created>
  <dcterms:modified xsi:type="dcterms:W3CDTF">2016-01-19T09:22:10Z</dcterms:modified>
</cp:coreProperties>
</file>